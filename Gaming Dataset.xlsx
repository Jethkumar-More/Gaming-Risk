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jethk\OneDrive\ドキュメント\Desktop\Excel Learning\"/>
    </mc:Choice>
  </mc:AlternateContent>
  <xr:revisionPtr revIDLastSave="0" documentId="13_ncr:9_{E35DB79B-E85C-4B92-AE32-2DE3A32A7D7F}" xr6:coauthVersionLast="47" xr6:coauthVersionMax="47" xr10:uidLastSave="{00000000-0000-0000-0000-000000000000}"/>
  <bookViews>
    <workbookView xWindow="-108" yWindow="-108" windowWidth="23256" windowHeight="12456" activeTab="4" xr2:uid="{8F70AF8F-351C-4280-A949-4407DEA61762}"/>
  </bookViews>
  <sheets>
    <sheet name="Gaming and Mental Health" sheetId="1" r:id="rId1"/>
    <sheet name="Gaming Dataset" sheetId="2" r:id="rId2"/>
    <sheet name="Detail1" sheetId="5" state="hidden" r:id="rId3"/>
    <sheet name="Piviot Table" sheetId="3" r:id="rId4"/>
    <sheet name="Dashboard" sheetId="4" r:id="rId5"/>
  </sheets>
  <definedNames>
    <definedName name="Slicer_Age_Category">#N/A</definedName>
    <definedName name="Slicer_gender">#N/A</definedName>
  </definedNames>
  <calcPr calcId="0"/>
  <pivotCaches>
    <pivotCache cacheId="18"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C3" i="2" l="1"/>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2" i="2"/>
  <c r="AF2" i="2"/>
  <c r="AC2" i="2"/>
  <c r="K2" i="2"/>
  <c r="F2" i="2"/>
</calcChain>
</file>

<file path=xl/sharedStrings.xml><?xml version="1.0" encoding="utf-8"?>
<sst xmlns="http://schemas.openxmlformats.org/spreadsheetml/2006/main" count="22453" uniqueCount="1116">
  <si>
    <t>record_id</t>
  </si>
  <si>
    <t>age</t>
  </si>
  <si>
    <t>gender</t>
  </si>
  <si>
    <t>daily_gaming_hours</t>
  </si>
  <si>
    <t>game_genre</t>
  </si>
  <si>
    <t>primary_game</t>
  </si>
  <si>
    <t>gaming_platform</t>
  </si>
  <si>
    <t>sleep_hours</t>
  </si>
  <si>
    <t>sleep_quality</t>
  </si>
  <si>
    <t>sleep_disruption_frequency</t>
  </si>
  <si>
    <t>academic_work_performance</t>
  </si>
  <si>
    <t>grades_gpa</t>
  </si>
  <si>
    <t>work_productivity_score</t>
  </si>
  <si>
    <t>mood_state</t>
  </si>
  <si>
    <t>mood_swing_frequency</t>
  </si>
  <si>
    <t>withdrawal_symptoms</t>
  </si>
  <si>
    <t>loss_of_other_interests</t>
  </si>
  <si>
    <t>continued_despite_problems</t>
  </si>
  <si>
    <t>eye_strain</t>
  </si>
  <si>
    <t>back_neck_pain</t>
  </si>
  <si>
    <t>weight_change_kg</t>
  </si>
  <si>
    <t>exercise_hours_weekly</t>
  </si>
  <si>
    <t>social_isolation_score</t>
  </si>
  <si>
    <t>face_to_face_social_hours_weekly</t>
  </si>
  <si>
    <t>monthly_game_spending_usd</t>
  </si>
  <si>
    <t>years_gaming</t>
  </si>
  <si>
    <t>gaming_addiction_risk_level</t>
  </si>
  <si>
    <t>GD0001</t>
  </si>
  <si>
    <t>Male</t>
  </si>
  <si>
    <t>Mobile Games</t>
  </si>
  <si>
    <t>Clash of Clans</t>
  </si>
  <si>
    <t>PC</t>
  </si>
  <si>
    <t>Very Poor</t>
  </si>
  <si>
    <t>Sometimes</t>
  </si>
  <si>
    <t>Below Average</t>
  </si>
  <si>
    <t>Anxious</t>
  </si>
  <si>
    <t>Never</t>
  </si>
  <si>
    <t>Severe</t>
  </si>
  <si>
    <t>GD0002</t>
  </si>
  <si>
    <t>MOBA</t>
  </si>
  <si>
    <t>Dota 2</t>
  </si>
  <si>
    <t>Fair</t>
  </si>
  <si>
    <t>Rarely</t>
  </si>
  <si>
    <t>Good</t>
  </si>
  <si>
    <t>Irritable</t>
  </si>
  <si>
    <t>Often</t>
  </si>
  <si>
    <t>Low</t>
  </si>
  <si>
    <t>GD0003</t>
  </si>
  <si>
    <t>FPS</t>
  </si>
  <si>
    <t>CS:GO</t>
  </si>
  <si>
    <t>Multi-platform</t>
  </si>
  <si>
    <t>Poor</t>
  </si>
  <si>
    <t>GD0004</t>
  </si>
  <si>
    <t>Female</t>
  </si>
  <si>
    <t>RPG</t>
  </si>
  <si>
    <t>Skyrim</t>
  </si>
  <si>
    <t>Withdrawn</t>
  </si>
  <si>
    <t>Daily</t>
  </si>
  <si>
    <t>High</t>
  </si>
  <si>
    <t>GD0005</t>
  </si>
  <si>
    <t>Battle Royale</t>
  </si>
  <si>
    <t>Apex Legends</t>
  </si>
  <si>
    <t>Average</t>
  </si>
  <si>
    <t>Angry</t>
  </si>
  <si>
    <t>Moderate</t>
  </si>
  <si>
    <t>GD0006</t>
  </si>
  <si>
    <t>Normal</t>
  </si>
  <si>
    <t>GD0007</t>
  </si>
  <si>
    <t>Call of Duty</t>
  </si>
  <si>
    <t>Euphoric</t>
  </si>
  <si>
    <t>GD0008</t>
  </si>
  <si>
    <t>Console</t>
  </si>
  <si>
    <t>GD0009</t>
  </si>
  <si>
    <t>Genshin Impact</t>
  </si>
  <si>
    <t>Always</t>
  </si>
  <si>
    <t>GD0010</t>
  </si>
  <si>
    <t>MMO</t>
  </si>
  <si>
    <t>Final Fantasy XIV</t>
  </si>
  <si>
    <t>Insomnia</t>
  </si>
  <si>
    <t>GD0011</t>
  </si>
  <si>
    <t>Restless</t>
  </si>
  <si>
    <t>GD0012</t>
  </si>
  <si>
    <t>Strategy</t>
  </si>
  <si>
    <t>StarCraft II</t>
  </si>
  <si>
    <t>Excellent</t>
  </si>
  <si>
    <t>GD0013</t>
  </si>
  <si>
    <t>Mobile</t>
  </si>
  <si>
    <t>GD0014</t>
  </si>
  <si>
    <t>GD0015</t>
  </si>
  <si>
    <t>Elden Ring</t>
  </si>
  <si>
    <t>GD0016</t>
  </si>
  <si>
    <t>GD0017</t>
  </si>
  <si>
    <t>GD0018</t>
  </si>
  <si>
    <t>League of Legends</t>
  </si>
  <si>
    <t>GD0019</t>
  </si>
  <si>
    <t>GD0020</t>
  </si>
  <si>
    <t>Warzone</t>
  </si>
  <si>
    <t>GD0021</t>
  </si>
  <si>
    <t>Cyberpunk 2077</t>
  </si>
  <si>
    <t>GD0022</t>
  </si>
  <si>
    <t>GD0023</t>
  </si>
  <si>
    <t>GD0024</t>
  </si>
  <si>
    <t>PUBG</t>
  </si>
  <si>
    <t>GD0025</t>
  </si>
  <si>
    <t>Candy Crush</t>
  </si>
  <si>
    <t>Depressed</t>
  </si>
  <si>
    <t>GD0026</t>
  </si>
  <si>
    <t>GD0027</t>
  </si>
  <si>
    <t>GD0028</t>
  </si>
  <si>
    <t>GD0029</t>
  </si>
  <si>
    <t>World of Warcraft</t>
  </si>
  <si>
    <t>GD0030</t>
  </si>
  <si>
    <t>GD0031</t>
  </si>
  <si>
    <t>GD0032</t>
  </si>
  <si>
    <t>GD0033</t>
  </si>
  <si>
    <t>GD0034</t>
  </si>
  <si>
    <t>GD0035</t>
  </si>
  <si>
    <t>GD0036</t>
  </si>
  <si>
    <t>PUBG Mobile</t>
  </si>
  <si>
    <t>GD0037</t>
  </si>
  <si>
    <t>Mobile Legends</t>
  </si>
  <si>
    <t>Excited</t>
  </si>
  <si>
    <t>GD0038</t>
  </si>
  <si>
    <t>GD0039</t>
  </si>
  <si>
    <t>GD0040</t>
  </si>
  <si>
    <t>GD0041</t>
  </si>
  <si>
    <t>Elder Scrolls Online</t>
  </si>
  <si>
    <t>GD0042</t>
  </si>
  <si>
    <t>Valorant</t>
  </si>
  <si>
    <t>Failing</t>
  </si>
  <si>
    <t>GD0043</t>
  </si>
  <si>
    <t>GD0044</t>
  </si>
  <si>
    <t>GD0045</t>
  </si>
  <si>
    <t>GD0046</t>
  </si>
  <si>
    <t>Age of Empires</t>
  </si>
  <si>
    <t>GD0047</t>
  </si>
  <si>
    <t>GD0048</t>
  </si>
  <si>
    <t>GD0049</t>
  </si>
  <si>
    <t>GD0050</t>
  </si>
  <si>
    <t>GD0051</t>
  </si>
  <si>
    <t>GD0052</t>
  </si>
  <si>
    <t>GD0053</t>
  </si>
  <si>
    <t>GD0054</t>
  </si>
  <si>
    <t>GD0055</t>
  </si>
  <si>
    <t>GD0056</t>
  </si>
  <si>
    <t>GD0057</t>
  </si>
  <si>
    <t>GD0058</t>
  </si>
  <si>
    <t>GD0059</t>
  </si>
  <si>
    <t>GD0060</t>
  </si>
  <si>
    <t>GD0061</t>
  </si>
  <si>
    <t>GD0062</t>
  </si>
  <si>
    <t>GD0063</t>
  </si>
  <si>
    <t>Other</t>
  </si>
  <si>
    <t>GD0064</t>
  </si>
  <si>
    <t>GD0065</t>
  </si>
  <si>
    <t>GD0066</t>
  </si>
  <si>
    <t>GD0067</t>
  </si>
  <si>
    <t>GD0068</t>
  </si>
  <si>
    <t>GD0069</t>
  </si>
  <si>
    <t>GD0070</t>
  </si>
  <si>
    <t>GD0071</t>
  </si>
  <si>
    <t>GD0072</t>
  </si>
  <si>
    <t>GD0073</t>
  </si>
  <si>
    <t>GD0074</t>
  </si>
  <si>
    <t>GD0075</t>
  </si>
  <si>
    <t>GD0076</t>
  </si>
  <si>
    <t>GD0077</t>
  </si>
  <si>
    <t>Civilization VI</t>
  </si>
  <si>
    <t>GD0078</t>
  </si>
  <si>
    <t>GD0079</t>
  </si>
  <si>
    <t>GD0080</t>
  </si>
  <si>
    <t>GD0081</t>
  </si>
  <si>
    <t>GD0082</t>
  </si>
  <si>
    <t>GD0083</t>
  </si>
  <si>
    <t>GD0084</t>
  </si>
  <si>
    <t>GD0085</t>
  </si>
  <si>
    <t>GD0086</t>
  </si>
  <si>
    <t>GD0087</t>
  </si>
  <si>
    <t>GD0088</t>
  </si>
  <si>
    <t>GD0089</t>
  </si>
  <si>
    <t>GD0090</t>
  </si>
  <si>
    <t>GD0091</t>
  </si>
  <si>
    <t>GD0092</t>
  </si>
  <si>
    <t>GD0093</t>
  </si>
  <si>
    <t>GD0094</t>
  </si>
  <si>
    <t>GD0095</t>
  </si>
  <si>
    <t>GD0096</t>
  </si>
  <si>
    <t>GD0097</t>
  </si>
  <si>
    <t>GD0098</t>
  </si>
  <si>
    <t>GD0099</t>
  </si>
  <si>
    <t>GD0100</t>
  </si>
  <si>
    <t>GD0101</t>
  </si>
  <si>
    <t>GD0102</t>
  </si>
  <si>
    <t>GD0103</t>
  </si>
  <si>
    <t>GD0104</t>
  </si>
  <si>
    <t>GD0105</t>
  </si>
  <si>
    <t>GD0106</t>
  </si>
  <si>
    <t>GD0107</t>
  </si>
  <si>
    <t>GD0108</t>
  </si>
  <si>
    <t>GD0109</t>
  </si>
  <si>
    <t>Fortnite</t>
  </si>
  <si>
    <t>GD0110</t>
  </si>
  <si>
    <t>GD0111</t>
  </si>
  <si>
    <t>GD0112</t>
  </si>
  <si>
    <t>GD0113</t>
  </si>
  <si>
    <t>GD0114</t>
  </si>
  <si>
    <t>GD0115</t>
  </si>
  <si>
    <t>GD0116</t>
  </si>
  <si>
    <t>GD0117</t>
  </si>
  <si>
    <t>GD0118</t>
  </si>
  <si>
    <t>GD0119</t>
  </si>
  <si>
    <t>GD0120</t>
  </si>
  <si>
    <t>GD0121</t>
  </si>
  <si>
    <t>GD0122</t>
  </si>
  <si>
    <t>Overwatch</t>
  </si>
  <si>
    <t>GD0123</t>
  </si>
  <si>
    <t>GD0124</t>
  </si>
  <si>
    <t>GD0125</t>
  </si>
  <si>
    <t>GD0126</t>
  </si>
  <si>
    <t>GD0127</t>
  </si>
  <si>
    <t>GD0128</t>
  </si>
  <si>
    <t>GD0129</t>
  </si>
  <si>
    <t>GD0130</t>
  </si>
  <si>
    <t>GD0131</t>
  </si>
  <si>
    <t>GD0132</t>
  </si>
  <si>
    <t>GD0133</t>
  </si>
  <si>
    <t>GD0134</t>
  </si>
  <si>
    <t>GD0135</t>
  </si>
  <si>
    <t>GD0136</t>
  </si>
  <si>
    <t>GD0137</t>
  </si>
  <si>
    <t>GD0138</t>
  </si>
  <si>
    <t>GD0139</t>
  </si>
  <si>
    <t>GD0140</t>
  </si>
  <si>
    <t>GD0141</t>
  </si>
  <si>
    <t>GD0142</t>
  </si>
  <si>
    <t>GD0143</t>
  </si>
  <si>
    <t>GD0144</t>
  </si>
  <si>
    <t>GD0145</t>
  </si>
  <si>
    <t>GD0146</t>
  </si>
  <si>
    <t>GD0147</t>
  </si>
  <si>
    <t>GD0148</t>
  </si>
  <si>
    <t>GD0149</t>
  </si>
  <si>
    <t>GD0150</t>
  </si>
  <si>
    <t>GD0151</t>
  </si>
  <si>
    <t>GD0152</t>
  </si>
  <si>
    <t>GD0153</t>
  </si>
  <si>
    <t>GD0154</t>
  </si>
  <si>
    <t>GD0155</t>
  </si>
  <si>
    <t>GD0156</t>
  </si>
  <si>
    <t>GD0157</t>
  </si>
  <si>
    <t>GD0158</t>
  </si>
  <si>
    <t>GD0159</t>
  </si>
  <si>
    <t>GD0160</t>
  </si>
  <si>
    <t>GD0161</t>
  </si>
  <si>
    <t>GD0162</t>
  </si>
  <si>
    <t>GD0163</t>
  </si>
  <si>
    <t>GD0164</t>
  </si>
  <si>
    <t>GD0165</t>
  </si>
  <si>
    <t>GD0166</t>
  </si>
  <si>
    <t>GD0167</t>
  </si>
  <si>
    <t>GD0168</t>
  </si>
  <si>
    <t>GD0169</t>
  </si>
  <si>
    <t>GD0170</t>
  </si>
  <si>
    <t>GD0171</t>
  </si>
  <si>
    <t>GD0172</t>
  </si>
  <si>
    <t>GD0173</t>
  </si>
  <si>
    <t>GD0174</t>
  </si>
  <si>
    <t>GD0175</t>
  </si>
  <si>
    <t>GD0176</t>
  </si>
  <si>
    <t>GD0177</t>
  </si>
  <si>
    <t>GD0178</t>
  </si>
  <si>
    <t>GD0179</t>
  </si>
  <si>
    <t>GD0180</t>
  </si>
  <si>
    <t>GD0181</t>
  </si>
  <si>
    <t>GD0182</t>
  </si>
  <si>
    <t>GD0183</t>
  </si>
  <si>
    <t>GD0184</t>
  </si>
  <si>
    <t>GD0185</t>
  </si>
  <si>
    <t>GD0186</t>
  </si>
  <si>
    <t>GD0187</t>
  </si>
  <si>
    <t>GD0188</t>
  </si>
  <si>
    <t>GD0189</t>
  </si>
  <si>
    <t>GD0190</t>
  </si>
  <si>
    <t>GD0191</t>
  </si>
  <si>
    <t>GD0192</t>
  </si>
  <si>
    <t>GD0193</t>
  </si>
  <si>
    <t>GD0194</t>
  </si>
  <si>
    <t>GD0195</t>
  </si>
  <si>
    <t>GD0196</t>
  </si>
  <si>
    <t>GD0197</t>
  </si>
  <si>
    <t>GD0198</t>
  </si>
  <si>
    <t>GD0199</t>
  </si>
  <si>
    <t>GD0200</t>
  </si>
  <si>
    <t>GD0201</t>
  </si>
  <si>
    <t>GD0202</t>
  </si>
  <si>
    <t>GD0203</t>
  </si>
  <si>
    <t>GD0204</t>
  </si>
  <si>
    <t>GD0205</t>
  </si>
  <si>
    <t>GD0206</t>
  </si>
  <si>
    <t>GD0207</t>
  </si>
  <si>
    <t>GD0208</t>
  </si>
  <si>
    <t>GD0209</t>
  </si>
  <si>
    <t>GD0210</t>
  </si>
  <si>
    <t>GD0211</t>
  </si>
  <si>
    <t>GD0212</t>
  </si>
  <si>
    <t>GD0213</t>
  </si>
  <si>
    <t>GD0214</t>
  </si>
  <si>
    <t>GD0215</t>
  </si>
  <si>
    <t>GD0216</t>
  </si>
  <si>
    <t>GD0217</t>
  </si>
  <si>
    <t>GD0218</t>
  </si>
  <si>
    <t>GD0219</t>
  </si>
  <si>
    <t>GD0220</t>
  </si>
  <si>
    <t>GD0221</t>
  </si>
  <si>
    <t>GD0222</t>
  </si>
  <si>
    <t>GD0223</t>
  </si>
  <si>
    <t>GD0224</t>
  </si>
  <si>
    <t>GD0225</t>
  </si>
  <si>
    <t>GD0226</t>
  </si>
  <si>
    <t>GD0227</t>
  </si>
  <si>
    <t>GD0228</t>
  </si>
  <si>
    <t>GD0229</t>
  </si>
  <si>
    <t>GD0230</t>
  </si>
  <si>
    <t>GD0231</t>
  </si>
  <si>
    <t>GD0232</t>
  </si>
  <si>
    <t>GD0233</t>
  </si>
  <si>
    <t>GD0234</t>
  </si>
  <si>
    <t>GD0235</t>
  </si>
  <si>
    <t>GD0236</t>
  </si>
  <si>
    <t>GD0237</t>
  </si>
  <si>
    <t>GD0238</t>
  </si>
  <si>
    <t>GD0239</t>
  </si>
  <si>
    <t>GD0240</t>
  </si>
  <si>
    <t>GD0241</t>
  </si>
  <si>
    <t>GD0242</t>
  </si>
  <si>
    <t>GD0243</t>
  </si>
  <si>
    <t>GD0244</t>
  </si>
  <si>
    <t>GD0245</t>
  </si>
  <si>
    <t>GD0246</t>
  </si>
  <si>
    <t>GD0247</t>
  </si>
  <si>
    <t>GD0248</t>
  </si>
  <si>
    <t>GD0249</t>
  </si>
  <si>
    <t>GD0250</t>
  </si>
  <si>
    <t>GD0251</t>
  </si>
  <si>
    <t>GD0252</t>
  </si>
  <si>
    <t>GD0253</t>
  </si>
  <si>
    <t>GD0254</t>
  </si>
  <si>
    <t>GD0255</t>
  </si>
  <si>
    <t>GD0256</t>
  </si>
  <si>
    <t>GD0257</t>
  </si>
  <si>
    <t>GD0258</t>
  </si>
  <si>
    <t>GD0259</t>
  </si>
  <si>
    <t>GD0260</t>
  </si>
  <si>
    <t>GD0261</t>
  </si>
  <si>
    <t>GD0262</t>
  </si>
  <si>
    <t>GD0263</t>
  </si>
  <si>
    <t>GD0264</t>
  </si>
  <si>
    <t>GD0265</t>
  </si>
  <si>
    <t>GD0266</t>
  </si>
  <si>
    <t>GD0267</t>
  </si>
  <si>
    <t>GD0268</t>
  </si>
  <si>
    <t>GD0269</t>
  </si>
  <si>
    <t>GD0270</t>
  </si>
  <si>
    <t>GD0271</t>
  </si>
  <si>
    <t>GD0272</t>
  </si>
  <si>
    <t>GD0273</t>
  </si>
  <si>
    <t>GD0274</t>
  </si>
  <si>
    <t>GD0275</t>
  </si>
  <si>
    <t>GD0276</t>
  </si>
  <si>
    <t>GD0277</t>
  </si>
  <si>
    <t>GD0278</t>
  </si>
  <si>
    <t>GD0279</t>
  </si>
  <si>
    <t>GD0280</t>
  </si>
  <si>
    <t>GD0281</t>
  </si>
  <si>
    <t>GD0282</t>
  </si>
  <si>
    <t>GD0283</t>
  </si>
  <si>
    <t>GD0284</t>
  </si>
  <si>
    <t>GD0285</t>
  </si>
  <si>
    <t>GD0286</t>
  </si>
  <si>
    <t>GD0287</t>
  </si>
  <si>
    <t>GD0288</t>
  </si>
  <si>
    <t>GD0289</t>
  </si>
  <si>
    <t>GD0290</t>
  </si>
  <si>
    <t>GD0291</t>
  </si>
  <si>
    <t>GD0292</t>
  </si>
  <si>
    <t>GD0293</t>
  </si>
  <si>
    <t>GD0294</t>
  </si>
  <si>
    <t>GD0295</t>
  </si>
  <si>
    <t>GD0296</t>
  </si>
  <si>
    <t>GD0297</t>
  </si>
  <si>
    <t>GD0298</t>
  </si>
  <si>
    <t>GD0299</t>
  </si>
  <si>
    <t>GD0300</t>
  </si>
  <si>
    <t>GD0301</t>
  </si>
  <si>
    <t>GD0302</t>
  </si>
  <si>
    <t>GD0303</t>
  </si>
  <si>
    <t>GD0304</t>
  </si>
  <si>
    <t>GD0305</t>
  </si>
  <si>
    <t>GD0306</t>
  </si>
  <si>
    <t>GD0307</t>
  </si>
  <si>
    <t>GD0308</t>
  </si>
  <si>
    <t>GD0309</t>
  </si>
  <si>
    <t>GD0310</t>
  </si>
  <si>
    <t>GD0311</t>
  </si>
  <si>
    <t>GD0312</t>
  </si>
  <si>
    <t>GD0313</t>
  </si>
  <si>
    <t>GD0314</t>
  </si>
  <si>
    <t>GD0315</t>
  </si>
  <si>
    <t>GD0316</t>
  </si>
  <si>
    <t>GD0317</t>
  </si>
  <si>
    <t>GD0318</t>
  </si>
  <si>
    <t>GD0319</t>
  </si>
  <si>
    <t>GD0320</t>
  </si>
  <si>
    <t>GD0321</t>
  </si>
  <si>
    <t>GD0322</t>
  </si>
  <si>
    <t>GD0323</t>
  </si>
  <si>
    <t>GD0324</t>
  </si>
  <si>
    <t>GD0325</t>
  </si>
  <si>
    <t>GD0326</t>
  </si>
  <si>
    <t>GD0327</t>
  </si>
  <si>
    <t>GD0328</t>
  </si>
  <si>
    <t>GD0329</t>
  </si>
  <si>
    <t>GD0330</t>
  </si>
  <si>
    <t>GD0331</t>
  </si>
  <si>
    <t>GD0332</t>
  </si>
  <si>
    <t>GD0333</t>
  </si>
  <si>
    <t>GD0334</t>
  </si>
  <si>
    <t>GD0335</t>
  </si>
  <si>
    <t>GD0336</t>
  </si>
  <si>
    <t>GD0337</t>
  </si>
  <si>
    <t>GD0338</t>
  </si>
  <si>
    <t>GD0339</t>
  </si>
  <si>
    <t>GD0340</t>
  </si>
  <si>
    <t>GD0341</t>
  </si>
  <si>
    <t>GD0342</t>
  </si>
  <si>
    <t>GD0343</t>
  </si>
  <si>
    <t>GD0344</t>
  </si>
  <si>
    <t>GD0345</t>
  </si>
  <si>
    <t>GD0346</t>
  </si>
  <si>
    <t>GD0347</t>
  </si>
  <si>
    <t>GD0348</t>
  </si>
  <si>
    <t>GD0349</t>
  </si>
  <si>
    <t>GD0350</t>
  </si>
  <si>
    <t>GD0351</t>
  </si>
  <si>
    <t>GD0352</t>
  </si>
  <si>
    <t>GD0353</t>
  </si>
  <si>
    <t>GD0354</t>
  </si>
  <si>
    <t>GD0355</t>
  </si>
  <si>
    <t>GD0356</t>
  </si>
  <si>
    <t>GD0357</t>
  </si>
  <si>
    <t>GD0358</t>
  </si>
  <si>
    <t>GD0359</t>
  </si>
  <si>
    <t>GD0360</t>
  </si>
  <si>
    <t>GD0361</t>
  </si>
  <si>
    <t>GD0362</t>
  </si>
  <si>
    <t>GD0363</t>
  </si>
  <si>
    <t>GD0364</t>
  </si>
  <si>
    <t>GD0365</t>
  </si>
  <si>
    <t>GD0366</t>
  </si>
  <si>
    <t>GD0367</t>
  </si>
  <si>
    <t>GD0368</t>
  </si>
  <si>
    <t>GD0369</t>
  </si>
  <si>
    <t>GD0370</t>
  </si>
  <si>
    <t>GD0371</t>
  </si>
  <si>
    <t>GD0372</t>
  </si>
  <si>
    <t>GD0373</t>
  </si>
  <si>
    <t>GD0374</t>
  </si>
  <si>
    <t>GD0375</t>
  </si>
  <si>
    <t>GD0376</t>
  </si>
  <si>
    <t>GD0377</t>
  </si>
  <si>
    <t>GD0378</t>
  </si>
  <si>
    <t>GD0379</t>
  </si>
  <si>
    <t>GD0380</t>
  </si>
  <si>
    <t>GD0381</t>
  </si>
  <si>
    <t>GD0382</t>
  </si>
  <si>
    <t>GD0383</t>
  </si>
  <si>
    <t>GD0384</t>
  </si>
  <si>
    <t>GD0385</t>
  </si>
  <si>
    <t>GD0386</t>
  </si>
  <si>
    <t>GD0387</t>
  </si>
  <si>
    <t>GD0388</t>
  </si>
  <si>
    <t>GD0389</t>
  </si>
  <si>
    <t>GD0390</t>
  </si>
  <si>
    <t>GD0391</t>
  </si>
  <si>
    <t>GD0392</t>
  </si>
  <si>
    <t>GD0393</t>
  </si>
  <si>
    <t>GD0394</t>
  </si>
  <si>
    <t>GD0395</t>
  </si>
  <si>
    <t>GD0396</t>
  </si>
  <si>
    <t>GD0397</t>
  </si>
  <si>
    <t>GD0398</t>
  </si>
  <si>
    <t>GD0399</t>
  </si>
  <si>
    <t>GD0400</t>
  </si>
  <si>
    <t>GD0401</t>
  </si>
  <si>
    <t>GD0402</t>
  </si>
  <si>
    <t>GD0403</t>
  </si>
  <si>
    <t>GD0404</t>
  </si>
  <si>
    <t>GD0405</t>
  </si>
  <si>
    <t>GD0406</t>
  </si>
  <si>
    <t>GD0407</t>
  </si>
  <si>
    <t>GD0408</t>
  </si>
  <si>
    <t>GD0409</t>
  </si>
  <si>
    <t>GD0410</t>
  </si>
  <si>
    <t>GD0411</t>
  </si>
  <si>
    <t>GD0412</t>
  </si>
  <si>
    <t>GD0413</t>
  </si>
  <si>
    <t>GD0414</t>
  </si>
  <si>
    <t>GD0415</t>
  </si>
  <si>
    <t>GD0416</t>
  </si>
  <si>
    <t>GD0417</t>
  </si>
  <si>
    <t>GD0418</t>
  </si>
  <si>
    <t>GD0419</t>
  </si>
  <si>
    <t>GD0420</t>
  </si>
  <si>
    <t>GD0421</t>
  </si>
  <si>
    <t>GD0422</t>
  </si>
  <si>
    <t>GD0423</t>
  </si>
  <si>
    <t>GD0424</t>
  </si>
  <si>
    <t>GD0425</t>
  </si>
  <si>
    <t>GD0426</t>
  </si>
  <si>
    <t>GD0427</t>
  </si>
  <si>
    <t>GD0428</t>
  </si>
  <si>
    <t>GD0429</t>
  </si>
  <si>
    <t>GD0430</t>
  </si>
  <si>
    <t>GD0431</t>
  </si>
  <si>
    <t>GD0432</t>
  </si>
  <si>
    <t>GD0433</t>
  </si>
  <si>
    <t>GD0434</t>
  </si>
  <si>
    <t>GD0435</t>
  </si>
  <si>
    <t>GD0436</t>
  </si>
  <si>
    <t>GD0437</t>
  </si>
  <si>
    <t>GD0438</t>
  </si>
  <si>
    <t>GD0439</t>
  </si>
  <si>
    <t>GD0440</t>
  </si>
  <si>
    <t>GD0441</t>
  </si>
  <si>
    <t>GD0442</t>
  </si>
  <si>
    <t>GD0443</t>
  </si>
  <si>
    <t>GD0444</t>
  </si>
  <si>
    <t>GD0445</t>
  </si>
  <si>
    <t>GD0446</t>
  </si>
  <si>
    <t>GD0447</t>
  </si>
  <si>
    <t>GD0448</t>
  </si>
  <si>
    <t>GD0449</t>
  </si>
  <si>
    <t>GD0450</t>
  </si>
  <si>
    <t>GD0451</t>
  </si>
  <si>
    <t>GD0452</t>
  </si>
  <si>
    <t>GD0453</t>
  </si>
  <si>
    <t>GD0454</t>
  </si>
  <si>
    <t>GD0455</t>
  </si>
  <si>
    <t>GD0456</t>
  </si>
  <si>
    <t>GD0457</t>
  </si>
  <si>
    <t>GD0458</t>
  </si>
  <si>
    <t>GD0459</t>
  </si>
  <si>
    <t>GD0460</t>
  </si>
  <si>
    <t>GD0461</t>
  </si>
  <si>
    <t>GD0462</t>
  </si>
  <si>
    <t>GD0463</t>
  </si>
  <si>
    <t>GD0464</t>
  </si>
  <si>
    <t>GD0465</t>
  </si>
  <si>
    <t>GD0466</t>
  </si>
  <si>
    <t>GD0467</t>
  </si>
  <si>
    <t>GD0468</t>
  </si>
  <si>
    <t>GD0469</t>
  </si>
  <si>
    <t>GD0470</t>
  </si>
  <si>
    <t>GD0471</t>
  </si>
  <si>
    <t>GD0472</t>
  </si>
  <si>
    <t>GD0473</t>
  </si>
  <si>
    <t>GD0474</t>
  </si>
  <si>
    <t>GD0475</t>
  </si>
  <si>
    <t>GD0476</t>
  </si>
  <si>
    <t>GD0477</t>
  </si>
  <si>
    <t>GD0478</t>
  </si>
  <si>
    <t>GD0479</t>
  </si>
  <si>
    <t>GD0480</t>
  </si>
  <si>
    <t>GD0481</t>
  </si>
  <si>
    <t>GD0482</t>
  </si>
  <si>
    <t>GD0483</t>
  </si>
  <si>
    <t>GD0484</t>
  </si>
  <si>
    <t>GD0485</t>
  </si>
  <si>
    <t>GD0486</t>
  </si>
  <si>
    <t>GD0487</t>
  </si>
  <si>
    <t>GD0488</t>
  </si>
  <si>
    <t>GD0489</t>
  </si>
  <si>
    <t>GD0490</t>
  </si>
  <si>
    <t>GD0491</t>
  </si>
  <si>
    <t>GD0492</t>
  </si>
  <si>
    <t>GD0493</t>
  </si>
  <si>
    <t>GD0494</t>
  </si>
  <si>
    <t>GD0495</t>
  </si>
  <si>
    <t>GD0496</t>
  </si>
  <si>
    <t>GD0497</t>
  </si>
  <si>
    <t>GD0498</t>
  </si>
  <si>
    <t>GD0499</t>
  </si>
  <si>
    <t>GD0500</t>
  </si>
  <si>
    <t>GD0501</t>
  </si>
  <si>
    <t>GD0502</t>
  </si>
  <si>
    <t>GD0503</t>
  </si>
  <si>
    <t>GD0504</t>
  </si>
  <si>
    <t>GD0505</t>
  </si>
  <si>
    <t>GD0506</t>
  </si>
  <si>
    <t>GD0507</t>
  </si>
  <si>
    <t>GD0508</t>
  </si>
  <si>
    <t>GD0509</t>
  </si>
  <si>
    <t>GD0510</t>
  </si>
  <si>
    <t>GD0511</t>
  </si>
  <si>
    <t>GD0512</t>
  </si>
  <si>
    <t>GD0513</t>
  </si>
  <si>
    <t>GD0514</t>
  </si>
  <si>
    <t>GD0515</t>
  </si>
  <si>
    <t>GD0516</t>
  </si>
  <si>
    <t>GD0517</t>
  </si>
  <si>
    <t>GD0518</t>
  </si>
  <si>
    <t>GD0519</t>
  </si>
  <si>
    <t>GD0520</t>
  </si>
  <si>
    <t>GD0521</t>
  </si>
  <si>
    <t>GD0522</t>
  </si>
  <si>
    <t>GD0523</t>
  </si>
  <si>
    <t>GD0524</t>
  </si>
  <si>
    <t>GD0525</t>
  </si>
  <si>
    <t>GD0526</t>
  </si>
  <si>
    <t>GD0527</t>
  </si>
  <si>
    <t>GD0528</t>
  </si>
  <si>
    <t>GD0529</t>
  </si>
  <si>
    <t>GD0530</t>
  </si>
  <si>
    <t>GD0531</t>
  </si>
  <si>
    <t>GD0532</t>
  </si>
  <si>
    <t>GD0533</t>
  </si>
  <si>
    <t>GD0534</t>
  </si>
  <si>
    <t>GD0535</t>
  </si>
  <si>
    <t>GD0536</t>
  </si>
  <si>
    <t>GD0537</t>
  </si>
  <si>
    <t>GD0538</t>
  </si>
  <si>
    <t>GD0539</t>
  </si>
  <si>
    <t>GD0540</t>
  </si>
  <si>
    <t>GD0541</t>
  </si>
  <si>
    <t>GD0542</t>
  </si>
  <si>
    <t>GD0543</t>
  </si>
  <si>
    <t>GD0544</t>
  </si>
  <si>
    <t>GD0545</t>
  </si>
  <si>
    <t>GD0546</t>
  </si>
  <si>
    <t>GD0547</t>
  </si>
  <si>
    <t>GD0548</t>
  </si>
  <si>
    <t>GD0549</t>
  </si>
  <si>
    <t>GD0550</t>
  </si>
  <si>
    <t>GD0551</t>
  </si>
  <si>
    <t>GD0552</t>
  </si>
  <si>
    <t>GD0553</t>
  </si>
  <si>
    <t>GD0554</t>
  </si>
  <si>
    <t>GD0555</t>
  </si>
  <si>
    <t>GD0556</t>
  </si>
  <si>
    <t>GD0557</t>
  </si>
  <si>
    <t>GD0558</t>
  </si>
  <si>
    <t>GD0559</t>
  </si>
  <si>
    <t>GD0560</t>
  </si>
  <si>
    <t>GD0561</t>
  </si>
  <si>
    <t>GD0562</t>
  </si>
  <si>
    <t>GD0563</t>
  </si>
  <si>
    <t>GD0564</t>
  </si>
  <si>
    <t>GD0565</t>
  </si>
  <si>
    <t>GD0566</t>
  </si>
  <si>
    <t>GD0567</t>
  </si>
  <si>
    <t>GD0568</t>
  </si>
  <si>
    <t>GD0569</t>
  </si>
  <si>
    <t>GD0570</t>
  </si>
  <si>
    <t>GD0571</t>
  </si>
  <si>
    <t>GD0572</t>
  </si>
  <si>
    <t>GD0573</t>
  </si>
  <si>
    <t>GD0574</t>
  </si>
  <si>
    <t>GD0575</t>
  </si>
  <si>
    <t>GD0576</t>
  </si>
  <si>
    <t>GD0577</t>
  </si>
  <si>
    <t>GD0578</t>
  </si>
  <si>
    <t>GD0579</t>
  </si>
  <si>
    <t>GD0580</t>
  </si>
  <si>
    <t>GD0581</t>
  </si>
  <si>
    <t>GD0582</t>
  </si>
  <si>
    <t>GD0583</t>
  </si>
  <si>
    <t>GD0584</t>
  </si>
  <si>
    <t>GD0585</t>
  </si>
  <si>
    <t>GD0586</t>
  </si>
  <si>
    <t>GD0587</t>
  </si>
  <si>
    <t>GD0588</t>
  </si>
  <si>
    <t>GD0589</t>
  </si>
  <si>
    <t>GD0590</t>
  </si>
  <si>
    <t>GD0591</t>
  </si>
  <si>
    <t>GD0592</t>
  </si>
  <si>
    <t>GD0593</t>
  </si>
  <si>
    <t>GD0594</t>
  </si>
  <si>
    <t>GD0595</t>
  </si>
  <si>
    <t>GD0596</t>
  </si>
  <si>
    <t>GD0597</t>
  </si>
  <si>
    <t>GD0598</t>
  </si>
  <si>
    <t>GD0599</t>
  </si>
  <si>
    <t>GD0600</t>
  </si>
  <si>
    <t>GD0601</t>
  </si>
  <si>
    <t>GD0602</t>
  </si>
  <si>
    <t>GD0603</t>
  </si>
  <si>
    <t>GD0604</t>
  </si>
  <si>
    <t>GD0605</t>
  </si>
  <si>
    <t>GD0606</t>
  </si>
  <si>
    <t>GD0607</t>
  </si>
  <si>
    <t>GD0608</t>
  </si>
  <si>
    <t>GD0609</t>
  </si>
  <si>
    <t>GD0610</t>
  </si>
  <si>
    <t>GD0611</t>
  </si>
  <si>
    <t>GD0612</t>
  </si>
  <si>
    <t>GD0613</t>
  </si>
  <si>
    <t>GD0614</t>
  </si>
  <si>
    <t>GD0615</t>
  </si>
  <si>
    <t>GD0616</t>
  </si>
  <si>
    <t>GD0617</t>
  </si>
  <si>
    <t>GD0618</t>
  </si>
  <si>
    <t>GD0619</t>
  </si>
  <si>
    <t>GD0620</t>
  </si>
  <si>
    <t>GD0621</t>
  </si>
  <si>
    <t>GD0622</t>
  </si>
  <si>
    <t>GD0623</t>
  </si>
  <si>
    <t>GD0624</t>
  </si>
  <si>
    <t>GD0625</t>
  </si>
  <si>
    <t>GD0626</t>
  </si>
  <si>
    <t>GD0627</t>
  </si>
  <si>
    <t>GD0628</t>
  </si>
  <si>
    <t>GD0629</t>
  </si>
  <si>
    <t>GD0630</t>
  </si>
  <si>
    <t>GD0631</t>
  </si>
  <si>
    <t>GD0632</t>
  </si>
  <si>
    <t>GD0633</t>
  </si>
  <si>
    <t>GD0634</t>
  </si>
  <si>
    <t>GD0635</t>
  </si>
  <si>
    <t>GD0636</t>
  </si>
  <si>
    <t>GD0637</t>
  </si>
  <si>
    <t>GD0638</t>
  </si>
  <si>
    <t>GD0639</t>
  </si>
  <si>
    <t>GD0640</t>
  </si>
  <si>
    <t>GD0641</t>
  </si>
  <si>
    <t>GD0642</t>
  </si>
  <si>
    <t>GD0643</t>
  </si>
  <si>
    <t>GD0644</t>
  </si>
  <si>
    <t>GD0645</t>
  </si>
  <si>
    <t>GD0646</t>
  </si>
  <si>
    <t>GD0647</t>
  </si>
  <si>
    <t>GD0648</t>
  </si>
  <si>
    <t>GD0649</t>
  </si>
  <si>
    <t>GD0650</t>
  </si>
  <si>
    <t>GD0651</t>
  </si>
  <si>
    <t>GD0652</t>
  </si>
  <si>
    <t>GD0653</t>
  </si>
  <si>
    <t>GD0654</t>
  </si>
  <si>
    <t>GD0655</t>
  </si>
  <si>
    <t>GD0656</t>
  </si>
  <si>
    <t>GD0657</t>
  </si>
  <si>
    <t>GD0658</t>
  </si>
  <si>
    <t>GD0659</t>
  </si>
  <si>
    <t>GD0660</t>
  </si>
  <si>
    <t>GD0661</t>
  </si>
  <si>
    <t>GD0662</t>
  </si>
  <si>
    <t>GD0663</t>
  </si>
  <si>
    <t>GD0664</t>
  </si>
  <si>
    <t>GD0665</t>
  </si>
  <si>
    <t>GD0666</t>
  </si>
  <si>
    <t>GD0667</t>
  </si>
  <si>
    <t>GD0668</t>
  </si>
  <si>
    <t>GD0669</t>
  </si>
  <si>
    <t>GD0670</t>
  </si>
  <si>
    <t>GD0671</t>
  </si>
  <si>
    <t>GD0672</t>
  </si>
  <si>
    <t>GD0673</t>
  </si>
  <si>
    <t>GD0674</t>
  </si>
  <si>
    <t>GD0675</t>
  </si>
  <si>
    <t>GD0676</t>
  </si>
  <si>
    <t>GD0677</t>
  </si>
  <si>
    <t>GD0678</t>
  </si>
  <si>
    <t>GD0679</t>
  </si>
  <si>
    <t>GD0680</t>
  </si>
  <si>
    <t>GD0681</t>
  </si>
  <si>
    <t>GD0682</t>
  </si>
  <si>
    <t>GD0683</t>
  </si>
  <si>
    <t>GD0684</t>
  </si>
  <si>
    <t>GD0685</t>
  </si>
  <si>
    <t>GD0686</t>
  </si>
  <si>
    <t>GD0687</t>
  </si>
  <si>
    <t>GD0688</t>
  </si>
  <si>
    <t>GD0689</t>
  </si>
  <si>
    <t>GD0690</t>
  </si>
  <si>
    <t>GD0691</t>
  </si>
  <si>
    <t>GD0692</t>
  </si>
  <si>
    <t>GD0693</t>
  </si>
  <si>
    <t>GD0694</t>
  </si>
  <si>
    <t>GD0695</t>
  </si>
  <si>
    <t>GD0696</t>
  </si>
  <si>
    <t>GD0697</t>
  </si>
  <si>
    <t>GD0698</t>
  </si>
  <si>
    <t>GD0699</t>
  </si>
  <si>
    <t>GD0700</t>
  </si>
  <si>
    <t>GD0701</t>
  </si>
  <si>
    <t>GD0702</t>
  </si>
  <si>
    <t>GD0703</t>
  </si>
  <si>
    <t>GD0704</t>
  </si>
  <si>
    <t>GD0705</t>
  </si>
  <si>
    <t>GD0706</t>
  </si>
  <si>
    <t>GD0707</t>
  </si>
  <si>
    <t>GD0708</t>
  </si>
  <si>
    <t>GD0709</t>
  </si>
  <si>
    <t>GD0710</t>
  </si>
  <si>
    <t>GD0711</t>
  </si>
  <si>
    <t>GD0712</t>
  </si>
  <si>
    <t>GD0713</t>
  </si>
  <si>
    <t>GD0714</t>
  </si>
  <si>
    <t>GD0715</t>
  </si>
  <si>
    <t>GD0716</t>
  </si>
  <si>
    <t>GD0717</t>
  </si>
  <si>
    <t>GD0718</t>
  </si>
  <si>
    <t>GD0719</t>
  </si>
  <si>
    <t>GD0720</t>
  </si>
  <si>
    <t>GD0721</t>
  </si>
  <si>
    <t>GD0722</t>
  </si>
  <si>
    <t>GD0723</t>
  </si>
  <si>
    <t>GD0724</t>
  </si>
  <si>
    <t>GD0725</t>
  </si>
  <si>
    <t>GD0726</t>
  </si>
  <si>
    <t>GD0727</t>
  </si>
  <si>
    <t>GD0728</t>
  </si>
  <si>
    <t>GD0729</t>
  </si>
  <si>
    <t>GD0730</t>
  </si>
  <si>
    <t>GD0731</t>
  </si>
  <si>
    <t>GD0732</t>
  </si>
  <si>
    <t>GD0733</t>
  </si>
  <si>
    <t>GD0734</t>
  </si>
  <si>
    <t>GD0735</t>
  </si>
  <si>
    <t>GD0736</t>
  </si>
  <si>
    <t>GD0737</t>
  </si>
  <si>
    <t>GD0738</t>
  </si>
  <si>
    <t>GD0739</t>
  </si>
  <si>
    <t>GD0740</t>
  </si>
  <si>
    <t>GD0741</t>
  </si>
  <si>
    <t>GD0742</t>
  </si>
  <si>
    <t>GD0743</t>
  </si>
  <si>
    <t>GD0744</t>
  </si>
  <si>
    <t>GD0745</t>
  </si>
  <si>
    <t>GD0746</t>
  </si>
  <si>
    <t>GD0747</t>
  </si>
  <si>
    <t>GD0748</t>
  </si>
  <si>
    <t>GD0749</t>
  </si>
  <si>
    <t>GD0750</t>
  </si>
  <si>
    <t>GD0751</t>
  </si>
  <si>
    <t>GD0752</t>
  </si>
  <si>
    <t>GD0753</t>
  </si>
  <si>
    <t>GD0754</t>
  </si>
  <si>
    <t>GD0755</t>
  </si>
  <si>
    <t>GD0756</t>
  </si>
  <si>
    <t>GD0757</t>
  </si>
  <si>
    <t>GD0758</t>
  </si>
  <si>
    <t>GD0759</t>
  </si>
  <si>
    <t>GD0760</t>
  </si>
  <si>
    <t>GD0761</t>
  </si>
  <si>
    <t>GD0762</t>
  </si>
  <si>
    <t>GD0763</t>
  </si>
  <si>
    <t>GD0764</t>
  </si>
  <si>
    <t>GD0765</t>
  </si>
  <si>
    <t>GD0766</t>
  </si>
  <si>
    <t>GD0767</t>
  </si>
  <si>
    <t>GD0768</t>
  </si>
  <si>
    <t>GD0769</t>
  </si>
  <si>
    <t>GD0770</t>
  </si>
  <si>
    <t>GD0771</t>
  </si>
  <si>
    <t>GD0772</t>
  </si>
  <si>
    <t>GD0773</t>
  </si>
  <si>
    <t>GD0774</t>
  </si>
  <si>
    <t>GD0775</t>
  </si>
  <si>
    <t>GD0776</t>
  </si>
  <si>
    <t>GD0777</t>
  </si>
  <si>
    <t>GD0778</t>
  </si>
  <si>
    <t>GD0779</t>
  </si>
  <si>
    <t>GD0780</t>
  </si>
  <si>
    <t>GD0781</t>
  </si>
  <si>
    <t>GD0782</t>
  </si>
  <si>
    <t>GD0783</t>
  </si>
  <si>
    <t>GD0784</t>
  </si>
  <si>
    <t>GD0785</t>
  </si>
  <si>
    <t>GD0786</t>
  </si>
  <si>
    <t>GD0787</t>
  </si>
  <si>
    <t>GD0788</t>
  </si>
  <si>
    <t>GD0789</t>
  </si>
  <si>
    <t>GD0790</t>
  </si>
  <si>
    <t>GD0791</t>
  </si>
  <si>
    <t>GD0792</t>
  </si>
  <si>
    <t>GD0793</t>
  </si>
  <si>
    <t>GD0794</t>
  </si>
  <si>
    <t>GD0795</t>
  </si>
  <si>
    <t>GD0796</t>
  </si>
  <si>
    <t>GD0797</t>
  </si>
  <si>
    <t>GD0798</t>
  </si>
  <si>
    <t>GD0799</t>
  </si>
  <si>
    <t>GD0800</t>
  </si>
  <si>
    <t>GD0801</t>
  </si>
  <si>
    <t>GD0802</t>
  </si>
  <si>
    <t>GD0803</t>
  </si>
  <si>
    <t>GD0804</t>
  </si>
  <si>
    <t>GD0805</t>
  </si>
  <si>
    <t>GD0806</t>
  </si>
  <si>
    <t>GD0807</t>
  </si>
  <si>
    <t>GD0808</t>
  </si>
  <si>
    <t>GD0809</t>
  </si>
  <si>
    <t>GD0810</t>
  </si>
  <si>
    <t>GD0811</t>
  </si>
  <si>
    <t>GD0812</t>
  </si>
  <si>
    <t>GD0813</t>
  </si>
  <si>
    <t>GD0814</t>
  </si>
  <si>
    <t>GD0815</t>
  </si>
  <si>
    <t>GD0816</t>
  </si>
  <si>
    <t>GD0817</t>
  </si>
  <si>
    <t>GD0818</t>
  </si>
  <si>
    <t>GD0819</t>
  </si>
  <si>
    <t>GD0820</t>
  </si>
  <si>
    <t>GD0821</t>
  </si>
  <si>
    <t>GD0822</t>
  </si>
  <si>
    <t>GD0823</t>
  </si>
  <si>
    <t>GD0824</t>
  </si>
  <si>
    <t>GD0825</t>
  </si>
  <si>
    <t>GD0826</t>
  </si>
  <si>
    <t>GD0827</t>
  </si>
  <si>
    <t>GD0828</t>
  </si>
  <si>
    <t>GD0829</t>
  </si>
  <si>
    <t>GD0830</t>
  </si>
  <si>
    <t>GD0831</t>
  </si>
  <si>
    <t>GD0832</t>
  </si>
  <si>
    <t>GD0833</t>
  </si>
  <si>
    <t>GD0834</t>
  </si>
  <si>
    <t>GD0835</t>
  </si>
  <si>
    <t>GD0836</t>
  </si>
  <si>
    <t>GD0837</t>
  </si>
  <si>
    <t>GD0838</t>
  </si>
  <si>
    <t>GD0839</t>
  </si>
  <si>
    <t>GD0840</t>
  </si>
  <si>
    <t>GD0841</t>
  </si>
  <si>
    <t>GD0842</t>
  </si>
  <si>
    <t>GD0843</t>
  </si>
  <si>
    <t>GD0844</t>
  </si>
  <si>
    <t>GD0845</t>
  </si>
  <si>
    <t>GD0846</t>
  </si>
  <si>
    <t>GD0847</t>
  </si>
  <si>
    <t>GD0848</t>
  </si>
  <si>
    <t>GD0849</t>
  </si>
  <si>
    <t>GD0850</t>
  </si>
  <si>
    <t>GD0851</t>
  </si>
  <si>
    <t>GD0852</t>
  </si>
  <si>
    <t>GD0853</t>
  </si>
  <si>
    <t>GD0854</t>
  </si>
  <si>
    <t>GD0855</t>
  </si>
  <si>
    <t>GD0856</t>
  </si>
  <si>
    <t>GD0857</t>
  </si>
  <si>
    <t>GD0858</t>
  </si>
  <si>
    <t>GD0859</t>
  </si>
  <si>
    <t>GD0860</t>
  </si>
  <si>
    <t>GD0861</t>
  </si>
  <si>
    <t>GD0862</t>
  </si>
  <si>
    <t>GD0863</t>
  </si>
  <si>
    <t>GD0864</t>
  </si>
  <si>
    <t>GD0865</t>
  </si>
  <si>
    <t>GD0866</t>
  </si>
  <si>
    <t>GD0867</t>
  </si>
  <si>
    <t>GD0868</t>
  </si>
  <si>
    <t>GD0869</t>
  </si>
  <si>
    <t>GD0870</t>
  </si>
  <si>
    <t>GD0871</t>
  </si>
  <si>
    <t>GD0872</t>
  </si>
  <si>
    <t>GD0873</t>
  </si>
  <si>
    <t>GD0874</t>
  </si>
  <si>
    <t>GD0875</t>
  </si>
  <si>
    <t>GD0876</t>
  </si>
  <si>
    <t>GD0877</t>
  </si>
  <si>
    <t>GD0878</t>
  </si>
  <si>
    <t>GD0879</t>
  </si>
  <si>
    <t>GD0880</t>
  </si>
  <si>
    <t>GD0881</t>
  </si>
  <si>
    <t>GD0882</t>
  </si>
  <si>
    <t>GD0883</t>
  </si>
  <si>
    <t>GD0884</t>
  </si>
  <si>
    <t>GD0885</t>
  </si>
  <si>
    <t>GD0886</t>
  </si>
  <si>
    <t>GD0887</t>
  </si>
  <si>
    <t>GD0888</t>
  </si>
  <si>
    <t>GD0889</t>
  </si>
  <si>
    <t>GD0890</t>
  </si>
  <si>
    <t>GD0891</t>
  </si>
  <si>
    <t>GD0892</t>
  </si>
  <si>
    <t>GD0893</t>
  </si>
  <si>
    <t>GD0894</t>
  </si>
  <si>
    <t>GD0895</t>
  </si>
  <si>
    <t>GD0896</t>
  </si>
  <si>
    <t>GD0897</t>
  </si>
  <si>
    <t>GD0898</t>
  </si>
  <si>
    <t>GD0899</t>
  </si>
  <si>
    <t>GD0900</t>
  </si>
  <si>
    <t>GD0901</t>
  </si>
  <si>
    <t>GD0902</t>
  </si>
  <si>
    <t>GD0903</t>
  </si>
  <si>
    <t>GD0904</t>
  </si>
  <si>
    <t>GD0905</t>
  </si>
  <si>
    <t>GD0906</t>
  </si>
  <si>
    <t>GD0907</t>
  </si>
  <si>
    <t>GD0908</t>
  </si>
  <si>
    <t>GD0909</t>
  </si>
  <si>
    <t>GD0910</t>
  </si>
  <si>
    <t>GD0911</t>
  </si>
  <si>
    <t>GD0912</t>
  </si>
  <si>
    <t>GD0913</t>
  </si>
  <si>
    <t>GD0914</t>
  </si>
  <si>
    <t>GD0915</t>
  </si>
  <si>
    <t>GD0916</t>
  </si>
  <si>
    <t>GD0917</t>
  </si>
  <si>
    <t>GD0918</t>
  </si>
  <si>
    <t>GD0919</t>
  </si>
  <si>
    <t>GD0920</t>
  </si>
  <si>
    <t>GD0921</t>
  </si>
  <si>
    <t>GD0922</t>
  </si>
  <si>
    <t>GD0923</t>
  </si>
  <si>
    <t>GD0924</t>
  </si>
  <si>
    <t>GD0925</t>
  </si>
  <si>
    <t>GD0926</t>
  </si>
  <si>
    <t>GD0927</t>
  </si>
  <si>
    <t>GD0928</t>
  </si>
  <si>
    <t>GD0929</t>
  </si>
  <si>
    <t>GD0930</t>
  </si>
  <si>
    <t>GD0931</t>
  </si>
  <si>
    <t>GD0932</t>
  </si>
  <si>
    <t>GD0933</t>
  </si>
  <si>
    <t>GD0934</t>
  </si>
  <si>
    <t>GD0935</t>
  </si>
  <si>
    <t>GD0936</t>
  </si>
  <si>
    <t>GD0937</t>
  </si>
  <si>
    <t>GD0938</t>
  </si>
  <si>
    <t>GD0939</t>
  </si>
  <si>
    <t>GD0940</t>
  </si>
  <si>
    <t>GD0941</t>
  </si>
  <si>
    <t>GD0942</t>
  </si>
  <si>
    <t>GD0943</t>
  </si>
  <si>
    <t>GD0944</t>
  </si>
  <si>
    <t>GD0945</t>
  </si>
  <si>
    <t>GD0946</t>
  </si>
  <si>
    <t>GD0947</t>
  </si>
  <si>
    <t>GD0948</t>
  </si>
  <si>
    <t>GD0949</t>
  </si>
  <si>
    <t>GD0950</t>
  </si>
  <si>
    <t>GD0951</t>
  </si>
  <si>
    <t>GD0952</t>
  </si>
  <si>
    <t>GD0953</t>
  </si>
  <si>
    <t>GD0954</t>
  </si>
  <si>
    <t>GD0955</t>
  </si>
  <si>
    <t>GD0956</t>
  </si>
  <si>
    <t>GD0957</t>
  </si>
  <si>
    <t>GD0958</t>
  </si>
  <si>
    <t>GD0959</t>
  </si>
  <si>
    <t>GD0960</t>
  </si>
  <si>
    <t>GD0961</t>
  </si>
  <si>
    <t>GD0962</t>
  </si>
  <si>
    <t>GD0963</t>
  </si>
  <si>
    <t>GD0964</t>
  </si>
  <si>
    <t>GD0965</t>
  </si>
  <si>
    <t>GD0966</t>
  </si>
  <si>
    <t>GD0967</t>
  </si>
  <si>
    <t>GD0968</t>
  </si>
  <si>
    <t>GD0969</t>
  </si>
  <si>
    <t>GD0970</t>
  </si>
  <si>
    <t>GD0971</t>
  </si>
  <si>
    <t>GD0972</t>
  </si>
  <si>
    <t>GD0973</t>
  </si>
  <si>
    <t>GD0974</t>
  </si>
  <si>
    <t>GD0975</t>
  </si>
  <si>
    <t>GD0976</t>
  </si>
  <si>
    <t>GD0977</t>
  </si>
  <si>
    <t>GD0978</t>
  </si>
  <si>
    <t>GD0979</t>
  </si>
  <si>
    <t>GD0980</t>
  </si>
  <si>
    <t>GD0981</t>
  </si>
  <si>
    <t>GD0982</t>
  </si>
  <si>
    <t>GD0983</t>
  </si>
  <si>
    <t>GD0984</t>
  </si>
  <si>
    <t>GD0985</t>
  </si>
  <si>
    <t>GD0986</t>
  </si>
  <si>
    <t>GD0987</t>
  </si>
  <si>
    <t>GD0988</t>
  </si>
  <si>
    <t>GD0989</t>
  </si>
  <si>
    <t>GD0990</t>
  </si>
  <si>
    <t>GD0991</t>
  </si>
  <si>
    <t>GD0992</t>
  </si>
  <si>
    <t>GD0993</t>
  </si>
  <si>
    <t>GD0994</t>
  </si>
  <si>
    <t>GD0995</t>
  </si>
  <si>
    <t>GD0996</t>
  </si>
  <si>
    <t>GD0997</t>
  </si>
  <si>
    <t>GD0998</t>
  </si>
  <si>
    <t>GD0999</t>
  </si>
  <si>
    <t>GD1000</t>
  </si>
  <si>
    <t>Avg Gaming Hours</t>
  </si>
  <si>
    <t>Avg Sleep hours</t>
  </si>
  <si>
    <t>Avg Monthly spending</t>
  </si>
  <si>
    <t>Severe%</t>
  </si>
  <si>
    <t>Low%</t>
  </si>
  <si>
    <t>Moderate%</t>
  </si>
  <si>
    <t>High%</t>
  </si>
  <si>
    <t>Row Labels</t>
  </si>
  <si>
    <t>Grand Total</t>
  </si>
  <si>
    <t>Count of gaming_addiction_risk_level</t>
  </si>
  <si>
    <t>Column Labels</t>
  </si>
  <si>
    <t>Age Category</t>
  </si>
  <si>
    <t>Old Adults</t>
  </si>
  <si>
    <t>Teenager</t>
  </si>
  <si>
    <t>Young Adults</t>
  </si>
  <si>
    <t>Details for Sum of daily_gaming_hours - Age Category: Old Adults</t>
  </si>
  <si>
    <t>Average of daily_gaming_hours</t>
  </si>
  <si>
    <t>Average of monthly_game_spending_usd</t>
  </si>
  <si>
    <t>Gaming Behavior &amp; Addiction Risk Analysis</t>
  </si>
  <si>
    <t>Most Addicted Game Genre Is Battle Royale</t>
  </si>
  <si>
    <t>Teenagers show the highest addiction levels.</t>
  </si>
  <si>
    <t>Male gamers account for the majority of addiction cases.</t>
  </si>
  <si>
    <t>Key Insights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</si>
</sst>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 #,##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48"/>
      <color theme="2"/>
      <name val="Arial"/>
      <family val="2"/>
    </font>
    <font>
      <b/>
      <sz val="16"/>
      <color theme="1"/>
      <name val="Calibri"/>
      <family val="2"/>
      <scheme val="minor"/>
    </font>
    <font>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2" fontId="0" fillId="0" borderId="0" xfId="0" applyNumberFormat="1"/>
    <xf numFmtId="0" fontId="0" fillId="0" borderId="0" xfId="0" applyNumberFormat="1"/>
    <xf numFmtId="166" fontId="0" fillId="0" borderId="0" xfId="0" applyNumberFormat="1"/>
    <xf numFmtId="9" fontId="0" fillId="0" borderId="0" xfId="1" applyFont="1"/>
    <xf numFmtId="9" fontId="0" fillId="0" borderId="0" xfId="0" applyNumberFormat="1"/>
    <xf numFmtId="0" fontId="0" fillId="0" borderId="0" xfId="0" pivotButton="1"/>
    <xf numFmtId="0" fontId="0" fillId="0" borderId="0" xfId="0" applyAlignment="1">
      <alignment horizontal="left"/>
    </xf>
    <xf numFmtId="0" fontId="16" fillId="0" borderId="0" xfId="0" applyFont="1"/>
    <xf numFmtId="0" fontId="18" fillId="33" borderId="0" xfId="0" applyFont="1" applyFill="1" applyAlignment="1">
      <alignment horizontal="center"/>
    </xf>
    <xf numFmtId="0" fontId="19" fillId="0" borderId="0" xfId="0" applyFont="1"/>
    <xf numFmtId="0" fontId="20" fillId="0" borderId="0" xfId="0"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[Gaming Dataset.xlsx]Piviot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Gender-Based</a:t>
            </a:r>
            <a:r>
              <a:rPr lang="en-IN" baseline="0"/>
              <a:t> Addicted Gamers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'Piviot Table'!$C$2:$C$3</c:f>
              <c:strCache>
                <c:ptCount val="1"/>
                <c:pt idx="0">
                  <c:v>Female</c:v>
                </c:pt>
              </c:strCache>
            </c:strRef>
          </c:tx>
          <c:spPr>
            <a:solidFill>
              <a:schemeClr val="accent1"/>
            </a:solidFill>
            <a:ln>
              <a:noFill/>
            </a:ln>
            <a:effectLst/>
          </c:spPr>
          <c:invertIfNegative val="0"/>
          <c:cat>
            <c:strRef>
              <c:f>'Piviot Table'!$B$4:$B$8</c:f>
              <c:strCache>
                <c:ptCount val="4"/>
                <c:pt idx="0">
                  <c:v>High</c:v>
                </c:pt>
                <c:pt idx="1">
                  <c:v>Low</c:v>
                </c:pt>
                <c:pt idx="2">
                  <c:v>Moderate</c:v>
                </c:pt>
                <c:pt idx="3">
                  <c:v>Severe</c:v>
                </c:pt>
              </c:strCache>
            </c:strRef>
          </c:cat>
          <c:val>
            <c:numRef>
              <c:f>'Piviot Table'!$C$4:$C$8</c:f>
              <c:numCache>
                <c:formatCode>General</c:formatCode>
                <c:ptCount val="4"/>
                <c:pt idx="0">
                  <c:v>42</c:v>
                </c:pt>
                <c:pt idx="1">
                  <c:v>176</c:v>
                </c:pt>
                <c:pt idx="2">
                  <c:v>68</c:v>
                </c:pt>
                <c:pt idx="3">
                  <c:v>45</c:v>
                </c:pt>
              </c:numCache>
            </c:numRef>
          </c:val>
          <c:extLst>
            <c:ext xmlns:c16="http://schemas.microsoft.com/office/drawing/2014/chart" uri="{C3380CC4-5D6E-409C-BE32-E72D297353CC}">
              <c16:uniqueId val="{00000000-D7CB-46AE-AB3C-9AB119FEC86A}"/>
            </c:ext>
          </c:extLst>
        </c:ser>
        <c:ser>
          <c:idx val="1"/>
          <c:order val="1"/>
          <c:tx>
            <c:strRef>
              <c:f>'Piviot Table'!$D$2:$D$3</c:f>
              <c:strCache>
                <c:ptCount val="1"/>
                <c:pt idx="0">
                  <c:v>Male</c:v>
                </c:pt>
              </c:strCache>
            </c:strRef>
          </c:tx>
          <c:spPr>
            <a:solidFill>
              <a:schemeClr val="accent2"/>
            </a:solidFill>
            <a:ln>
              <a:noFill/>
            </a:ln>
            <a:effectLst/>
          </c:spPr>
          <c:invertIfNegative val="0"/>
          <c:cat>
            <c:strRef>
              <c:f>'Piviot Table'!$B$4:$B$8</c:f>
              <c:strCache>
                <c:ptCount val="4"/>
                <c:pt idx="0">
                  <c:v>High</c:v>
                </c:pt>
                <c:pt idx="1">
                  <c:v>Low</c:v>
                </c:pt>
                <c:pt idx="2">
                  <c:v>Moderate</c:v>
                </c:pt>
                <c:pt idx="3">
                  <c:v>Severe</c:v>
                </c:pt>
              </c:strCache>
            </c:strRef>
          </c:cat>
          <c:val>
            <c:numRef>
              <c:f>'Piviot Table'!$D$4:$D$8</c:f>
              <c:numCache>
                <c:formatCode>General</c:formatCode>
                <c:ptCount val="4"/>
                <c:pt idx="0">
                  <c:v>108</c:v>
                </c:pt>
                <c:pt idx="1">
                  <c:v>327</c:v>
                </c:pt>
                <c:pt idx="2">
                  <c:v>117</c:v>
                </c:pt>
                <c:pt idx="3">
                  <c:v>95</c:v>
                </c:pt>
              </c:numCache>
            </c:numRef>
          </c:val>
          <c:extLst>
            <c:ext xmlns:c16="http://schemas.microsoft.com/office/drawing/2014/chart" uri="{C3380CC4-5D6E-409C-BE32-E72D297353CC}">
              <c16:uniqueId val="{0000000C-D7CB-46AE-AB3C-9AB119FEC86A}"/>
            </c:ext>
          </c:extLst>
        </c:ser>
        <c:ser>
          <c:idx val="2"/>
          <c:order val="2"/>
          <c:tx>
            <c:strRef>
              <c:f>'Piviot Table'!$E$2:$E$3</c:f>
              <c:strCache>
                <c:ptCount val="1"/>
                <c:pt idx="0">
                  <c:v>Other</c:v>
                </c:pt>
              </c:strCache>
            </c:strRef>
          </c:tx>
          <c:spPr>
            <a:solidFill>
              <a:schemeClr val="accent3"/>
            </a:solidFill>
            <a:ln>
              <a:noFill/>
            </a:ln>
            <a:effectLst/>
          </c:spPr>
          <c:invertIfNegative val="0"/>
          <c:cat>
            <c:strRef>
              <c:f>'Piviot Table'!$B$4:$B$8</c:f>
              <c:strCache>
                <c:ptCount val="4"/>
                <c:pt idx="0">
                  <c:v>High</c:v>
                </c:pt>
                <c:pt idx="1">
                  <c:v>Low</c:v>
                </c:pt>
                <c:pt idx="2">
                  <c:v>Moderate</c:v>
                </c:pt>
                <c:pt idx="3">
                  <c:v>Severe</c:v>
                </c:pt>
              </c:strCache>
            </c:strRef>
          </c:cat>
          <c:val>
            <c:numRef>
              <c:f>'Piviot Table'!$E$4:$E$8</c:f>
              <c:numCache>
                <c:formatCode>General</c:formatCode>
                <c:ptCount val="4"/>
                <c:pt idx="0">
                  <c:v>4</c:v>
                </c:pt>
                <c:pt idx="1">
                  <c:v>11</c:v>
                </c:pt>
                <c:pt idx="2">
                  <c:v>5</c:v>
                </c:pt>
                <c:pt idx="3">
                  <c:v>2</c:v>
                </c:pt>
              </c:numCache>
            </c:numRef>
          </c:val>
          <c:extLst>
            <c:ext xmlns:c16="http://schemas.microsoft.com/office/drawing/2014/chart" uri="{C3380CC4-5D6E-409C-BE32-E72D297353CC}">
              <c16:uniqueId val="{0000000D-D7CB-46AE-AB3C-9AB119FEC86A}"/>
            </c:ext>
          </c:extLst>
        </c:ser>
        <c:dLbls>
          <c:showLegendKey val="0"/>
          <c:showVal val="0"/>
          <c:showCatName val="0"/>
          <c:showSerName val="0"/>
          <c:showPercent val="0"/>
          <c:showBubbleSize val="0"/>
        </c:dLbls>
        <c:gapWidth val="219"/>
        <c:overlap val="-27"/>
        <c:axId val="335046719"/>
        <c:axId val="335048159"/>
      </c:barChart>
      <c:catAx>
        <c:axId val="3350467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Addiction Levels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048159"/>
        <c:crosses val="autoZero"/>
        <c:auto val="1"/>
        <c:lblAlgn val="ctr"/>
        <c:lblOffset val="100"/>
        <c:noMultiLvlLbl val="0"/>
      </c:catAx>
      <c:valAx>
        <c:axId val="3350481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 Of</a:t>
                </a:r>
                <a:r>
                  <a:rPr lang="en-IN" baseline="0"/>
                  <a:t> Addicts</a:t>
                </a:r>
                <a:endParaRPr lang="en-IN"/>
              </a:p>
            </c:rich>
          </c:tx>
          <c:layout>
            <c:manualLayout>
              <c:xMode val="edge"/>
              <c:yMode val="edge"/>
              <c:x val="2.4364176006978003E-2"/>
              <c:y val="0.264868778612311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0467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[Gaming Dataset.xlsx]Piviot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'Piviot Table'!$C$23</c:f>
              <c:strCache>
                <c:ptCount val="1"/>
                <c:pt idx="0">
                  <c:v>Total</c:v>
                </c:pt>
              </c:strCache>
            </c:strRef>
          </c:tx>
          <c:spPr>
            <a:solidFill>
              <a:schemeClr val="accent1"/>
            </a:solidFill>
            <a:ln>
              <a:noFill/>
            </a:ln>
            <a:effectLst/>
          </c:spPr>
          <c:invertIfNegative val="0"/>
          <c:cat>
            <c:strRef>
              <c:f>'Piviot Table'!$B$24:$B$27</c:f>
              <c:strCache>
                <c:ptCount val="3"/>
                <c:pt idx="0">
                  <c:v>Old Adults</c:v>
                </c:pt>
                <c:pt idx="1">
                  <c:v>Teenager</c:v>
                </c:pt>
                <c:pt idx="2">
                  <c:v>Young Adults</c:v>
                </c:pt>
              </c:strCache>
            </c:strRef>
          </c:cat>
          <c:val>
            <c:numRef>
              <c:f>'Piviot Table'!$C$24:$C$27</c:f>
              <c:numCache>
                <c:formatCode>0.00</c:formatCode>
                <c:ptCount val="3"/>
                <c:pt idx="0">
                  <c:v>4.8000000000000016</c:v>
                </c:pt>
                <c:pt idx="1">
                  <c:v>6.1334763948497883</c:v>
                </c:pt>
                <c:pt idx="2">
                  <c:v>6.2370078740157515</c:v>
                </c:pt>
              </c:numCache>
            </c:numRef>
          </c:val>
          <c:extLst>
            <c:ext xmlns:c16="http://schemas.microsoft.com/office/drawing/2014/chart" uri="{C3380CC4-5D6E-409C-BE32-E72D297353CC}">
              <c16:uniqueId val="{00000000-F459-4E2E-84A2-8FDA003B7442}"/>
            </c:ext>
          </c:extLst>
        </c:ser>
        <c:dLbls>
          <c:showLegendKey val="0"/>
          <c:showVal val="0"/>
          <c:showCatName val="0"/>
          <c:showSerName val="0"/>
          <c:showPercent val="0"/>
          <c:showBubbleSize val="0"/>
        </c:dLbls>
        <c:gapWidth val="150"/>
        <c:axId val="438309631"/>
        <c:axId val="438311551"/>
      </c:barChart>
      <c:catAx>
        <c:axId val="43830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311551"/>
        <c:crosses val="autoZero"/>
        <c:auto val="1"/>
        <c:lblAlgn val="ctr"/>
        <c:lblOffset val="100"/>
        <c:noMultiLvlLbl val="0"/>
      </c:catAx>
      <c:valAx>
        <c:axId val="4383115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309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[Gaming Dataset.xlsx]Piviot 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'Piviot Table'!$C$28</c:f>
              <c:strCache>
                <c:ptCount val="1"/>
                <c:pt idx="0">
                  <c:v>Total</c:v>
                </c:pt>
              </c:strCache>
            </c:strRef>
          </c:tx>
          <c:spPr>
            <a:ln w="28575" cap="rnd">
              <a:solidFill>
                <a:schemeClr val="accent1"/>
              </a:solidFill>
              <a:round/>
            </a:ln>
            <a:effectLst/>
          </c:spPr>
          <c:marker>
            <c:symbol val="none"/>
          </c:marker>
          <c:cat>
            <c:strRef>
              <c:f>'Piviot Table'!$B$29:$B$36</c:f>
              <c:strCache>
                <c:ptCount val="7"/>
                <c:pt idx="0">
                  <c:v>Battle Royale</c:v>
                </c:pt>
                <c:pt idx="1">
                  <c:v>FPS</c:v>
                </c:pt>
                <c:pt idx="2">
                  <c:v>MMO</c:v>
                </c:pt>
                <c:pt idx="3">
                  <c:v>MOBA</c:v>
                </c:pt>
                <c:pt idx="4">
                  <c:v>Mobile Games</c:v>
                </c:pt>
                <c:pt idx="5">
                  <c:v>RPG</c:v>
                </c:pt>
                <c:pt idx="6">
                  <c:v>Strategy</c:v>
                </c:pt>
              </c:strCache>
            </c:strRef>
          </c:cat>
          <c:val>
            <c:numRef>
              <c:f>'Piviot Table'!$C$29:$C$36</c:f>
              <c:numCache>
                <c:formatCode>"₹"\ #,##0.00</c:formatCode>
                <c:ptCount val="7"/>
                <c:pt idx="0">
                  <c:v>98.160283687943235</c:v>
                </c:pt>
                <c:pt idx="1">
                  <c:v>93.732537313432829</c:v>
                </c:pt>
                <c:pt idx="2">
                  <c:v>114.46706293706291</c:v>
                </c:pt>
                <c:pt idx="3">
                  <c:v>109.11083333333336</c:v>
                </c:pt>
                <c:pt idx="4">
                  <c:v>97.720287769784221</c:v>
                </c:pt>
                <c:pt idx="5">
                  <c:v>106.9008219178082</c:v>
                </c:pt>
                <c:pt idx="6">
                  <c:v>115.16489361702132</c:v>
                </c:pt>
              </c:numCache>
            </c:numRef>
          </c:val>
          <c:smooth val="0"/>
          <c:extLst>
            <c:ext xmlns:c16="http://schemas.microsoft.com/office/drawing/2014/chart" uri="{C3380CC4-5D6E-409C-BE32-E72D297353CC}">
              <c16:uniqueId val="{00000000-4766-4B89-822E-187CC9C356A6}"/>
            </c:ext>
          </c:extLst>
        </c:ser>
        <c:dLbls>
          <c:showLegendKey val="0"/>
          <c:showVal val="0"/>
          <c:showCatName val="0"/>
          <c:showSerName val="0"/>
          <c:showPercent val="0"/>
          <c:showBubbleSize val="0"/>
        </c:dLbls>
        <c:smooth val="0"/>
        <c:axId val="812198287"/>
        <c:axId val="812196367"/>
      </c:lineChart>
      <c:catAx>
        <c:axId val="81219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196367"/>
        <c:crosses val="autoZero"/>
        <c:auto val="1"/>
        <c:lblAlgn val="ctr"/>
        <c:lblOffset val="100"/>
        <c:noMultiLvlLbl val="0"/>
      </c:catAx>
      <c:valAx>
        <c:axId val="8121963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19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[Gaming Dataset.xlsx]Piviot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'Piviot Table'!$C$60</c:f>
              <c:strCache>
                <c:ptCount val="1"/>
                <c:pt idx="0">
                  <c:v>Total</c:v>
                </c:pt>
              </c:strCache>
            </c:strRef>
          </c:tx>
          <c:spPr>
            <a:solidFill>
              <a:schemeClr val="accent1"/>
            </a:solidFill>
            <a:ln>
              <a:noFill/>
            </a:ln>
            <a:effectLst/>
          </c:spPr>
          <c:invertIfNegative val="0"/>
          <c:cat>
            <c:strRef>
              <c:f>'Piviot Table'!$B$61:$B$68</c:f>
              <c:strCache>
                <c:ptCount val="7"/>
                <c:pt idx="0">
                  <c:v>Battle Royale</c:v>
                </c:pt>
                <c:pt idx="1">
                  <c:v>FPS</c:v>
                </c:pt>
                <c:pt idx="2">
                  <c:v>MMO</c:v>
                </c:pt>
                <c:pt idx="3">
                  <c:v>MOBA</c:v>
                </c:pt>
                <c:pt idx="4">
                  <c:v>Mobile Games</c:v>
                </c:pt>
                <c:pt idx="5">
                  <c:v>RPG</c:v>
                </c:pt>
                <c:pt idx="6">
                  <c:v>Strategy</c:v>
                </c:pt>
              </c:strCache>
            </c:strRef>
          </c:cat>
          <c:val>
            <c:numRef>
              <c:f>'Piviot Table'!$C$61:$C$68</c:f>
              <c:numCache>
                <c:formatCode>General</c:formatCode>
                <c:ptCount val="7"/>
                <c:pt idx="0">
                  <c:v>141</c:v>
                </c:pt>
                <c:pt idx="1">
                  <c:v>134</c:v>
                </c:pt>
                <c:pt idx="2">
                  <c:v>143</c:v>
                </c:pt>
                <c:pt idx="3">
                  <c:v>156</c:v>
                </c:pt>
                <c:pt idx="4">
                  <c:v>139</c:v>
                </c:pt>
                <c:pt idx="5">
                  <c:v>146</c:v>
                </c:pt>
                <c:pt idx="6">
                  <c:v>141</c:v>
                </c:pt>
              </c:numCache>
            </c:numRef>
          </c:val>
          <c:extLst>
            <c:ext xmlns:c16="http://schemas.microsoft.com/office/drawing/2014/chart" uri="{C3380CC4-5D6E-409C-BE32-E72D297353CC}">
              <c16:uniqueId val="{00000000-BAD7-41AA-9C9C-5ED7E5ED65B9}"/>
            </c:ext>
          </c:extLst>
        </c:ser>
        <c:dLbls>
          <c:showLegendKey val="0"/>
          <c:showVal val="0"/>
          <c:showCatName val="0"/>
          <c:showSerName val="0"/>
          <c:showPercent val="0"/>
          <c:showBubbleSize val="0"/>
        </c:dLbls>
        <c:gapWidth val="150"/>
        <c:axId val="743156239"/>
        <c:axId val="743152879"/>
      </c:barChart>
      <c:catAx>
        <c:axId val="74315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152879"/>
        <c:crosses val="autoZero"/>
        <c:auto val="1"/>
        <c:lblAlgn val="ctr"/>
        <c:lblOffset val="100"/>
        <c:noMultiLvlLbl val="0"/>
      </c:catAx>
      <c:valAx>
        <c:axId val="743152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15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[Gaming Dataset.xlsx]Piviot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Gender-Based Addicted Gamers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'Piviot Table'!$C$2:$C$3</c:f>
              <c:strCache>
                <c:ptCount val="1"/>
                <c:pt idx="0">
                  <c:v>Female</c:v>
                </c:pt>
              </c:strCache>
            </c:strRef>
          </c:tx>
          <c:spPr>
            <a:solidFill>
              <a:schemeClr val="accent1"/>
            </a:solidFill>
            <a:ln>
              <a:noFill/>
            </a:ln>
            <a:effectLst/>
          </c:spPr>
          <c:invertIfNegative val="0"/>
          <c:dPt>
            <c:idx val="3"/>
            <c:invertIfNegative val="0"/>
            <c:bubble3D val="0"/>
            <c:spPr/>
          </c:dPt>
          <c:cat>
            <c:strRef>
              <c:f>'Piviot Table'!$B$4:$B$8</c:f>
              <c:strCache>
                <c:ptCount val="4"/>
                <c:pt idx="0">
                  <c:v>High</c:v>
                </c:pt>
                <c:pt idx="1">
                  <c:v>Low</c:v>
                </c:pt>
                <c:pt idx="2">
                  <c:v>Moderate</c:v>
                </c:pt>
                <c:pt idx="3">
                  <c:v>Severe</c:v>
                </c:pt>
              </c:strCache>
            </c:strRef>
          </c:cat>
          <c:val>
            <c:numRef>
              <c:f>'Piviot Table'!$C$4:$C$8</c:f>
              <c:numCache>
                <c:formatCode>General</c:formatCode>
                <c:ptCount val="4"/>
                <c:pt idx="0">
                  <c:v>42</c:v>
                </c:pt>
                <c:pt idx="1">
                  <c:v>176</c:v>
                </c:pt>
                <c:pt idx="2">
                  <c:v>68</c:v>
                </c:pt>
                <c:pt idx="3">
                  <c:v>45</c:v>
                </c:pt>
              </c:numCache>
            </c:numRef>
          </c:val>
          <c:extLst>
            <c:ext xmlns:c16="http://schemas.microsoft.com/office/drawing/2014/chart" uri="{C3380CC4-5D6E-409C-BE32-E72D297353CC}">
              <c16:uniqueId val="{00000004-9CE1-4D6B-A8C8-0B6B8A6B4F8B}"/>
            </c:ext>
          </c:extLst>
        </c:ser>
        <c:ser>
          <c:idx val="1"/>
          <c:order val="1"/>
          <c:tx>
            <c:strRef>
              <c:f>'Piviot Table'!$D$2:$D$3</c:f>
              <c:strCache>
                <c:ptCount val="1"/>
                <c:pt idx="0">
                  <c:v>Male</c:v>
                </c:pt>
              </c:strCache>
            </c:strRef>
          </c:tx>
          <c:invertIfNegative val="0"/>
          <c:dPt>
            <c:idx val="3"/>
            <c:invertIfNegative val="0"/>
            <c:bubble3D val="0"/>
            <c:spPr/>
          </c:dPt>
          <c:cat>
            <c:strRef>
              <c:f>'Piviot Table'!$B$4:$B$8</c:f>
              <c:strCache>
                <c:ptCount val="4"/>
                <c:pt idx="0">
                  <c:v>High</c:v>
                </c:pt>
                <c:pt idx="1">
                  <c:v>Low</c:v>
                </c:pt>
                <c:pt idx="2">
                  <c:v>Moderate</c:v>
                </c:pt>
                <c:pt idx="3">
                  <c:v>Severe</c:v>
                </c:pt>
              </c:strCache>
            </c:strRef>
          </c:cat>
          <c:val>
            <c:numRef>
              <c:f>'Piviot Table'!$D$4:$D$8</c:f>
              <c:numCache>
                <c:formatCode>General</c:formatCode>
                <c:ptCount val="4"/>
                <c:pt idx="0">
                  <c:v>108</c:v>
                </c:pt>
                <c:pt idx="1">
                  <c:v>327</c:v>
                </c:pt>
                <c:pt idx="2">
                  <c:v>117</c:v>
                </c:pt>
                <c:pt idx="3">
                  <c:v>95</c:v>
                </c:pt>
              </c:numCache>
            </c:numRef>
          </c:val>
          <c:extLst>
            <c:ext xmlns:c16="http://schemas.microsoft.com/office/drawing/2014/chart" uri="{C3380CC4-5D6E-409C-BE32-E72D297353CC}">
              <c16:uniqueId val="{0000000B-9CE1-4D6B-A8C8-0B6B8A6B4F8B}"/>
            </c:ext>
          </c:extLst>
        </c:ser>
        <c:ser>
          <c:idx val="2"/>
          <c:order val="2"/>
          <c:tx>
            <c:strRef>
              <c:f>'Piviot Table'!$E$2:$E$3</c:f>
              <c:strCache>
                <c:ptCount val="1"/>
                <c:pt idx="0">
                  <c:v>Other</c:v>
                </c:pt>
              </c:strCache>
            </c:strRef>
          </c:tx>
          <c:invertIfNegative val="0"/>
          <c:dPt>
            <c:idx val="3"/>
            <c:invertIfNegative val="0"/>
            <c:bubble3D val="0"/>
            <c:spPr/>
          </c:dPt>
          <c:cat>
            <c:strRef>
              <c:f>'Piviot Table'!$B$4:$B$8</c:f>
              <c:strCache>
                <c:ptCount val="4"/>
                <c:pt idx="0">
                  <c:v>High</c:v>
                </c:pt>
                <c:pt idx="1">
                  <c:v>Low</c:v>
                </c:pt>
                <c:pt idx="2">
                  <c:v>Moderate</c:v>
                </c:pt>
                <c:pt idx="3">
                  <c:v>Severe</c:v>
                </c:pt>
              </c:strCache>
            </c:strRef>
          </c:cat>
          <c:val>
            <c:numRef>
              <c:f>'Piviot Table'!$E$4:$E$8</c:f>
              <c:numCache>
                <c:formatCode>General</c:formatCode>
                <c:ptCount val="4"/>
                <c:pt idx="0">
                  <c:v>4</c:v>
                </c:pt>
                <c:pt idx="1">
                  <c:v>11</c:v>
                </c:pt>
                <c:pt idx="2">
                  <c:v>5</c:v>
                </c:pt>
                <c:pt idx="3">
                  <c:v>2</c:v>
                </c:pt>
              </c:numCache>
            </c:numRef>
          </c:val>
          <c:extLst>
            <c:ext xmlns:c16="http://schemas.microsoft.com/office/drawing/2014/chart" uri="{C3380CC4-5D6E-409C-BE32-E72D297353CC}">
              <c16:uniqueId val="{0000000C-9CE1-4D6B-A8C8-0B6B8A6B4F8B}"/>
            </c:ext>
          </c:extLst>
        </c:ser>
        <c:dLbls>
          <c:showLegendKey val="0"/>
          <c:showVal val="0"/>
          <c:showCatName val="0"/>
          <c:showSerName val="0"/>
          <c:showPercent val="0"/>
          <c:showBubbleSize val="0"/>
        </c:dLbls>
        <c:gapWidth val="150"/>
        <c:axId val="438309631"/>
        <c:axId val="438311551"/>
      </c:barChart>
      <c:catAx>
        <c:axId val="43830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311551"/>
        <c:crosses val="autoZero"/>
        <c:auto val="1"/>
        <c:lblAlgn val="ctr"/>
        <c:lblOffset val="100"/>
        <c:noMultiLvlLbl val="0"/>
      </c:catAx>
      <c:valAx>
        <c:axId val="438311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309631"/>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[Gaming Dataset.xlsx]Piviot 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Gaming</a:t>
            </a:r>
            <a:r>
              <a:rPr lang="en-IN" baseline="0"/>
              <a:t> Hours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'Piviot Table'!$C$23</c:f>
              <c:strCache>
                <c:ptCount val="1"/>
                <c:pt idx="0">
                  <c:v>Total</c:v>
                </c:pt>
              </c:strCache>
            </c:strRef>
          </c:tx>
          <c:spPr>
            <a:solidFill>
              <a:schemeClr val="accent1"/>
            </a:solidFill>
            <a:ln>
              <a:noFill/>
            </a:ln>
            <a:effectLst/>
          </c:spPr>
          <c:invertIfNegative val="0"/>
          <c:cat>
            <c:strRef>
              <c:f>'Piviot Table'!$B$24:$B$27</c:f>
              <c:strCache>
                <c:ptCount val="3"/>
                <c:pt idx="0">
                  <c:v>Old Adults</c:v>
                </c:pt>
                <c:pt idx="1">
                  <c:v>Teenager</c:v>
                </c:pt>
                <c:pt idx="2">
                  <c:v>Young Adults</c:v>
                </c:pt>
              </c:strCache>
            </c:strRef>
          </c:cat>
          <c:val>
            <c:numRef>
              <c:f>'Piviot Table'!$C$24:$C$27</c:f>
              <c:numCache>
                <c:formatCode>0.00</c:formatCode>
                <c:ptCount val="3"/>
                <c:pt idx="0">
                  <c:v>4.8000000000000016</c:v>
                </c:pt>
                <c:pt idx="1">
                  <c:v>6.1334763948497883</c:v>
                </c:pt>
                <c:pt idx="2">
                  <c:v>6.2370078740157515</c:v>
                </c:pt>
              </c:numCache>
            </c:numRef>
          </c:val>
          <c:extLst>
            <c:ext xmlns:c16="http://schemas.microsoft.com/office/drawing/2014/chart" uri="{C3380CC4-5D6E-409C-BE32-E72D297353CC}">
              <c16:uniqueId val="{00000000-9FD7-44D4-81C1-A5B93FA27C61}"/>
            </c:ext>
          </c:extLst>
        </c:ser>
        <c:dLbls>
          <c:showLegendKey val="0"/>
          <c:showVal val="0"/>
          <c:showCatName val="0"/>
          <c:showSerName val="0"/>
          <c:showPercent val="0"/>
          <c:showBubbleSize val="0"/>
        </c:dLbls>
        <c:gapWidth val="150"/>
        <c:axId val="438309631"/>
        <c:axId val="438311551"/>
      </c:barChart>
      <c:catAx>
        <c:axId val="438309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311551"/>
        <c:crosses val="autoZero"/>
        <c:auto val="1"/>
        <c:lblAlgn val="ctr"/>
        <c:lblOffset val="100"/>
        <c:noMultiLvlLbl val="0"/>
      </c:catAx>
      <c:valAx>
        <c:axId val="438311551"/>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309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[Gaming Dataset.xlsx]Piviot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Spends</a:t>
            </a:r>
            <a:endParaRPr lang="en-IN"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'Piviot Table'!$C$28</c:f>
              <c:strCache>
                <c:ptCount val="1"/>
                <c:pt idx="0">
                  <c:v>Total</c:v>
                </c:pt>
              </c:strCache>
            </c:strRef>
          </c:tx>
          <c:spPr>
            <a:ln w="28575" cap="rnd">
              <a:solidFill>
                <a:schemeClr val="accent1"/>
              </a:solidFill>
              <a:round/>
            </a:ln>
            <a:effectLst/>
          </c:spPr>
          <c:marker>
            <c:symbol val="none"/>
          </c:marker>
          <c:cat>
            <c:strRef>
              <c:f>'Piviot Table'!$B$29:$B$36</c:f>
              <c:strCache>
                <c:ptCount val="7"/>
                <c:pt idx="0">
                  <c:v>Battle Royale</c:v>
                </c:pt>
                <c:pt idx="1">
                  <c:v>FPS</c:v>
                </c:pt>
                <c:pt idx="2">
                  <c:v>MMO</c:v>
                </c:pt>
                <c:pt idx="3">
                  <c:v>MOBA</c:v>
                </c:pt>
                <c:pt idx="4">
                  <c:v>Mobile Games</c:v>
                </c:pt>
                <c:pt idx="5">
                  <c:v>RPG</c:v>
                </c:pt>
                <c:pt idx="6">
                  <c:v>Strategy</c:v>
                </c:pt>
              </c:strCache>
            </c:strRef>
          </c:cat>
          <c:val>
            <c:numRef>
              <c:f>'Piviot Table'!$C$29:$C$36</c:f>
              <c:numCache>
                <c:formatCode>"₹"\ #,##0.00</c:formatCode>
                <c:ptCount val="7"/>
                <c:pt idx="0">
                  <c:v>98.160283687943235</c:v>
                </c:pt>
                <c:pt idx="1">
                  <c:v>93.732537313432829</c:v>
                </c:pt>
                <c:pt idx="2">
                  <c:v>114.46706293706291</c:v>
                </c:pt>
                <c:pt idx="3">
                  <c:v>109.11083333333336</c:v>
                </c:pt>
                <c:pt idx="4">
                  <c:v>97.720287769784221</c:v>
                </c:pt>
                <c:pt idx="5">
                  <c:v>106.9008219178082</c:v>
                </c:pt>
                <c:pt idx="6">
                  <c:v>115.16489361702132</c:v>
                </c:pt>
              </c:numCache>
            </c:numRef>
          </c:val>
          <c:smooth val="0"/>
          <c:extLst>
            <c:ext xmlns:c16="http://schemas.microsoft.com/office/drawing/2014/chart" uri="{C3380CC4-5D6E-409C-BE32-E72D297353CC}">
              <c16:uniqueId val="{00000000-6D0C-42D8-A512-4BE01434A613}"/>
            </c:ext>
          </c:extLst>
        </c:ser>
        <c:dLbls>
          <c:showLegendKey val="0"/>
          <c:showVal val="0"/>
          <c:showCatName val="0"/>
          <c:showSerName val="0"/>
          <c:showPercent val="0"/>
          <c:showBubbleSize val="0"/>
        </c:dLbls>
        <c:smooth val="0"/>
        <c:axId val="812198287"/>
        <c:axId val="812196367"/>
      </c:lineChart>
      <c:catAx>
        <c:axId val="81219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196367"/>
        <c:crosses val="autoZero"/>
        <c:auto val="1"/>
        <c:lblAlgn val="ctr"/>
        <c:lblOffset val="100"/>
        <c:noMultiLvlLbl val="0"/>
      </c:catAx>
      <c:valAx>
        <c:axId val="812196367"/>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198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[Gaming Dataset.xlsx]Piviot Table!PivotTable5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Addiction Risk By Gaming Genre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'Piviot Table'!$C$60</c:f>
              <c:strCache>
                <c:ptCount val="1"/>
                <c:pt idx="0">
                  <c:v>Total</c:v>
                </c:pt>
              </c:strCache>
            </c:strRef>
          </c:tx>
          <c:spPr>
            <a:solidFill>
              <a:schemeClr val="accent1"/>
            </a:solidFill>
            <a:ln>
              <a:noFill/>
            </a:ln>
            <a:effectLst/>
          </c:spPr>
          <c:invertIfNegative val="0"/>
          <c:cat>
            <c:strRef>
              <c:f>'Piviot Table'!$B$61:$B$68</c:f>
              <c:strCache>
                <c:ptCount val="7"/>
                <c:pt idx="0">
                  <c:v>Battle Royale</c:v>
                </c:pt>
                <c:pt idx="1">
                  <c:v>FPS</c:v>
                </c:pt>
                <c:pt idx="2">
                  <c:v>MMO</c:v>
                </c:pt>
                <c:pt idx="3">
                  <c:v>MOBA</c:v>
                </c:pt>
                <c:pt idx="4">
                  <c:v>Mobile Games</c:v>
                </c:pt>
                <c:pt idx="5">
                  <c:v>RPG</c:v>
                </c:pt>
                <c:pt idx="6">
                  <c:v>Strategy</c:v>
                </c:pt>
              </c:strCache>
            </c:strRef>
          </c:cat>
          <c:val>
            <c:numRef>
              <c:f>'Piviot Table'!$C$61:$C$68</c:f>
              <c:numCache>
                <c:formatCode>General</c:formatCode>
                <c:ptCount val="7"/>
                <c:pt idx="0">
                  <c:v>141</c:v>
                </c:pt>
                <c:pt idx="1">
                  <c:v>134</c:v>
                </c:pt>
                <c:pt idx="2">
                  <c:v>143</c:v>
                </c:pt>
                <c:pt idx="3">
                  <c:v>156</c:v>
                </c:pt>
                <c:pt idx="4">
                  <c:v>139</c:v>
                </c:pt>
                <c:pt idx="5">
                  <c:v>146</c:v>
                </c:pt>
                <c:pt idx="6">
                  <c:v>141</c:v>
                </c:pt>
              </c:numCache>
            </c:numRef>
          </c:val>
          <c:extLst>
            <c:ext xmlns:c16="http://schemas.microsoft.com/office/drawing/2014/chart" uri="{C3380CC4-5D6E-409C-BE32-E72D297353CC}">
              <c16:uniqueId val="{00000000-4645-40D2-AFE6-FC9702E18038}"/>
            </c:ext>
          </c:extLst>
        </c:ser>
        <c:dLbls>
          <c:showLegendKey val="0"/>
          <c:showVal val="0"/>
          <c:showCatName val="0"/>
          <c:showSerName val="0"/>
          <c:showPercent val="0"/>
          <c:showBubbleSize val="0"/>
        </c:dLbls>
        <c:gapWidth val="150"/>
        <c:axId val="743156239"/>
        <c:axId val="743152879"/>
      </c:barChart>
      <c:catAx>
        <c:axId val="74315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152879"/>
        <c:crosses val="autoZero"/>
        <c:auto val="1"/>
        <c:lblAlgn val="ctr"/>
        <c:lblOffset val="100"/>
        <c:noMultiLvlLbl val="0"/>
      </c:catAx>
      <c:valAx>
        <c:axId val="7431528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15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14</xdr:col>
      <xdr:colOff>162923</xdr:colOff>
      <xdr:row>0</xdr:row>
      <xdr:rowOff>41909</xdr:rowOff>
    </xdr:from>
    <xdr:to>
      <xdr:col>32</xdr:col>
      <xdr:colOff>143692</xdr:colOff>
      <xdr:row>18</xdr:row>
      <xdr:rowOff>108856</xdr:rowOff>
    </xdr:to>
    <xdr:graphicFrame macro="">
      <xdr:nvGraphicFramePr>
        <xdr:cNvPr id="2" name="Chart 1">
          <a:extLst>
            <a:ext uri="{FF2B5EF4-FFF2-40B4-BE49-F238E27FC236}">
              <a16:creationId xmlns:a16="http://schemas.microsoft.com/office/drawing/2014/main" id="{ED5FE369-D3BD-5101-F4AD-0D4AB03766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1064737</xdr:colOff>
      <xdr:row>20</xdr:row>
      <xdr:rowOff>82291</xdr:rowOff>
    </xdr:from>
    <xdr:to>
      <xdr:col>23</xdr:col>
      <xdr:colOff>220223</xdr:colOff>
      <xdr:row>35</xdr:row>
      <xdr:rowOff>153542</xdr:rowOff>
    </xdr:to>
    <xdr:graphicFrame macro="">
      <xdr:nvGraphicFramePr>
        <xdr:cNvPr id="3" name="Chart 2">
          <a:extLst>
            <a:ext uri="{FF2B5EF4-FFF2-40B4-BE49-F238E27FC236}">
              <a16:creationId xmlns:a16="http://schemas.microsoft.com/office/drawing/2014/main" id="{8EB71568-2DD0-2C58-CFE7-611C40DE49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98961</xdr:colOff>
      <xdr:row>36</xdr:row>
      <xdr:rowOff>33647</xdr:rowOff>
    </xdr:from>
    <xdr:to>
      <xdr:col>22</xdr:col>
      <xdr:colOff>49481</xdr:colOff>
      <xdr:row>51</xdr:row>
      <xdr:rowOff>104899</xdr:rowOff>
    </xdr:to>
    <xdr:graphicFrame macro="">
      <xdr:nvGraphicFramePr>
        <xdr:cNvPr id="4" name="Chart 3">
          <a:extLst>
            <a:ext uri="{FF2B5EF4-FFF2-40B4-BE49-F238E27FC236}">
              <a16:creationId xmlns:a16="http://schemas.microsoft.com/office/drawing/2014/main" id="{05B18775-E955-469D-5B78-93DC0B2EDB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2063151</xdr:colOff>
      <xdr:row>54</xdr:row>
      <xdr:rowOff>94890</xdr:rowOff>
    </xdr:from>
    <xdr:to>
      <xdr:col>16</xdr:col>
      <xdr:colOff>150962</xdr:colOff>
      <xdr:row>69</xdr:row>
      <xdr:rowOff>34505</xdr:rowOff>
    </xdr:to>
    <xdr:graphicFrame macro="">
      <xdr:nvGraphicFramePr>
        <xdr:cNvPr id="5" name="Chart 4">
          <a:extLst>
            <a:ext uri="{FF2B5EF4-FFF2-40B4-BE49-F238E27FC236}">
              <a16:creationId xmlns:a16="http://schemas.microsoft.com/office/drawing/2014/main" id="{08C6CC3A-F00E-883C-B0D8-1BF24BAEA6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511688</xdr:colOff>
      <xdr:row>4</xdr:row>
      <xdr:rowOff>20877</xdr:rowOff>
    </xdr:from>
    <xdr:to>
      <xdr:col>23</xdr:col>
      <xdr:colOff>10438</xdr:colOff>
      <xdr:row>19</xdr:row>
      <xdr:rowOff>104776</xdr:rowOff>
    </xdr:to>
    <xdr:graphicFrame macro="">
      <xdr:nvGraphicFramePr>
        <xdr:cNvPr id="2" name="Chart 1">
          <a:extLst>
            <a:ext uri="{FF2B5EF4-FFF2-40B4-BE49-F238E27FC236}">
              <a16:creationId xmlns:a16="http://schemas.microsoft.com/office/drawing/2014/main" id="{EEF98227-6127-482F-9288-4557FAE337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365343</xdr:colOff>
      <xdr:row>4</xdr:row>
      <xdr:rowOff>20877</xdr:rowOff>
    </xdr:from>
    <xdr:to>
      <xdr:col>15</xdr:col>
      <xdr:colOff>496747</xdr:colOff>
      <xdr:row>19</xdr:row>
      <xdr:rowOff>123825</xdr:rowOff>
    </xdr:to>
    <xdr:graphicFrame macro="">
      <xdr:nvGraphicFramePr>
        <xdr:cNvPr id="3" name="Chart 2">
          <a:extLst>
            <a:ext uri="{FF2B5EF4-FFF2-40B4-BE49-F238E27FC236}">
              <a16:creationId xmlns:a16="http://schemas.microsoft.com/office/drawing/2014/main" id="{BE0C359A-8E9E-48F1-9EA9-75E36315FE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349769</xdr:colOff>
      <xdr:row>19</xdr:row>
      <xdr:rowOff>123825</xdr:rowOff>
    </xdr:from>
    <xdr:to>
      <xdr:col>15</xdr:col>
      <xdr:colOff>487102</xdr:colOff>
      <xdr:row>33</xdr:row>
      <xdr:rowOff>57150</xdr:rowOff>
    </xdr:to>
    <xdr:graphicFrame macro="">
      <xdr:nvGraphicFramePr>
        <xdr:cNvPr id="4" name="Chart 3">
          <a:extLst>
            <a:ext uri="{FF2B5EF4-FFF2-40B4-BE49-F238E27FC236}">
              <a16:creationId xmlns:a16="http://schemas.microsoft.com/office/drawing/2014/main" id="{5DE1FAD4-FCF8-4CD9-B834-10EA868CCD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15240</xdr:colOff>
      <xdr:row>4</xdr:row>
      <xdr:rowOff>25401</xdr:rowOff>
    </xdr:from>
    <xdr:to>
      <xdr:col>3</xdr:col>
      <xdr:colOff>15240</xdr:colOff>
      <xdr:row>11</xdr:row>
      <xdr:rowOff>30481</xdr:rowOff>
    </xdr:to>
    <mc:AlternateContent xmlns:mc="http://schemas.openxmlformats.org/markup-compatibility/2006">
      <mc:Choice xmlns:a14="http://schemas.microsoft.com/office/drawing/2010/main" Requires="a14">
        <xdr:graphicFrame macro="">
          <xdr:nvGraphicFramePr>
            <xdr:cNvPr id="6" name="Age Category">
              <a:extLst>
                <a:ext uri="{FF2B5EF4-FFF2-40B4-BE49-F238E27FC236}">
                  <a16:creationId xmlns:a16="http://schemas.microsoft.com/office/drawing/2014/main" id="{72058FB7-A5B3-5E98-D673-5CB90BFB940B}"/>
                </a:ext>
              </a:extLst>
            </xdr:cNvPr>
            <xdr:cNvGraphicFramePr/>
          </xdr:nvGraphicFramePr>
          <xdr:xfrm>
            <a:off x="0" y="0"/>
            <a:ext cx="0" cy="0"/>
          </xdr:xfrm>
          <a:graphic>
            <a:graphicData uri="http://schemas.microsoft.com/office/drawing/2010/slicer">
              <sle:slicer xmlns:sle="http://schemas.microsoft.com/office/drawing/2010/slicer" name="Age Category"/>
            </a:graphicData>
          </a:graphic>
        </xdr:graphicFrame>
      </mc:Choice>
      <mc:Fallback>
        <xdr:sp macro="" textlink="">
          <xdr:nvSpPr>
            <xdr:cNvPr id="0" name=""/>
            <xdr:cNvSpPr>
              <a:spLocks noTextEdit="1"/>
            </xdr:cNvSpPr>
          </xdr:nvSpPr>
          <xdr:spPr>
            <a:xfrm>
              <a:off x="15240" y="749301"/>
              <a:ext cx="1828800" cy="1271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35560</xdr:colOff>
      <xdr:row>4</xdr:row>
      <xdr:rowOff>2541</xdr:rowOff>
    </xdr:from>
    <xdr:to>
      <xdr:col>6</xdr:col>
      <xdr:colOff>35560</xdr:colOff>
      <xdr:row>11</xdr:row>
      <xdr:rowOff>50801</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6831FE05-C46B-CBF2-FFA2-D7AEEE8AC3E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864360" y="726441"/>
              <a:ext cx="1828800" cy="1315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501570</xdr:colOff>
      <xdr:row>19</xdr:row>
      <xdr:rowOff>114300</xdr:rowOff>
    </xdr:from>
    <xdr:to>
      <xdr:col>23</xdr:col>
      <xdr:colOff>14469</xdr:colOff>
      <xdr:row>33</xdr:row>
      <xdr:rowOff>66675</xdr:rowOff>
    </xdr:to>
    <xdr:graphicFrame macro="">
      <xdr:nvGraphicFramePr>
        <xdr:cNvPr id="8" name="Chart 7">
          <a:extLst>
            <a:ext uri="{FF2B5EF4-FFF2-40B4-BE49-F238E27FC236}">
              <a16:creationId xmlns:a16="http://schemas.microsoft.com/office/drawing/2014/main" id="{F742B98E-0185-40E6-8F59-C22964C3F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thkumar more" refreshedDate="46078.980877430557" createdVersion="8" refreshedVersion="8" minRefreshableVersion="3" recordCount="1000" xr:uid="{8B92A813-457C-45CF-B109-50C964310A26}">
  <cacheSource type="worksheet">
    <worksheetSource ref="A1:AI1001" sheet="Gaming Dataset"/>
  </cacheSource>
  <cacheFields count="35">
    <cacheField name="record_id" numFmtId="0">
      <sharedItems/>
    </cacheField>
    <cacheField name="age" numFmtId="0">
      <sharedItems containsSemiMixedTypes="0" containsString="0" containsNumber="1" containsInteger="1" minValue="13" maxValue="35"/>
    </cacheField>
    <cacheField name="Age Category" numFmtId="0">
      <sharedItems count="3">
        <s v="Teenager"/>
        <s v="Young Adults"/>
        <s v="Old Adults"/>
      </sharedItems>
    </cacheField>
    <cacheField name="gender" numFmtId="0">
      <sharedItems count="3">
        <s v="Male"/>
        <s v="Female"/>
        <s v="Other"/>
      </sharedItems>
    </cacheField>
    <cacheField name="daily_gaming_hours" numFmtId="0">
      <sharedItems containsSemiMixedTypes="0" containsString="0" containsNumber="1" minValue="0.5" maxValue="15.1" count="132">
        <n v="11.1"/>
        <n v="3"/>
        <n v="7.6"/>
        <n v="7.2"/>
        <n v="6.8"/>
        <n v="2.1"/>
        <n v="2.7"/>
        <n v="10.3"/>
        <n v="1.4"/>
        <n v="1.5"/>
        <n v="9.5"/>
        <n v="5.0999999999999996"/>
        <n v="5.8"/>
        <n v="7.3"/>
        <n v="11.3"/>
        <n v="8.4"/>
        <n v="9.4"/>
        <n v="6.5"/>
        <n v="6.1"/>
        <n v="6.3"/>
        <n v="8.9"/>
        <n v="5.2"/>
        <n v="3.4"/>
        <n v="5.9"/>
        <n v="8.1999999999999993"/>
        <n v="1.2"/>
        <n v="4.7"/>
        <n v="1"/>
        <n v="6.6"/>
        <n v="4.5999999999999996"/>
        <n v="2.8"/>
        <n v="2.2999999999999998"/>
        <n v="4.4000000000000004"/>
        <n v="3.1"/>
        <n v="8"/>
        <n v="4.2"/>
        <n v="7.9"/>
        <n v="3.9"/>
        <n v="6.2"/>
        <n v="7"/>
        <n v="3.5"/>
        <n v="11.4"/>
        <n v="0.5"/>
        <n v="1.7"/>
        <n v="6"/>
        <n v="7.1"/>
        <n v="0.6"/>
        <n v="5.6"/>
        <n v="12.4"/>
        <n v="4.9000000000000004"/>
        <n v="15.1"/>
        <n v="4.8"/>
        <n v="2.6"/>
        <n v="4"/>
        <n v="5"/>
        <n v="5.7"/>
        <n v="8.3000000000000007"/>
        <n v="9"/>
        <n v="10.8"/>
        <n v="9.3000000000000007"/>
        <n v="6.4"/>
        <n v="1.1000000000000001"/>
        <n v="7.5"/>
        <n v="8.1"/>
        <n v="3.2"/>
        <n v="10.4"/>
        <n v="5.4"/>
        <n v="9.8000000000000007"/>
        <n v="2.9"/>
        <n v="12"/>
        <n v="5.5"/>
        <n v="3.6"/>
        <n v="9.1999999999999993"/>
        <n v="13"/>
        <n v="0.9"/>
        <n v="11.8"/>
        <n v="7.7"/>
        <n v="10"/>
        <n v="4.3"/>
        <n v="6.9"/>
        <n v="10.199999999999999"/>
        <n v="9.6999999999999993"/>
        <n v="5.3"/>
        <n v="10.6"/>
        <n v="6.7"/>
        <n v="2.2000000000000002"/>
        <n v="12.2"/>
        <n v="1.3"/>
        <n v="9.1"/>
        <n v="10.1"/>
        <n v="10.9"/>
        <n v="11"/>
        <n v="10.5"/>
        <n v="2"/>
        <n v="11.2"/>
        <n v="8.8000000000000007"/>
        <n v="3.7"/>
        <n v="8.6999999999999993"/>
        <n v="12.9"/>
        <n v="4.0999999999999996"/>
        <n v="7.8"/>
        <n v="0.7"/>
        <n v="14.2"/>
        <n v="12.6"/>
        <n v="1.9"/>
        <n v="1.8"/>
        <n v="9.9"/>
        <n v="3.8"/>
        <n v="8.6"/>
        <n v="0.8"/>
        <n v="7.4"/>
        <n v="10.7"/>
        <n v="4.5"/>
        <n v="13.9"/>
        <n v="13.3"/>
        <n v="1.6"/>
        <n v="2.5"/>
        <n v="8.5"/>
        <n v="12.5"/>
        <n v="11.7"/>
        <n v="11.6"/>
        <n v="14.1"/>
        <n v="9.6"/>
        <n v="3.3"/>
        <n v="13.2"/>
        <n v="13.4"/>
        <n v="12.3"/>
        <n v="12.1"/>
        <n v="13.5"/>
        <n v="11.9"/>
        <n v="14.7"/>
        <n v="13.6"/>
      </sharedItems>
    </cacheField>
    <cacheField name="Avg Gaming Hours" numFmtId="0">
      <sharedItems containsString="0" containsBlank="1" containsNumber="1" minValue="6.1513999999999998" maxValue="6.1513999999999998" count="2">
        <n v="6.1513999999999998"/>
        <m/>
      </sharedItems>
    </cacheField>
    <cacheField name="game_genre" numFmtId="0">
      <sharedItems count="7">
        <s v="Mobile Games"/>
        <s v="MOBA"/>
        <s v="FPS"/>
        <s v="RPG"/>
        <s v="Battle Royale"/>
        <s v="MMO"/>
        <s v="Strategy"/>
      </sharedItems>
    </cacheField>
    <cacheField name="primary_game" numFmtId="0">
      <sharedItems/>
    </cacheField>
    <cacheField name="gaming_platform" numFmtId="0">
      <sharedItems/>
    </cacheField>
    <cacheField name="sleep_hours" numFmtId="0">
      <sharedItems containsSemiMixedTypes="0" containsString="0" containsNumber="1" minValue="3" maxValue="9"/>
    </cacheField>
    <cacheField name="Avg Sleep hours" numFmtId="0">
      <sharedItems containsString="0" containsBlank="1" containsNumber="1" minValue="5.7381000000000038" maxValue="5.7381000000000038"/>
    </cacheField>
    <cacheField name="sleep_quality" numFmtId="0">
      <sharedItems/>
    </cacheField>
    <cacheField name="sleep_disruption_frequency" numFmtId="0">
      <sharedItems/>
    </cacheField>
    <cacheField name="academic_work_performance" numFmtId="0">
      <sharedItems/>
    </cacheField>
    <cacheField name="grades_gpa" numFmtId="0">
      <sharedItems containsString="0" containsBlank="1" containsNumber="1" minValue="1.01" maxValue="4"/>
    </cacheField>
    <cacheField name="work_productivity_score" numFmtId="0">
      <sharedItems containsString="0" containsBlank="1" containsNumber="1" containsInteger="1" minValue="1" maxValue="10"/>
    </cacheField>
    <cacheField name="mood_state" numFmtId="0">
      <sharedItems/>
    </cacheField>
    <cacheField name="mood_swing_frequency" numFmtId="0">
      <sharedItems/>
    </cacheField>
    <cacheField name="withdrawal_symptoms" numFmtId="0">
      <sharedItems/>
    </cacheField>
    <cacheField name="loss_of_other_interests" numFmtId="0">
      <sharedItems/>
    </cacheField>
    <cacheField name="continued_despite_problems" numFmtId="0">
      <sharedItems/>
    </cacheField>
    <cacheField name="eye_strain" numFmtId="0">
      <sharedItems/>
    </cacheField>
    <cacheField name="back_neck_pain" numFmtId="0">
      <sharedItems/>
    </cacheField>
    <cacheField name="weight_change_kg" numFmtId="0">
      <sharedItems containsSemiMixedTypes="0" containsString="0" containsNumber="1" minValue="0" maxValue="8.9"/>
    </cacheField>
    <cacheField name="exercise_hours_weekly" numFmtId="0">
      <sharedItems containsSemiMixedTypes="0" containsString="0" containsNumber="1" minValue="0.7" maxValue="11.5"/>
    </cacheField>
    <cacheField name="social_isolation_score" numFmtId="0">
      <sharedItems containsSemiMixedTypes="0" containsString="0" containsNumber="1" containsInteger="1" minValue="1" maxValue="10"/>
    </cacheField>
    <cacheField name="face_to_face_social_hours_weekly" numFmtId="0">
      <sharedItems containsSemiMixedTypes="0" containsString="0" containsNumber="1" minValue="0" maxValue="16.7"/>
    </cacheField>
    <cacheField name="monthly_game_spending_usd" numFmtId="166">
      <sharedItems containsSemiMixedTypes="0" containsString="0" containsNumber="1" minValue="0.1" maxValue="499.27"/>
    </cacheField>
    <cacheField name="Avg Monthly spending" numFmtId="166">
      <sharedItems containsString="0" containsBlank="1" containsNumber="1" minValue="105.21973000000003" maxValue="105.21973000000003"/>
    </cacheField>
    <cacheField name="years_gaming" numFmtId="0">
      <sharedItems containsSemiMixedTypes="0" containsString="0" containsNumber="1" containsInteger="1" minValue="1" maxValue="20"/>
    </cacheField>
    <cacheField name="gaming_addiction_risk_level" numFmtId="0">
      <sharedItems count="4">
        <s v="Severe"/>
        <s v="Low"/>
        <s v="High"/>
        <s v="Moderate"/>
      </sharedItems>
    </cacheField>
    <cacheField name="Severe%" numFmtId="9">
      <sharedItems containsString="0" containsBlank="1" containsNumber="1" minValue="0.14199999999999999" maxValue="0.14199999999999999"/>
    </cacheField>
    <cacheField name="Low%" numFmtId="0">
      <sharedItems containsString="0" containsBlank="1" containsNumber="1" minValue="0.51451451451451446" maxValue="0.51451451451451446"/>
    </cacheField>
    <cacheField name="Moderate%" numFmtId="0">
      <sharedItems containsString="0" containsBlank="1" containsNumber="1" minValue="0.19038076152304609" maxValue="0.19038076152304609"/>
    </cacheField>
    <cacheField name="High%" numFmtId="0">
      <sharedItems containsString="0" containsBlank="1" containsNumber="1" minValue="0.15446339017051153" maxValue="0.15446339017051153"/>
    </cacheField>
  </cacheFields>
  <extLst>
    <ext xmlns:x14="http://schemas.microsoft.com/office/spreadsheetml/2009/9/main" uri="{725AE2AE-9491-48be-B2B4-4EB974FC3084}">
      <x14:pivotCacheDefinition pivotCacheId="6220198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GD0001"/>
    <n v="17"/>
    <x v="0"/>
    <x v="0"/>
    <x v="0"/>
    <x v="0"/>
    <x v="0"/>
    <s v="Clash of Clans"/>
    <s v="PC"/>
    <n v="3.7"/>
    <n v="5.7381000000000038"/>
    <s v="Very Poor"/>
    <s v="Sometimes"/>
    <s v="Below Average"/>
    <n v="1.25"/>
    <m/>
    <s v="Anxious"/>
    <s v="Never"/>
    <b v="1"/>
    <b v="0"/>
    <b v="1"/>
    <b v="1"/>
    <b v="0"/>
    <n v="6.8"/>
    <n v="3.7"/>
    <n v="7"/>
    <n v="1.3"/>
    <n v="383.7"/>
    <n v="105.21973000000003"/>
    <n v="3"/>
    <x v="0"/>
    <n v="0.14199999999999999"/>
    <n v="0.51451451451451446"/>
    <n v="0.19038076152304609"/>
    <n v="0.15446339017051153"/>
  </r>
  <r>
    <s v="GD0002"/>
    <n v="21"/>
    <x v="1"/>
    <x v="0"/>
    <x v="1"/>
    <x v="1"/>
    <x v="1"/>
    <s v="Dota 2"/>
    <s v="PC"/>
    <n v="7.2"/>
    <m/>
    <s v="Fair"/>
    <s v="Rarely"/>
    <s v="Good"/>
    <n v="3.75"/>
    <n v="2"/>
    <s v="Irritable"/>
    <s v="Often"/>
    <b v="0"/>
    <b v="0"/>
    <b v="0"/>
    <b v="0"/>
    <b v="0"/>
    <n v="0.4"/>
    <n v="8.5"/>
    <n v="2"/>
    <n v="10.7"/>
    <n v="46.64"/>
    <m/>
    <n v="1"/>
    <x v="1"/>
    <m/>
    <m/>
    <m/>
    <m/>
  </r>
  <r>
    <s v="GD0003"/>
    <n v="23"/>
    <x v="1"/>
    <x v="0"/>
    <x v="2"/>
    <x v="1"/>
    <x v="2"/>
    <s v="CS:GO"/>
    <s v="Multi-platform"/>
    <n v="4.4000000000000004"/>
    <m/>
    <s v="Fair"/>
    <s v="Often"/>
    <s v="Poor"/>
    <m/>
    <n v="9"/>
    <s v="Irritable"/>
    <s v="Rarely"/>
    <b v="1"/>
    <b v="1"/>
    <b v="1"/>
    <b v="0"/>
    <b v="1"/>
    <n v="1.8"/>
    <n v="7.1"/>
    <n v="5"/>
    <n v="3.2"/>
    <n v="100.81"/>
    <m/>
    <n v="6"/>
    <x v="0"/>
    <m/>
    <m/>
    <m/>
    <m/>
  </r>
  <r>
    <s v="GD0004"/>
    <n v="20"/>
    <x v="1"/>
    <x v="1"/>
    <x v="3"/>
    <x v="1"/>
    <x v="3"/>
    <s v="Skyrim"/>
    <s v="Multi-platform"/>
    <n v="5.0999999999999996"/>
    <m/>
    <s v="Fair"/>
    <s v="Often"/>
    <s v="Poor"/>
    <n v="1.62"/>
    <n v="2"/>
    <s v="Withdrawn"/>
    <s v="Daily"/>
    <b v="1"/>
    <b v="1"/>
    <b v="0"/>
    <b v="1"/>
    <b v="1"/>
    <n v="0.2"/>
    <n v="5.2"/>
    <n v="4"/>
    <n v="9.1"/>
    <n v="51.6"/>
    <m/>
    <n v="7"/>
    <x v="2"/>
    <m/>
    <m/>
    <m/>
    <m/>
  </r>
  <r>
    <s v="GD0005"/>
    <n v="18"/>
    <x v="0"/>
    <x v="0"/>
    <x v="4"/>
    <x v="1"/>
    <x v="4"/>
    <s v="Apex Legends"/>
    <s v="PC"/>
    <n v="3.4"/>
    <m/>
    <s v="Poor"/>
    <s v="Never"/>
    <s v="Average"/>
    <n v="2.44"/>
    <m/>
    <s v="Angry"/>
    <s v="Daily"/>
    <b v="1"/>
    <b v="0"/>
    <b v="0"/>
    <b v="0"/>
    <b v="0"/>
    <n v="0.5"/>
    <n v="6.1"/>
    <n v="4"/>
    <n v="4.5"/>
    <n v="32.57"/>
    <m/>
    <n v="1"/>
    <x v="3"/>
    <m/>
    <m/>
    <m/>
    <m/>
  </r>
  <r>
    <s v="GD0006"/>
    <n v="21"/>
    <x v="1"/>
    <x v="0"/>
    <x v="5"/>
    <x v="1"/>
    <x v="0"/>
    <s v="Clash of Clans"/>
    <s v="PC"/>
    <n v="7.5"/>
    <m/>
    <s v="Fair"/>
    <s v="Rarely"/>
    <s v="Good"/>
    <n v="3.81"/>
    <n v="4"/>
    <s v="Normal"/>
    <s v="Never"/>
    <b v="0"/>
    <b v="0"/>
    <b v="0"/>
    <b v="0"/>
    <b v="0"/>
    <n v="0.2"/>
    <n v="10.8"/>
    <n v="1"/>
    <n v="9.6"/>
    <n v="8.6300000000000008"/>
    <m/>
    <n v="4"/>
    <x v="1"/>
    <m/>
    <m/>
    <m/>
    <m/>
  </r>
  <r>
    <s v="GD0007"/>
    <n v="21"/>
    <x v="1"/>
    <x v="0"/>
    <x v="6"/>
    <x v="1"/>
    <x v="2"/>
    <s v="Call of Duty"/>
    <s v="Multi-platform"/>
    <n v="7.2"/>
    <m/>
    <s v="Very Poor"/>
    <s v="Often"/>
    <s v="Below Average"/>
    <n v="1.82"/>
    <n v="6"/>
    <s v="Euphoric"/>
    <s v="Rarely"/>
    <b v="0"/>
    <b v="0"/>
    <b v="0"/>
    <b v="0"/>
    <b v="0"/>
    <n v="0.8"/>
    <n v="10"/>
    <n v="2"/>
    <n v="10.1"/>
    <n v="35.25"/>
    <m/>
    <n v="3"/>
    <x v="1"/>
    <m/>
    <m/>
    <m/>
    <m/>
  </r>
  <r>
    <s v="GD0008"/>
    <n v="28"/>
    <x v="1"/>
    <x v="1"/>
    <x v="7"/>
    <x v="1"/>
    <x v="0"/>
    <s v="Clash of Clans"/>
    <s v="Console"/>
    <n v="5.2"/>
    <m/>
    <s v="Fair"/>
    <s v="Sometimes"/>
    <s v="Poor"/>
    <m/>
    <n v="1"/>
    <s v="Anxious"/>
    <s v="Rarely"/>
    <b v="1"/>
    <b v="1"/>
    <b v="1"/>
    <b v="1"/>
    <b v="1"/>
    <n v="2.4"/>
    <n v="5.6"/>
    <n v="6"/>
    <n v="0.2"/>
    <n v="299.27999999999997"/>
    <m/>
    <n v="13"/>
    <x v="0"/>
    <m/>
    <m/>
    <m/>
    <m/>
  </r>
  <r>
    <s v="GD0009"/>
    <n v="18"/>
    <x v="0"/>
    <x v="0"/>
    <x v="8"/>
    <x v="1"/>
    <x v="0"/>
    <s v="Genshin Impact"/>
    <s v="PC"/>
    <n v="8.9"/>
    <m/>
    <s v="Poor"/>
    <s v="Always"/>
    <s v="Good"/>
    <n v="2.4300000000000002"/>
    <m/>
    <s v="Euphoric"/>
    <s v="Daily"/>
    <b v="0"/>
    <b v="0"/>
    <b v="0"/>
    <b v="0"/>
    <b v="0"/>
    <n v="0.1"/>
    <n v="10.1"/>
    <n v="1"/>
    <n v="12.9"/>
    <n v="49.4"/>
    <m/>
    <n v="6"/>
    <x v="1"/>
    <m/>
    <m/>
    <m/>
    <m/>
  </r>
  <r>
    <s v="GD0010"/>
    <n v="18"/>
    <x v="0"/>
    <x v="0"/>
    <x v="2"/>
    <x v="1"/>
    <x v="5"/>
    <s v="Final Fantasy XIV"/>
    <s v="Multi-platform"/>
    <n v="3.5"/>
    <m/>
    <s v="Insomnia"/>
    <s v="Often"/>
    <s v="Average"/>
    <n v="1.1299999999999999"/>
    <m/>
    <s v="Anxious"/>
    <s v="Never"/>
    <b v="1"/>
    <b v="1"/>
    <b v="1"/>
    <b v="1"/>
    <b v="0"/>
    <n v="3.3"/>
    <n v="4.5"/>
    <n v="6"/>
    <n v="4.5999999999999996"/>
    <n v="135.19999999999999"/>
    <m/>
    <n v="6"/>
    <x v="0"/>
    <m/>
    <m/>
    <m/>
    <m/>
  </r>
  <r>
    <s v="GD0011"/>
    <n v="16"/>
    <x v="0"/>
    <x v="0"/>
    <x v="9"/>
    <x v="1"/>
    <x v="2"/>
    <s v="CS:GO"/>
    <s v="Multi-platform"/>
    <n v="8.4"/>
    <m/>
    <s v="Good"/>
    <s v="Often"/>
    <s v="Good"/>
    <n v="3.04"/>
    <m/>
    <s v="Restless"/>
    <s v="Daily"/>
    <b v="0"/>
    <b v="0"/>
    <b v="0"/>
    <b v="0"/>
    <b v="0"/>
    <n v="0.2"/>
    <n v="10.1"/>
    <n v="1"/>
    <n v="11"/>
    <n v="28.23"/>
    <m/>
    <n v="4"/>
    <x v="1"/>
    <m/>
    <m/>
    <m/>
    <m/>
  </r>
  <r>
    <s v="GD0012"/>
    <n v="14"/>
    <x v="0"/>
    <x v="0"/>
    <x v="1"/>
    <x v="1"/>
    <x v="6"/>
    <s v="StarCraft II"/>
    <s v="PC"/>
    <n v="7.2"/>
    <m/>
    <s v="Good"/>
    <s v="Sometimes"/>
    <s v="Excellent"/>
    <n v="3.15"/>
    <m/>
    <s v="Normal"/>
    <s v="Rarely"/>
    <b v="0"/>
    <b v="0"/>
    <b v="0"/>
    <b v="0"/>
    <b v="0"/>
    <n v="0.3"/>
    <n v="9.4"/>
    <n v="1"/>
    <n v="13.9"/>
    <n v="46.36"/>
    <m/>
    <n v="3"/>
    <x v="1"/>
    <m/>
    <m/>
    <m/>
    <m/>
  </r>
  <r>
    <s v="GD0013"/>
    <n v="28"/>
    <x v="1"/>
    <x v="0"/>
    <x v="10"/>
    <x v="1"/>
    <x v="0"/>
    <s v="Genshin Impact"/>
    <s v="Mobile"/>
    <n v="3.6"/>
    <m/>
    <s v="Very Poor"/>
    <s v="Never"/>
    <s v="Poor"/>
    <m/>
    <n v="8"/>
    <s v="Withdrawn"/>
    <s v="Rarely"/>
    <b v="1"/>
    <b v="0"/>
    <b v="0"/>
    <b v="1"/>
    <b v="1"/>
    <n v="2.2000000000000002"/>
    <n v="5.0999999999999996"/>
    <n v="5"/>
    <n v="1.6"/>
    <n v="482.71"/>
    <m/>
    <n v="7"/>
    <x v="2"/>
    <m/>
    <m/>
    <m/>
    <m/>
  </r>
  <r>
    <s v="GD0014"/>
    <n v="22"/>
    <x v="1"/>
    <x v="0"/>
    <x v="11"/>
    <x v="1"/>
    <x v="3"/>
    <s v="Skyrim"/>
    <s v="Mobile"/>
    <n v="5.3"/>
    <m/>
    <s v="Fair"/>
    <s v="Never"/>
    <s v="Average"/>
    <n v="3.25"/>
    <n v="6"/>
    <s v="Anxious"/>
    <s v="Rarely"/>
    <b v="0"/>
    <b v="0"/>
    <b v="0"/>
    <b v="1"/>
    <b v="0"/>
    <n v="0.9"/>
    <n v="7.6"/>
    <n v="3"/>
    <n v="6.3"/>
    <n v="36.07"/>
    <m/>
    <n v="5"/>
    <x v="1"/>
    <m/>
    <m/>
    <m/>
    <m/>
  </r>
  <r>
    <s v="GD0015"/>
    <n v="21"/>
    <x v="1"/>
    <x v="0"/>
    <x v="12"/>
    <x v="1"/>
    <x v="3"/>
    <s v="Elden Ring"/>
    <s v="Console"/>
    <n v="5.2"/>
    <m/>
    <s v="Good"/>
    <s v="Often"/>
    <s v="Good"/>
    <n v="2.54"/>
    <n v="2"/>
    <s v="Restless"/>
    <s v="Rarely"/>
    <b v="0"/>
    <b v="0"/>
    <b v="0"/>
    <b v="0"/>
    <b v="1"/>
    <n v="1.2"/>
    <n v="8.1999999999999993"/>
    <n v="3"/>
    <n v="9"/>
    <n v="104.01"/>
    <m/>
    <n v="2"/>
    <x v="1"/>
    <m/>
    <m/>
    <m/>
    <m/>
  </r>
  <r>
    <s v="GD0016"/>
    <n v="25"/>
    <x v="1"/>
    <x v="0"/>
    <x v="13"/>
    <x v="1"/>
    <x v="0"/>
    <s v="Clash of Clans"/>
    <s v="Console"/>
    <n v="5.6"/>
    <m/>
    <s v="Poor"/>
    <s v="Often"/>
    <s v="Poor"/>
    <m/>
    <n v="5"/>
    <s v="Anxious"/>
    <s v="Never"/>
    <b v="1"/>
    <b v="1"/>
    <b v="0"/>
    <b v="1"/>
    <b v="1"/>
    <n v="3.3"/>
    <n v="6.9"/>
    <n v="6"/>
    <n v="6.8"/>
    <n v="68.25"/>
    <m/>
    <n v="7"/>
    <x v="2"/>
    <m/>
    <m/>
    <m/>
    <m/>
  </r>
  <r>
    <s v="GD0017"/>
    <n v="19"/>
    <x v="0"/>
    <x v="0"/>
    <x v="1"/>
    <x v="1"/>
    <x v="0"/>
    <s v="Genshin Impact"/>
    <s v="Console"/>
    <n v="7.4"/>
    <m/>
    <s v="Fair"/>
    <s v="Sometimes"/>
    <s v="Poor"/>
    <n v="1.64"/>
    <n v="3"/>
    <s v="Normal"/>
    <s v="Never"/>
    <b v="0"/>
    <b v="0"/>
    <b v="0"/>
    <b v="0"/>
    <b v="0"/>
    <n v="0.1"/>
    <n v="6.7"/>
    <n v="3"/>
    <n v="13.1"/>
    <n v="1.63"/>
    <m/>
    <n v="9"/>
    <x v="1"/>
    <m/>
    <m/>
    <m/>
    <m/>
  </r>
  <r>
    <s v="GD0018"/>
    <n v="22"/>
    <x v="1"/>
    <x v="1"/>
    <x v="14"/>
    <x v="1"/>
    <x v="1"/>
    <s v="League of Legends"/>
    <s v="Multi-platform"/>
    <n v="4.5999999999999996"/>
    <m/>
    <s v="Poor"/>
    <s v="Sometimes"/>
    <s v="Poor"/>
    <n v="1.89"/>
    <n v="8"/>
    <s v="Anxious"/>
    <s v="Often"/>
    <b v="1"/>
    <b v="0"/>
    <b v="0"/>
    <b v="1"/>
    <b v="1"/>
    <n v="5.7"/>
    <n v="4.9000000000000004"/>
    <n v="9"/>
    <n v="0.9"/>
    <n v="77.239999999999995"/>
    <m/>
    <n v="10"/>
    <x v="2"/>
    <m/>
    <m/>
    <m/>
    <m/>
  </r>
  <r>
    <s v="GD0019"/>
    <n v="20"/>
    <x v="1"/>
    <x v="0"/>
    <x v="15"/>
    <x v="1"/>
    <x v="2"/>
    <s v="Call of Duty"/>
    <s v="Mobile"/>
    <n v="3.2"/>
    <m/>
    <s v="Very Poor"/>
    <s v="Always"/>
    <s v="Average"/>
    <n v="2.76"/>
    <n v="2"/>
    <s v="Angry"/>
    <s v="Sometimes"/>
    <b v="1"/>
    <b v="1"/>
    <b v="1"/>
    <b v="1"/>
    <b v="0"/>
    <n v="0.4"/>
    <n v="7.1"/>
    <n v="7"/>
    <n v="8.1"/>
    <n v="118.79"/>
    <m/>
    <n v="6"/>
    <x v="0"/>
    <m/>
    <m/>
    <m/>
    <m/>
  </r>
  <r>
    <s v="GD0020"/>
    <n v="20"/>
    <x v="1"/>
    <x v="0"/>
    <x v="16"/>
    <x v="1"/>
    <x v="4"/>
    <s v="Warzone"/>
    <s v="Console"/>
    <n v="5.5"/>
    <m/>
    <s v="Poor"/>
    <s v="Sometimes"/>
    <s v="Below Average"/>
    <n v="2.14"/>
    <n v="7"/>
    <s v="Anxious"/>
    <s v="Rarely"/>
    <b v="1"/>
    <b v="1"/>
    <b v="0"/>
    <b v="0"/>
    <b v="1"/>
    <n v="1.7"/>
    <n v="4.8"/>
    <n v="7"/>
    <n v="2.2000000000000002"/>
    <n v="120.16"/>
    <m/>
    <n v="1"/>
    <x v="0"/>
    <m/>
    <m/>
    <m/>
    <m/>
  </r>
  <r>
    <s v="GD0021"/>
    <n v="22"/>
    <x v="1"/>
    <x v="0"/>
    <x v="17"/>
    <x v="1"/>
    <x v="3"/>
    <s v="Cyberpunk 2077"/>
    <s v="Console"/>
    <n v="4.4000000000000004"/>
    <m/>
    <s v="Poor"/>
    <s v="Always"/>
    <s v="Below Average"/>
    <n v="2.91"/>
    <n v="3"/>
    <s v="Normal"/>
    <s v="Never"/>
    <b v="0"/>
    <b v="1"/>
    <b v="0"/>
    <b v="1"/>
    <b v="0"/>
    <n v="3.4"/>
    <n v="6.4"/>
    <n v="6"/>
    <n v="9.1"/>
    <n v="16.989999999999998"/>
    <m/>
    <n v="12"/>
    <x v="3"/>
    <m/>
    <m/>
    <m/>
    <m/>
  </r>
  <r>
    <s v="GD0022"/>
    <n v="16"/>
    <x v="0"/>
    <x v="1"/>
    <x v="18"/>
    <x v="1"/>
    <x v="1"/>
    <s v="League of Legends"/>
    <s v="Console"/>
    <n v="5.3"/>
    <m/>
    <s v="Fair"/>
    <s v="Sometimes"/>
    <s v="Good"/>
    <n v="1.1200000000000001"/>
    <m/>
    <s v="Anxious"/>
    <s v="Often"/>
    <b v="0"/>
    <b v="1"/>
    <b v="0"/>
    <b v="0"/>
    <b v="1"/>
    <n v="1.8"/>
    <n v="5.8"/>
    <n v="1"/>
    <n v="9.3000000000000007"/>
    <n v="53.52"/>
    <m/>
    <n v="4"/>
    <x v="3"/>
    <m/>
    <m/>
    <m/>
    <m/>
  </r>
  <r>
    <s v="GD0023"/>
    <n v="14"/>
    <x v="0"/>
    <x v="1"/>
    <x v="19"/>
    <x v="1"/>
    <x v="3"/>
    <s v="Skyrim"/>
    <s v="Mobile"/>
    <n v="6.5"/>
    <m/>
    <s v="Good"/>
    <s v="Rarely"/>
    <s v="Average"/>
    <n v="3.27"/>
    <m/>
    <s v="Anxious"/>
    <s v="Never"/>
    <b v="0"/>
    <b v="1"/>
    <b v="0"/>
    <b v="1"/>
    <b v="0"/>
    <n v="0.2"/>
    <n v="7.5"/>
    <n v="4"/>
    <n v="4.8"/>
    <n v="126.54"/>
    <m/>
    <n v="4"/>
    <x v="3"/>
    <m/>
    <m/>
    <m/>
    <m/>
  </r>
  <r>
    <s v="GD0024"/>
    <n v="19"/>
    <x v="0"/>
    <x v="1"/>
    <x v="20"/>
    <x v="1"/>
    <x v="4"/>
    <s v="PUBG"/>
    <s v="Console"/>
    <n v="5.7"/>
    <m/>
    <s v="Very Poor"/>
    <s v="Never"/>
    <s v="Average"/>
    <n v="2.63"/>
    <n v="8"/>
    <s v="Irritable"/>
    <s v="Rarely"/>
    <b v="1"/>
    <b v="0"/>
    <b v="0"/>
    <b v="1"/>
    <b v="1"/>
    <n v="1.9"/>
    <n v="5.7"/>
    <n v="5"/>
    <n v="5.2"/>
    <n v="66.37"/>
    <m/>
    <n v="6"/>
    <x v="2"/>
    <m/>
    <m/>
    <m/>
    <m/>
  </r>
  <r>
    <s v="GD0025"/>
    <n v="22"/>
    <x v="1"/>
    <x v="0"/>
    <x v="21"/>
    <x v="1"/>
    <x v="0"/>
    <s v="Candy Crush"/>
    <s v="PC"/>
    <n v="7"/>
    <m/>
    <s v="Fair"/>
    <s v="Rarely"/>
    <s v="Good"/>
    <n v="1.94"/>
    <n v="1"/>
    <s v="Depressed"/>
    <s v="Rarely"/>
    <b v="0"/>
    <b v="0"/>
    <b v="0"/>
    <b v="0"/>
    <b v="0"/>
    <n v="1.7"/>
    <n v="6.2"/>
    <n v="2"/>
    <n v="11.2"/>
    <n v="60.06"/>
    <m/>
    <n v="11"/>
    <x v="1"/>
    <m/>
    <m/>
    <m/>
    <m/>
  </r>
  <r>
    <s v="GD0026"/>
    <n v="22"/>
    <x v="1"/>
    <x v="0"/>
    <x v="22"/>
    <x v="1"/>
    <x v="0"/>
    <s v="Candy Crush"/>
    <s v="Console"/>
    <n v="8.6999999999999993"/>
    <m/>
    <s v="Good"/>
    <s v="Always"/>
    <s v="Average"/>
    <n v="3.41"/>
    <n v="9"/>
    <s v="Normal"/>
    <s v="Sometimes"/>
    <b v="0"/>
    <b v="0"/>
    <b v="0"/>
    <b v="0"/>
    <b v="0"/>
    <n v="1.1000000000000001"/>
    <n v="7.8"/>
    <n v="3"/>
    <n v="10.3"/>
    <n v="37.26"/>
    <m/>
    <n v="9"/>
    <x v="1"/>
    <m/>
    <m/>
    <m/>
    <m/>
  </r>
  <r>
    <s v="GD0027"/>
    <n v="18"/>
    <x v="0"/>
    <x v="0"/>
    <x v="23"/>
    <x v="1"/>
    <x v="4"/>
    <s v="Apex Legends"/>
    <s v="Multi-platform"/>
    <n v="6.6"/>
    <m/>
    <s v="Fair"/>
    <s v="Always"/>
    <s v="Below Average"/>
    <n v="3.91"/>
    <m/>
    <s v="Anxious"/>
    <s v="Often"/>
    <b v="0"/>
    <b v="0"/>
    <b v="0"/>
    <b v="1"/>
    <b v="1"/>
    <n v="0.9"/>
    <n v="8"/>
    <n v="3"/>
    <n v="6.8"/>
    <n v="55.47"/>
    <m/>
    <n v="7"/>
    <x v="1"/>
    <m/>
    <m/>
    <m/>
    <m/>
  </r>
  <r>
    <s v="GD0028"/>
    <n v="18"/>
    <x v="0"/>
    <x v="0"/>
    <x v="24"/>
    <x v="1"/>
    <x v="5"/>
    <s v="Final Fantasy XIV"/>
    <s v="Mobile"/>
    <n v="5.4"/>
    <m/>
    <s v="Fair"/>
    <s v="Always"/>
    <s v="Poor"/>
    <n v="3.71"/>
    <m/>
    <s v="Anxious"/>
    <s v="Rarely"/>
    <b v="0"/>
    <b v="1"/>
    <b v="0"/>
    <b v="1"/>
    <b v="1"/>
    <n v="3.2"/>
    <n v="6.5"/>
    <n v="5"/>
    <n v="3.3"/>
    <n v="57.15"/>
    <m/>
    <n v="8"/>
    <x v="3"/>
    <m/>
    <m/>
    <m/>
    <m/>
  </r>
  <r>
    <s v="GD0029"/>
    <n v="21"/>
    <x v="1"/>
    <x v="0"/>
    <x v="25"/>
    <x v="1"/>
    <x v="5"/>
    <s v="World of Warcraft"/>
    <s v="Mobile"/>
    <n v="7.1"/>
    <m/>
    <s v="Good"/>
    <s v="Always"/>
    <s v="Good"/>
    <n v="2.31"/>
    <n v="9"/>
    <s v="Depressed"/>
    <s v="Sometimes"/>
    <b v="0"/>
    <b v="0"/>
    <b v="0"/>
    <b v="0"/>
    <b v="0"/>
    <n v="0.2"/>
    <n v="8.6"/>
    <n v="2"/>
    <n v="16.7"/>
    <n v="34.909999999999997"/>
    <m/>
    <n v="6"/>
    <x v="1"/>
    <m/>
    <m/>
    <m/>
    <m/>
  </r>
  <r>
    <s v="GD0030"/>
    <n v="19"/>
    <x v="0"/>
    <x v="1"/>
    <x v="26"/>
    <x v="1"/>
    <x v="3"/>
    <s v="Skyrim"/>
    <s v="Multi-platform"/>
    <n v="5.8"/>
    <m/>
    <s v="Fair"/>
    <s v="Rarely"/>
    <s v="Average"/>
    <n v="1.62"/>
    <n v="4"/>
    <s v="Irritable"/>
    <s v="Sometimes"/>
    <b v="0"/>
    <b v="0"/>
    <b v="0"/>
    <b v="1"/>
    <b v="0"/>
    <n v="0.5"/>
    <n v="5.6"/>
    <n v="3"/>
    <n v="10"/>
    <n v="126.85"/>
    <m/>
    <n v="8"/>
    <x v="1"/>
    <m/>
    <m/>
    <m/>
    <m/>
  </r>
  <r>
    <s v="GD0031"/>
    <n v="20"/>
    <x v="1"/>
    <x v="0"/>
    <x v="27"/>
    <x v="1"/>
    <x v="3"/>
    <s v="Cyberpunk 2077"/>
    <s v="Mobile"/>
    <n v="7.3"/>
    <m/>
    <s v="Good"/>
    <s v="Sometimes"/>
    <s v="Average"/>
    <n v="1.21"/>
    <n v="5"/>
    <s v="Normal"/>
    <s v="Never"/>
    <b v="0"/>
    <b v="0"/>
    <b v="0"/>
    <b v="0"/>
    <b v="0"/>
    <n v="0"/>
    <n v="8.9"/>
    <n v="1"/>
    <n v="14.4"/>
    <n v="21.09"/>
    <m/>
    <n v="6"/>
    <x v="1"/>
    <m/>
    <m/>
    <m/>
    <m/>
  </r>
  <r>
    <s v="GD0032"/>
    <n v="17"/>
    <x v="0"/>
    <x v="0"/>
    <x v="11"/>
    <x v="1"/>
    <x v="0"/>
    <s v="Clash of Clans"/>
    <s v="Mobile"/>
    <n v="6.4"/>
    <m/>
    <s v="Poor"/>
    <s v="Always"/>
    <s v="Average"/>
    <n v="3.02"/>
    <m/>
    <s v="Restless"/>
    <s v="Often"/>
    <b v="0"/>
    <b v="0"/>
    <b v="0"/>
    <b v="0"/>
    <b v="0"/>
    <n v="2.2000000000000002"/>
    <n v="8.9"/>
    <n v="2"/>
    <n v="8.3000000000000007"/>
    <n v="36.53"/>
    <m/>
    <n v="5"/>
    <x v="1"/>
    <m/>
    <m/>
    <m/>
    <m/>
  </r>
  <r>
    <s v="GD0033"/>
    <n v="20"/>
    <x v="1"/>
    <x v="0"/>
    <x v="23"/>
    <x v="1"/>
    <x v="5"/>
    <s v="Final Fantasy XIV"/>
    <s v="Console"/>
    <n v="6.8"/>
    <m/>
    <s v="Fair"/>
    <s v="Rarely"/>
    <s v="Poor"/>
    <n v="3.39"/>
    <n v="6"/>
    <s v="Anxious"/>
    <s v="Never"/>
    <b v="0"/>
    <b v="0"/>
    <b v="0"/>
    <b v="0"/>
    <b v="1"/>
    <n v="0.3"/>
    <n v="7.5"/>
    <n v="3"/>
    <n v="7.1"/>
    <n v="147.6"/>
    <m/>
    <n v="7"/>
    <x v="1"/>
    <m/>
    <m/>
    <m/>
    <m/>
  </r>
  <r>
    <s v="GD0034"/>
    <n v="20"/>
    <x v="1"/>
    <x v="0"/>
    <x v="21"/>
    <x v="1"/>
    <x v="4"/>
    <s v="PUBG"/>
    <s v="Console"/>
    <n v="5.6"/>
    <m/>
    <s v="Very Poor"/>
    <s v="Often"/>
    <s v="Average"/>
    <n v="3.03"/>
    <n v="8"/>
    <s v="Angry"/>
    <s v="Rarely"/>
    <b v="0"/>
    <b v="0"/>
    <b v="0"/>
    <b v="1"/>
    <b v="0"/>
    <n v="1.4"/>
    <n v="7.9"/>
    <n v="5"/>
    <n v="8.6999999999999993"/>
    <n v="19.91"/>
    <m/>
    <n v="7"/>
    <x v="1"/>
    <m/>
    <m/>
    <m/>
    <m/>
  </r>
  <r>
    <s v="GD0035"/>
    <n v="18"/>
    <x v="0"/>
    <x v="0"/>
    <x v="28"/>
    <x v="1"/>
    <x v="2"/>
    <s v="CS:GO"/>
    <s v="Console"/>
    <n v="4.0999999999999996"/>
    <m/>
    <s v="Insomnia"/>
    <s v="Often"/>
    <s v="Poor"/>
    <n v="3.98"/>
    <m/>
    <s v="Anxious"/>
    <s v="Sometimes"/>
    <b v="1"/>
    <b v="1"/>
    <b v="0"/>
    <b v="0"/>
    <b v="0"/>
    <n v="0.1"/>
    <n v="5.5"/>
    <n v="5"/>
    <n v="8.4"/>
    <n v="93.68"/>
    <m/>
    <n v="2"/>
    <x v="2"/>
    <m/>
    <m/>
    <m/>
    <m/>
  </r>
  <r>
    <s v="GD0036"/>
    <n v="22"/>
    <x v="1"/>
    <x v="1"/>
    <x v="29"/>
    <x v="1"/>
    <x v="0"/>
    <s v="PUBG Mobile"/>
    <s v="PC"/>
    <n v="5.4"/>
    <m/>
    <s v="Poor"/>
    <s v="Never"/>
    <s v="Average"/>
    <n v="1.1499999999999999"/>
    <n v="6"/>
    <s v="Angry"/>
    <s v="Sometimes"/>
    <b v="0"/>
    <b v="0"/>
    <b v="0"/>
    <b v="1"/>
    <b v="0"/>
    <n v="1.6"/>
    <n v="8.4"/>
    <n v="4"/>
    <n v="8.3000000000000007"/>
    <n v="80.92"/>
    <m/>
    <n v="12"/>
    <x v="1"/>
    <m/>
    <m/>
    <m/>
    <m/>
  </r>
  <r>
    <s v="GD0037"/>
    <n v="20"/>
    <x v="1"/>
    <x v="0"/>
    <x v="30"/>
    <x v="1"/>
    <x v="1"/>
    <s v="Mobile Legends"/>
    <s v="Mobile"/>
    <n v="8.3000000000000007"/>
    <m/>
    <s v="Fair"/>
    <s v="Never"/>
    <s v="Excellent"/>
    <n v="3.54"/>
    <n v="9"/>
    <s v="Excited"/>
    <s v="Never"/>
    <b v="0"/>
    <b v="0"/>
    <b v="0"/>
    <b v="0"/>
    <b v="0"/>
    <n v="0.3"/>
    <n v="8.3000000000000007"/>
    <n v="3"/>
    <n v="14.3"/>
    <n v="45.96"/>
    <m/>
    <n v="9"/>
    <x v="1"/>
    <m/>
    <m/>
    <m/>
    <m/>
  </r>
  <r>
    <s v="GD0038"/>
    <n v="20"/>
    <x v="1"/>
    <x v="0"/>
    <x v="2"/>
    <x v="1"/>
    <x v="6"/>
    <s v="StarCraft II"/>
    <s v="Mobile"/>
    <n v="4.2"/>
    <m/>
    <s v="Very Poor"/>
    <s v="Never"/>
    <s v="Poor"/>
    <n v="2.7"/>
    <n v="9"/>
    <s v="Restless"/>
    <s v="Never"/>
    <b v="0"/>
    <b v="1"/>
    <b v="0"/>
    <b v="1"/>
    <b v="1"/>
    <n v="3.6"/>
    <n v="5.2"/>
    <n v="6"/>
    <n v="2.6"/>
    <n v="123.45"/>
    <m/>
    <n v="2"/>
    <x v="3"/>
    <m/>
    <m/>
    <m/>
    <m/>
  </r>
  <r>
    <s v="GD0039"/>
    <n v="16"/>
    <x v="0"/>
    <x v="1"/>
    <x v="31"/>
    <x v="1"/>
    <x v="1"/>
    <s v="League of Legends"/>
    <s v="Mobile"/>
    <n v="8.4"/>
    <m/>
    <s v="Good"/>
    <s v="Often"/>
    <s v="Average"/>
    <n v="1.22"/>
    <m/>
    <s v="Anxious"/>
    <s v="Daily"/>
    <b v="0"/>
    <b v="0"/>
    <b v="0"/>
    <b v="0"/>
    <b v="0"/>
    <n v="0.8"/>
    <n v="7.2"/>
    <n v="2"/>
    <n v="12.3"/>
    <n v="42.43"/>
    <m/>
    <n v="4"/>
    <x v="1"/>
    <m/>
    <m/>
    <m/>
    <m/>
  </r>
  <r>
    <s v="GD0040"/>
    <n v="20"/>
    <x v="1"/>
    <x v="0"/>
    <x v="32"/>
    <x v="1"/>
    <x v="3"/>
    <s v="Elden Ring"/>
    <s v="Mobile"/>
    <n v="6.4"/>
    <m/>
    <s v="Fair"/>
    <s v="Often"/>
    <s v="Excellent"/>
    <n v="1.38"/>
    <n v="2"/>
    <s v="Restless"/>
    <s v="Rarely"/>
    <b v="0"/>
    <b v="0"/>
    <b v="0"/>
    <b v="0"/>
    <b v="0"/>
    <n v="0.2"/>
    <n v="9.1"/>
    <n v="4"/>
    <n v="8.5"/>
    <n v="26.63"/>
    <m/>
    <n v="2"/>
    <x v="1"/>
    <m/>
    <m/>
    <m/>
    <m/>
  </r>
  <r>
    <s v="GD0041"/>
    <n v="33"/>
    <x v="2"/>
    <x v="0"/>
    <x v="33"/>
    <x v="1"/>
    <x v="5"/>
    <s v="Elder Scrolls Online"/>
    <s v="Multi-platform"/>
    <n v="8.4"/>
    <m/>
    <s v="Fair"/>
    <s v="Never"/>
    <s v="Average"/>
    <m/>
    <n v="8"/>
    <s v="Normal"/>
    <s v="Rarely"/>
    <b v="0"/>
    <b v="0"/>
    <b v="0"/>
    <b v="0"/>
    <b v="0"/>
    <n v="1.3"/>
    <n v="8.3000000000000007"/>
    <n v="1"/>
    <n v="12.8"/>
    <n v="47.69"/>
    <m/>
    <n v="6"/>
    <x v="1"/>
    <m/>
    <m/>
    <m/>
    <m/>
  </r>
  <r>
    <s v="GD0042"/>
    <n v="16"/>
    <x v="0"/>
    <x v="0"/>
    <x v="34"/>
    <x v="1"/>
    <x v="2"/>
    <s v="Valorant"/>
    <s v="Mobile"/>
    <n v="3.8"/>
    <m/>
    <s v="Poor"/>
    <s v="Sometimes"/>
    <s v="Failing"/>
    <n v="3.22"/>
    <m/>
    <s v="Irritable"/>
    <s v="Sometimes"/>
    <b v="1"/>
    <b v="1"/>
    <b v="1"/>
    <b v="1"/>
    <b v="1"/>
    <n v="0.9"/>
    <n v="6"/>
    <n v="8"/>
    <n v="6.3"/>
    <n v="61.37"/>
    <m/>
    <n v="1"/>
    <x v="0"/>
    <m/>
    <m/>
    <m/>
    <m/>
  </r>
  <r>
    <s v="GD0043"/>
    <n v="20"/>
    <x v="1"/>
    <x v="0"/>
    <x v="35"/>
    <x v="1"/>
    <x v="6"/>
    <s v="StarCraft II"/>
    <s v="Mobile"/>
    <n v="5.4"/>
    <m/>
    <s v="Good"/>
    <s v="Sometimes"/>
    <s v="Average"/>
    <n v="2.21"/>
    <n v="7"/>
    <s v="Normal"/>
    <s v="Often"/>
    <b v="0"/>
    <b v="0"/>
    <b v="0"/>
    <b v="0"/>
    <b v="0"/>
    <n v="0.1"/>
    <n v="7.1"/>
    <n v="1"/>
    <n v="8.8000000000000007"/>
    <n v="9.18"/>
    <m/>
    <n v="1"/>
    <x v="1"/>
    <m/>
    <m/>
    <m/>
    <m/>
  </r>
  <r>
    <s v="GD0044"/>
    <n v="20"/>
    <x v="1"/>
    <x v="0"/>
    <x v="36"/>
    <x v="1"/>
    <x v="4"/>
    <s v="PUBG"/>
    <s v="Console"/>
    <n v="3.5"/>
    <m/>
    <s v="Poor"/>
    <s v="Never"/>
    <s v="Below Average"/>
    <n v="2.25"/>
    <n v="3"/>
    <s v="Angry"/>
    <s v="Rarely"/>
    <b v="1"/>
    <b v="0"/>
    <b v="1"/>
    <b v="0"/>
    <b v="1"/>
    <n v="3.3"/>
    <n v="7"/>
    <n v="6"/>
    <n v="4.2"/>
    <n v="81.23"/>
    <m/>
    <n v="4"/>
    <x v="2"/>
    <m/>
    <m/>
    <m/>
    <m/>
  </r>
  <r>
    <s v="GD0045"/>
    <n v="14"/>
    <x v="0"/>
    <x v="1"/>
    <x v="37"/>
    <x v="1"/>
    <x v="0"/>
    <s v="PUBG Mobile"/>
    <s v="Mobile"/>
    <n v="5.0999999999999996"/>
    <m/>
    <s v="Poor"/>
    <s v="Sometimes"/>
    <s v="Good"/>
    <n v="2.88"/>
    <m/>
    <s v="Euphoric"/>
    <s v="Rarely"/>
    <b v="0"/>
    <b v="0"/>
    <b v="0"/>
    <b v="0"/>
    <b v="0"/>
    <n v="1.2"/>
    <n v="7.8"/>
    <n v="2"/>
    <n v="7.5"/>
    <n v="17.43"/>
    <m/>
    <n v="3"/>
    <x v="1"/>
    <m/>
    <m/>
    <m/>
    <m/>
  </r>
  <r>
    <s v="GD0046"/>
    <n v="26"/>
    <x v="1"/>
    <x v="1"/>
    <x v="38"/>
    <x v="1"/>
    <x v="6"/>
    <s v="Age of Empires"/>
    <s v="Multi-platform"/>
    <n v="5.7"/>
    <m/>
    <s v="Fair"/>
    <s v="Never"/>
    <s v="Average"/>
    <m/>
    <n v="5"/>
    <s v="Depressed"/>
    <s v="Daily"/>
    <b v="0"/>
    <b v="1"/>
    <b v="0"/>
    <b v="1"/>
    <b v="1"/>
    <n v="0.4"/>
    <n v="5.5"/>
    <n v="3"/>
    <n v="4.9000000000000004"/>
    <n v="48.84"/>
    <m/>
    <n v="8"/>
    <x v="3"/>
    <m/>
    <m/>
    <m/>
    <m/>
  </r>
  <r>
    <s v="GD0047"/>
    <n v="20"/>
    <x v="1"/>
    <x v="0"/>
    <x v="22"/>
    <x v="1"/>
    <x v="5"/>
    <s v="Final Fantasy XIV"/>
    <s v="PC"/>
    <n v="7.1"/>
    <m/>
    <s v="Poor"/>
    <s v="Sometimes"/>
    <s v="Below Average"/>
    <n v="1.19"/>
    <n v="7"/>
    <s v="Normal"/>
    <s v="Sometimes"/>
    <b v="0"/>
    <b v="0"/>
    <b v="0"/>
    <b v="0"/>
    <b v="0"/>
    <n v="1.3"/>
    <n v="7.8"/>
    <n v="1"/>
    <n v="12.9"/>
    <n v="23.33"/>
    <m/>
    <n v="8"/>
    <x v="1"/>
    <m/>
    <m/>
    <m/>
    <m/>
  </r>
  <r>
    <s v="GD0048"/>
    <n v="29"/>
    <x v="1"/>
    <x v="1"/>
    <x v="18"/>
    <x v="1"/>
    <x v="2"/>
    <s v="Call of Duty"/>
    <s v="Mobile"/>
    <n v="6.7"/>
    <m/>
    <s v="Poor"/>
    <s v="Often"/>
    <s v="Good"/>
    <m/>
    <n v="5"/>
    <s v="Restless"/>
    <s v="Daily"/>
    <b v="0"/>
    <b v="1"/>
    <b v="0"/>
    <b v="1"/>
    <b v="1"/>
    <n v="0.8"/>
    <n v="7.7"/>
    <n v="2"/>
    <n v="10.7"/>
    <n v="110.74"/>
    <m/>
    <n v="14"/>
    <x v="3"/>
    <m/>
    <m/>
    <m/>
    <m/>
  </r>
  <r>
    <s v="GD0049"/>
    <n v="16"/>
    <x v="0"/>
    <x v="1"/>
    <x v="23"/>
    <x v="1"/>
    <x v="3"/>
    <s v="Skyrim"/>
    <s v="Console"/>
    <n v="5.4"/>
    <m/>
    <s v="Fair"/>
    <s v="Often"/>
    <s v="Average"/>
    <n v="2.11"/>
    <m/>
    <s v="Depressed"/>
    <s v="Never"/>
    <b v="0"/>
    <b v="0"/>
    <b v="0"/>
    <b v="0"/>
    <b v="0"/>
    <n v="0.7"/>
    <n v="6"/>
    <n v="3"/>
    <n v="7.6"/>
    <n v="125.89"/>
    <m/>
    <n v="2"/>
    <x v="1"/>
    <m/>
    <m/>
    <m/>
    <m/>
  </r>
  <r>
    <s v="GD0050"/>
    <n v="15"/>
    <x v="0"/>
    <x v="1"/>
    <x v="11"/>
    <x v="1"/>
    <x v="5"/>
    <s v="World of Warcraft"/>
    <s v="PC"/>
    <n v="6.5"/>
    <m/>
    <s v="Poor"/>
    <s v="Never"/>
    <s v="Below Average"/>
    <n v="3.87"/>
    <m/>
    <s v="Angry"/>
    <s v="Sometimes"/>
    <b v="0"/>
    <b v="0"/>
    <b v="0"/>
    <b v="0"/>
    <b v="0"/>
    <n v="0.6"/>
    <n v="6.2"/>
    <n v="2"/>
    <n v="8.8000000000000007"/>
    <n v="39.9"/>
    <m/>
    <n v="1"/>
    <x v="1"/>
    <m/>
    <m/>
    <m/>
    <m/>
  </r>
  <r>
    <s v="GD0051"/>
    <n v="24"/>
    <x v="1"/>
    <x v="0"/>
    <x v="39"/>
    <x v="1"/>
    <x v="6"/>
    <s v="Age of Empires"/>
    <s v="Console"/>
    <n v="4.7"/>
    <m/>
    <s v="Very Poor"/>
    <s v="Sometimes"/>
    <s v="Poor"/>
    <m/>
    <n v="5"/>
    <s v="Angry"/>
    <s v="Often"/>
    <b v="1"/>
    <b v="0"/>
    <b v="0"/>
    <b v="0"/>
    <b v="0"/>
    <n v="0.5"/>
    <n v="8"/>
    <n v="4"/>
    <n v="8.8000000000000007"/>
    <n v="132.68"/>
    <m/>
    <n v="1"/>
    <x v="3"/>
    <m/>
    <m/>
    <m/>
    <m/>
  </r>
  <r>
    <s v="GD0052"/>
    <n v="20"/>
    <x v="1"/>
    <x v="0"/>
    <x v="40"/>
    <x v="1"/>
    <x v="3"/>
    <s v="Skyrim"/>
    <s v="Mobile"/>
    <n v="7.8"/>
    <m/>
    <s v="Good"/>
    <s v="Never"/>
    <s v="Good"/>
    <n v="1.39"/>
    <n v="3"/>
    <s v="Normal"/>
    <s v="Rarely"/>
    <b v="0"/>
    <b v="0"/>
    <b v="0"/>
    <b v="0"/>
    <b v="0"/>
    <n v="1.3"/>
    <n v="9.8000000000000007"/>
    <n v="2"/>
    <n v="10.7"/>
    <n v="40.35"/>
    <m/>
    <n v="4"/>
    <x v="1"/>
    <m/>
    <m/>
    <m/>
    <m/>
  </r>
  <r>
    <s v="GD0053"/>
    <n v="20"/>
    <x v="1"/>
    <x v="0"/>
    <x v="41"/>
    <x v="1"/>
    <x v="2"/>
    <s v="Call of Duty"/>
    <s v="Console"/>
    <n v="4.3"/>
    <m/>
    <s v="Very Poor"/>
    <s v="Never"/>
    <s v="Failing"/>
    <n v="2.02"/>
    <n v="5"/>
    <s v="Anxious"/>
    <s v="Never"/>
    <b v="1"/>
    <b v="0"/>
    <b v="0"/>
    <b v="1"/>
    <b v="1"/>
    <n v="0.3"/>
    <n v="5"/>
    <n v="6"/>
    <n v="0.2"/>
    <n v="433.8"/>
    <m/>
    <n v="9"/>
    <x v="2"/>
    <m/>
    <m/>
    <m/>
    <m/>
  </r>
  <r>
    <s v="GD0054"/>
    <n v="20"/>
    <x v="1"/>
    <x v="1"/>
    <x v="42"/>
    <x v="1"/>
    <x v="0"/>
    <s v="Genshin Impact"/>
    <s v="Multi-platform"/>
    <n v="7.2"/>
    <m/>
    <s v="Good"/>
    <s v="Sometimes"/>
    <s v="Excellent"/>
    <n v="3.39"/>
    <n v="4"/>
    <s v="Depressed"/>
    <s v="Rarely"/>
    <b v="0"/>
    <b v="0"/>
    <b v="0"/>
    <b v="0"/>
    <b v="0"/>
    <n v="0.1"/>
    <n v="10"/>
    <n v="1"/>
    <n v="13.9"/>
    <n v="9.0399999999999991"/>
    <m/>
    <n v="5"/>
    <x v="1"/>
    <m/>
    <m/>
    <m/>
    <m/>
  </r>
  <r>
    <s v="GD0055"/>
    <n v="22"/>
    <x v="1"/>
    <x v="1"/>
    <x v="12"/>
    <x v="1"/>
    <x v="2"/>
    <s v="CS:GO"/>
    <s v="PC"/>
    <n v="6.7"/>
    <m/>
    <s v="Good"/>
    <s v="Rarely"/>
    <s v="Average"/>
    <n v="2.2999999999999998"/>
    <n v="3"/>
    <s v="Euphoric"/>
    <s v="Sometimes"/>
    <b v="0"/>
    <b v="0"/>
    <b v="0"/>
    <b v="1"/>
    <b v="0"/>
    <n v="1.3"/>
    <n v="6.4"/>
    <n v="3"/>
    <n v="10.5"/>
    <n v="114.52"/>
    <m/>
    <n v="5"/>
    <x v="1"/>
    <m/>
    <m/>
    <m/>
    <m/>
  </r>
  <r>
    <s v="GD0056"/>
    <n v="19"/>
    <x v="0"/>
    <x v="0"/>
    <x v="43"/>
    <x v="1"/>
    <x v="1"/>
    <s v="Mobile Legends"/>
    <s v="Mobile"/>
    <n v="8.1"/>
    <m/>
    <s v="Good"/>
    <s v="Sometimes"/>
    <s v="Excellent"/>
    <n v="1.41"/>
    <n v="9"/>
    <s v="Normal"/>
    <s v="Daily"/>
    <b v="0"/>
    <b v="0"/>
    <b v="0"/>
    <b v="0"/>
    <b v="0"/>
    <n v="0"/>
    <n v="9.3000000000000007"/>
    <n v="1"/>
    <n v="12.6"/>
    <n v="47.53"/>
    <m/>
    <n v="5"/>
    <x v="1"/>
    <m/>
    <m/>
    <m/>
    <m/>
  </r>
  <r>
    <s v="GD0057"/>
    <n v="24"/>
    <x v="1"/>
    <x v="0"/>
    <x v="44"/>
    <x v="1"/>
    <x v="6"/>
    <s v="StarCraft II"/>
    <s v="Console"/>
    <n v="6.9"/>
    <m/>
    <s v="Good"/>
    <s v="Always"/>
    <s v="Good"/>
    <m/>
    <n v="10"/>
    <s v="Euphoric"/>
    <s v="Sometimes"/>
    <b v="0"/>
    <b v="1"/>
    <b v="0"/>
    <b v="0"/>
    <b v="1"/>
    <n v="0.1"/>
    <n v="8.1999999999999993"/>
    <n v="4"/>
    <n v="9.3000000000000007"/>
    <n v="133.31"/>
    <m/>
    <n v="3"/>
    <x v="3"/>
    <m/>
    <m/>
    <m/>
    <m/>
  </r>
  <r>
    <s v="GD0058"/>
    <n v="25"/>
    <x v="1"/>
    <x v="0"/>
    <x v="45"/>
    <x v="1"/>
    <x v="3"/>
    <s v="Elden Ring"/>
    <s v="Console"/>
    <n v="5.2"/>
    <m/>
    <s v="Poor"/>
    <s v="Sometimes"/>
    <s v="Average"/>
    <m/>
    <n v="1"/>
    <s v="Anxious"/>
    <s v="Sometimes"/>
    <b v="1"/>
    <b v="0"/>
    <b v="0"/>
    <b v="0"/>
    <b v="1"/>
    <n v="4.3"/>
    <n v="7.2"/>
    <n v="4"/>
    <n v="6.6"/>
    <n v="136.21"/>
    <m/>
    <n v="8"/>
    <x v="3"/>
    <m/>
    <m/>
    <m/>
    <m/>
  </r>
  <r>
    <s v="GD0059"/>
    <n v="23"/>
    <x v="1"/>
    <x v="0"/>
    <x v="46"/>
    <x v="1"/>
    <x v="4"/>
    <s v="Warzone"/>
    <s v="Mobile"/>
    <n v="7.2"/>
    <m/>
    <s v="Good"/>
    <s v="Rarely"/>
    <s v="Good"/>
    <m/>
    <n v="4"/>
    <s v="Excited"/>
    <s v="Sometimes"/>
    <b v="0"/>
    <b v="0"/>
    <b v="0"/>
    <b v="0"/>
    <b v="0"/>
    <n v="0"/>
    <n v="8.8000000000000007"/>
    <n v="1"/>
    <n v="11.1"/>
    <n v="39.51"/>
    <m/>
    <n v="10"/>
    <x v="1"/>
    <m/>
    <m/>
    <m/>
    <m/>
  </r>
  <r>
    <s v="GD0060"/>
    <n v="33"/>
    <x v="2"/>
    <x v="1"/>
    <x v="3"/>
    <x v="1"/>
    <x v="0"/>
    <s v="PUBG Mobile"/>
    <s v="Multi-platform"/>
    <n v="4.2"/>
    <m/>
    <s v="Fair"/>
    <s v="Rarely"/>
    <s v="Below Average"/>
    <m/>
    <n v="9"/>
    <s v="Anxious"/>
    <s v="Often"/>
    <b v="0"/>
    <b v="0"/>
    <b v="0"/>
    <b v="1"/>
    <b v="1"/>
    <n v="0.7"/>
    <n v="7.6"/>
    <n v="5"/>
    <n v="9"/>
    <n v="96.57"/>
    <m/>
    <n v="8"/>
    <x v="1"/>
    <m/>
    <m/>
    <m/>
    <m/>
  </r>
  <r>
    <s v="GD0061"/>
    <n v="22"/>
    <x v="1"/>
    <x v="1"/>
    <x v="47"/>
    <x v="1"/>
    <x v="2"/>
    <s v="Call of Duty"/>
    <s v="Console"/>
    <n v="5.3"/>
    <m/>
    <s v="Good"/>
    <s v="Never"/>
    <s v="Average"/>
    <n v="2.08"/>
    <n v="4"/>
    <s v="Normal"/>
    <s v="Sometimes"/>
    <b v="0"/>
    <b v="1"/>
    <b v="0"/>
    <b v="0"/>
    <b v="1"/>
    <n v="0.7"/>
    <n v="7.7"/>
    <n v="3"/>
    <n v="9.6999999999999993"/>
    <n v="144.26"/>
    <m/>
    <n v="10"/>
    <x v="3"/>
    <m/>
    <m/>
    <m/>
    <m/>
  </r>
  <r>
    <s v="GD0062"/>
    <n v="13"/>
    <x v="0"/>
    <x v="0"/>
    <x v="20"/>
    <x v="1"/>
    <x v="3"/>
    <s v="Cyberpunk 2077"/>
    <s v="Mobile"/>
    <n v="4.2"/>
    <m/>
    <s v="Very Poor"/>
    <s v="Sometimes"/>
    <s v="Below Average"/>
    <n v="3.91"/>
    <m/>
    <s v="Restless"/>
    <s v="Never"/>
    <b v="1"/>
    <b v="1"/>
    <b v="0"/>
    <b v="1"/>
    <b v="1"/>
    <n v="2.1"/>
    <n v="3.6"/>
    <n v="5"/>
    <n v="2.2999999999999998"/>
    <n v="417.13"/>
    <m/>
    <n v="3"/>
    <x v="0"/>
    <m/>
    <m/>
    <m/>
    <m/>
  </r>
  <r>
    <s v="GD0063"/>
    <n v="16"/>
    <x v="0"/>
    <x v="2"/>
    <x v="48"/>
    <x v="1"/>
    <x v="1"/>
    <s v="Mobile Legends"/>
    <s v="PC"/>
    <n v="4.7"/>
    <m/>
    <s v="Insomnia"/>
    <s v="Often"/>
    <s v="Below Average"/>
    <n v="2"/>
    <m/>
    <s v="Irritable"/>
    <s v="Daily"/>
    <b v="1"/>
    <b v="0"/>
    <b v="0"/>
    <b v="1"/>
    <b v="1"/>
    <n v="0.2"/>
    <n v="4.3"/>
    <n v="7"/>
    <n v="0.6"/>
    <n v="359.05"/>
    <m/>
    <n v="6"/>
    <x v="2"/>
    <m/>
    <m/>
    <m/>
    <m/>
  </r>
  <r>
    <s v="GD0064"/>
    <n v="19"/>
    <x v="0"/>
    <x v="1"/>
    <x v="28"/>
    <x v="1"/>
    <x v="2"/>
    <s v="Valorant"/>
    <s v="Mobile"/>
    <n v="3.3"/>
    <m/>
    <s v="Very Poor"/>
    <s v="Often"/>
    <s v="Below Average"/>
    <n v="3.09"/>
    <n v="10"/>
    <s v="Irritable"/>
    <s v="Sometimes"/>
    <b v="1"/>
    <b v="1"/>
    <b v="0"/>
    <b v="1"/>
    <b v="1"/>
    <n v="2.2999999999999998"/>
    <n v="8"/>
    <n v="4"/>
    <n v="9.5"/>
    <n v="144.41"/>
    <m/>
    <n v="9"/>
    <x v="2"/>
    <m/>
    <m/>
    <m/>
    <m/>
  </r>
  <r>
    <s v="GD0065"/>
    <n v="26"/>
    <x v="1"/>
    <x v="1"/>
    <x v="49"/>
    <x v="1"/>
    <x v="6"/>
    <s v="StarCraft II"/>
    <s v="Mobile"/>
    <n v="5.7"/>
    <m/>
    <s v="Fair"/>
    <s v="Often"/>
    <s v="Poor"/>
    <m/>
    <n v="5"/>
    <s v="Irritable"/>
    <s v="Rarely"/>
    <b v="0"/>
    <b v="0"/>
    <b v="0"/>
    <b v="1"/>
    <b v="0"/>
    <n v="1.2"/>
    <n v="8.8000000000000007"/>
    <n v="3"/>
    <n v="9.5"/>
    <n v="60.06"/>
    <m/>
    <n v="10"/>
    <x v="1"/>
    <m/>
    <m/>
    <m/>
    <m/>
  </r>
  <r>
    <s v="GD0066"/>
    <n v="18"/>
    <x v="0"/>
    <x v="0"/>
    <x v="32"/>
    <x v="1"/>
    <x v="0"/>
    <s v="Candy Crush"/>
    <s v="PC"/>
    <n v="6.6"/>
    <m/>
    <s v="Poor"/>
    <s v="Often"/>
    <s v="Below Average"/>
    <n v="1.4"/>
    <m/>
    <s v="Normal"/>
    <s v="Daily"/>
    <b v="0"/>
    <b v="0"/>
    <b v="0"/>
    <b v="0"/>
    <b v="0"/>
    <n v="0"/>
    <n v="8.3000000000000007"/>
    <n v="1"/>
    <n v="11.3"/>
    <n v="45.33"/>
    <m/>
    <n v="5"/>
    <x v="1"/>
    <m/>
    <m/>
    <m/>
    <m/>
  </r>
  <r>
    <s v="GD0067"/>
    <n v="23"/>
    <x v="1"/>
    <x v="1"/>
    <x v="26"/>
    <x v="1"/>
    <x v="3"/>
    <s v="Skyrim"/>
    <s v="Multi-platform"/>
    <n v="5.0999999999999996"/>
    <m/>
    <s v="Good"/>
    <s v="Sometimes"/>
    <s v="Average"/>
    <m/>
    <n v="8"/>
    <s v="Angry"/>
    <s v="Never"/>
    <b v="0"/>
    <b v="0"/>
    <b v="0"/>
    <b v="1"/>
    <b v="0"/>
    <n v="1.2"/>
    <n v="7"/>
    <n v="4"/>
    <n v="10.7"/>
    <n v="108"/>
    <m/>
    <n v="8"/>
    <x v="1"/>
    <m/>
    <m/>
    <m/>
    <m/>
  </r>
  <r>
    <s v="GD0068"/>
    <n v="22"/>
    <x v="1"/>
    <x v="0"/>
    <x v="39"/>
    <x v="1"/>
    <x v="5"/>
    <s v="Elder Scrolls Online"/>
    <s v="Multi-platform"/>
    <n v="4"/>
    <m/>
    <s v="Very Poor"/>
    <s v="Sometimes"/>
    <s v="Poor"/>
    <n v="3.54"/>
    <n v="2"/>
    <s v="Irritable"/>
    <s v="Daily"/>
    <b v="1"/>
    <b v="0"/>
    <b v="0"/>
    <b v="1"/>
    <b v="1"/>
    <n v="1"/>
    <n v="5.8"/>
    <n v="5"/>
    <n v="5.3"/>
    <n v="119.22"/>
    <m/>
    <n v="4"/>
    <x v="3"/>
    <m/>
    <m/>
    <m/>
    <m/>
  </r>
  <r>
    <s v="GD0069"/>
    <n v="20"/>
    <x v="1"/>
    <x v="1"/>
    <x v="38"/>
    <x v="1"/>
    <x v="0"/>
    <s v="Genshin Impact"/>
    <s v="Console"/>
    <n v="5.8"/>
    <m/>
    <s v="Very Poor"/>
    <s v="Never"/>
    <s v="Average"/>
    <n v="3.51"/>
    <n v="2"/>
    <s v="Irritable"/>
    <s v="Rarely"/>
    <b v="0"/>
    <b v="1"/>
    <b v="0"/>
    <b v="1"/>
    <b v="1"/>
    <n v="3.3"/>
    <n v="6.7"/>
    <n v="5"/>
    <n v="9.6"/>
    <n v="42.1"/>
    <m/>
    <n v="8"/>
    <x v="3"/>
    <m/>
    <m/>
    <m/>
    <m/>
  </r>
  <r>
    <s v="GD0070"/>
    <n v="18"/>
    <x v="0"/>
    <x v="1"/>
    <x v="50"/>
    <x v="1"/>
    <x v="5"/>
    <s v="World of Warcraft"/>
    <s v="PC"/>
    <n v="4.8"/>
    <m/>
    <s v="Fair"/>
    <s v="Often"/>
    <s v="Below Average"/>
    <n v="3.05"/>
    <m/>
    <s v="Restless"/>
    <s v="Often"/>
    <b v="1"/>
    <b v="0"/>
    <b v="0"/>
    <b v="1"/>
    <b v="1"/>
    <n v="0"/>
    <n v="4.2"/>
    <n v="10"/>
    <n v="0"/>
    <n v="209.75"/>
    <m/>
    <n v="6"/>
    <x v="2"/>
    <m/>
    <m/>
    <m/>
    <m/>
  </r>
  <r>
    <s v="GD0071"/>
    <n v="25"/>
    <x v="1"/>
    <x v="0"/>
    <x v="51"/>
    <x v="1"/>
    <x v="5"/>
    <s v="Elder Scrolls Online"/>
    <s v="Multi-platform"/>
    <n v="6.8"/>
    <m/>
    <s v="Fair"/>
    <s v="Never"/>
    <s v="Average"/>
    <m/>
    <n v="7"/>
    <s v="Euphoric"/>
    <s v="Never"/>
    <b v="0"/>
    <b v="0"/>
    <b v="0"/>
    <b v="0"/>
    <b v="0"/>
    <n v="1.6"/>
    <n v="5.8"/>
    <n v="2"/>
    <n v="10"/>
    <n v="132.26"/>
    <m/>
    <n v="11"/>
    <x v="1"/>
    <m/>
    <m/>
    <m/>
    <m/>
  </r>
  <r>
    <s v="GD0072"/>
    <n v="23"/>
    <x v="1"/>
    <x v="0"/>
    <x v="52"/>
    <x v="1"/>
    <x v="0"/>
    <s v="Clash of Clans"/>
    <s v="Console"/>
    <n v="8.8000000000000007"/>
    <m/>
    <s v="Fair"/>
    <s v="Never"/>
    <s v="Good"/>
    <m/>
    <n v="5"/>
    <s v="Excited"/>
    <s v="Sometimes"/>
    <b v="0"/>
    <b v="0"/>
    <b v="0"/>
    <b v="0"/>
    <b v="0"/>
    <n v="0.4"/>
    <n v="8.9"/>
    <n v="1"/>
    <n v="11.2"/>
    <n v="7.76"/>
    <m/>
    <n v="3"/>
    <x v="1"/>
    <m/>
    <m/>
    <m/>
    <m/>
  </r>
  <r>
    <s v="GD0073"/>
    <n v="17"/>
    <x v="0"/>
    <x v="1"/>
    <x v="53"/>
    <x v="1"/>
    <x v="0"/>
    <s v="Genshin Impact"/>
    <s v="Multi-platform"/>
    <n v="5.8"/>
    <m/>
    <s v="Fair"/>
    <s v="Sometimes"/>
    <s v="Good"/>
    <n v="3.1"/>
    <m/>
    <s v="Angry"/>
    <s v="Sometimes"/>
    <b v="0"/>
    <b v="0"/>
    <b v="0"/>
    <b v="0"/>
    <b v="0"/>
    <n v="3.3"/>
    <n v="6.3"/>
    <n v="2"/>
    <n v="7.4"/>
    <n v="18.88"/>
    <m/>
    <n v="1"/>
    <x v="1"/>
    <m/>
    <m/>
    <m/>
    <m/>
  </r>
  <r>
    <s v="GD0074"/>
    <n v="20"/>
    <x v="1"/>
    <x v="0"/>
    <x v="54"/>
    <x v="1"/>
    <x v="5"/>
    <s v="Final Fantasy XIV"/>
    <s v="Console"/>
    <n v="6.9"/>
    <m/>
    <s v="Poor"/>
    <s v="Sometimes"/>
    <s v="Excellent"/>
    <n v="1.55"/>
    <n v="9"/>
    <s v="Normal"/>
    <s v="Never"/>
    <b v="0"/>
    <b v="0"/>
    <b v="0"/>
    <b v="0"/>
    <b v="0"/>
    <n v="0.9"/>
    <n v="7.7"/>
    <n v="4"/>
    <n v="6.8"/>
    <n v="85.67"/>
    <m/>
    <n v="8"/>
    <x v="1"/>
    <m/>
    <m/>
    <m/>
    <m/>
  </r>
  <r>
    <s v="GD0075"/>
    <n v="19"/>
    <x v="0"/>
    <x v="0"/>
    <x v="40"/>
    <x v="1"/>
    <x v="4"/>
    <s v="PUBG"/>
    <s v="Multi-platform"/>
    <n v="8"/>
    <m/>
    <s v="Good"/>
    <s v="Often"/>
    <s v="Average"/>
    <n v="1.87"/>
    <n v="4"/>
    <s v="Excited"/>
    <s v="Rarely"/>
    <b v="0"/>
    <b v="0"/>
    <b v="0"/>
    <b v="0"/>
    <b v="0"/>
    <n v="0.4"/>
    <n v="6.7"/>
    <n v="2"/>
    <n v="11.4"/>
    <n v="39.950000000000003"/>
    <m/>
    <n v="3"/>
    <x v="1"/>
    <m/>
    <m/>
    <m/>
    <m/>
  </r>
  <r>
    <s v="GD0076"/>
    <n v="33"/>
    <x v="2"/>
    <x v="0"/>
    <x v="21"/>
    <x v="1"/>
    <x v="4"/>
    <s v="Apex Legends"/>
    <s v="Multi-platform"/>
    <n v="6.9"/>
    <m/>
    <s v="Fair"/>
    <s v="Often"/>
    <s v="Good"/>
    <m/>
    <n v="3"/>
    <s v="Euphoric"/>
    <s v="Daily"/>
    <b v="0"/>
    <b v="0"/>
    <b v="0"/>
    <b v="1"/>
    <b v="0"/>
    <n v="2"/>
    <n v="9"/>
    <n v="6"/>
    <n v="6.9"/>
    <n v="73.02"/>
    <m/>
    <n v="8"/>
    <x v="1"/>
    <m/>
    <m/>
    <m/>
    <m/>
  </r>
  <r>
    <s v="GD0077"/>
    <n v="17"/>
    <x v="0"/>
    <x v="0"/>
    <x v="16"/>
    <x v="1"/>
    <x v="6"/>
    <s v="Civilization VI"/>
    <s v="PC"/>
    <n v="3.1"/>
    <m/>
    <s v="Poor"/>
    <s v="Often"/>
    <s v="Poor"/>
    <n v="1.01"/>
    <m/>
    <s v="Depressed"/>
    <s v="Never"/>
    <b v="1"/>
    <b v="0"/>
    <b v="1"/>
    <b v="1"/>
    <b v="1"/>
    <n v="1.3"/>
    <n v="4.7"/>
    <n v="6"/>
    <n v="1.8"/>
    <n v="364.97"/>
    <m/>
    <n v="1"/>
    <x v="0"/>
    <m/>
    <m/>
    <m/>
    <m/>
  </r>
  <r>
    <s v="GD0078"/>
    <n v="16"/>
    <x v="0"/>
    <x v="1"/>
    <x v="55"/>
    <x v="1"/>
    <x v="1"/>
    <s v="League of Legends"/>
    <s v="Multi-platform"/>
    <n v="6.8"/>
    <m/>
    <s v="Poor"/>
    <s v="Sometimes"/>
    <s v="Average"/>
    <n v="2.48"/>
    <m/>
    <s v="Restless"/>
    <s v="Sometimes"/>
    <b v="0"/>
    <b v="0"/>
    <b v="0"/>
    <b v="1"/>
    <b v="1"/>
    <n v="1.5"/>
    <n v="8.4"/>
    <n v="4"/>
    <n v="8.5"/>
    <n v="136.30000000000001"/>
    <m/>
    <n v="2"/>
    <x v="1"/>
    <m/>
    <m/>
    <m/>
    <m/>
  </r>
  <r>
    <s v="GD0079"/>
    <n v="19"/>
    <x v="0"/>
    <x v="2"/>
    <x v="56"/>
    <x v="1"/>
    <x v="1"/>
    <s v="League of Legends"/>
    <s v="PC"/>
    <n v="5.5"/>
    <m/>
    <s v="Poor"/>
    <s v="Always"/>
    <s v="Average"/>
    <n v="1.17"/>
    <n v="8"/>
    <s v="Irritable"/>
    <s v="Never"/>
    <b v="1"/>
    <b v="0"/>
    <b v="0"/>
    <b v="0"/>
    <b v="0"/>
    <n v="3"/>
    <n v="4"/>
    <n v="7"/>
    <n v="3.9"/>
    <n v="82.29"/>
    <m/>
    <n v="6"/>
    <x v="3"/>
    <m/>
    <m/>
    <m/>
    <m/>
  </r>
  <r>
    <s v="GD0080"/>
    <n v="16"/>
    <x v="0"/>
    <x v="1"/>
    <x v="57"/>
    <x v="1"/>
    <x v="0"/>
    <s v="Genshin Impact"/>
    <s v="Mobile"/>
    <n v="5.8"/>
    <m/>
    <s v="Poor"/>
    <s v="Never"/>
    <s v="Poor"/>
    <n v="2.3199999999999998"/>
    <m/>
    <s v="Restless"/>
    <s v="Often"/>
    <b v="1"/>
    <b v="0"/>
    <b v="1"/>
    <b v="1"/>
    <b v="1"/>
    <n v="3.7"/>
    <n v="3.8"/>
    <n v="5"/>
    <n v="6"/>
    <n v="192.38"/>
    <m/>
    <n v="1"/>
    <x v="0"/>
    <m/>
    <m/>
    <m/>
    <m/>
  </r>
  <r>
    <s v="GD0081"/>
    <n v="22"/>
    <x v="1"/>
    <x v="1"/>
    <x v="3"/>
    <x v="1"/>
    <x v="0"/>
    <s v="Genshin Impact"/>
    <s v="Multi-platform"/>
    <n v="3.6"/>
    <m/>
    <s v="Very Poor"/>
    <s v="Rarely"/>
    <s v="Poor"/>
    <n v="1.98"/>
    <n v="1"/>
    <s v="Irritable"/>
    <s v="Daily"/>
    <b v="1"/>
    <b v="0"/>
    <b v="0"/>
    <b v="1"/>
    <b v="0"/>
    <n v="1.7"/>
    <n v="6.5"/>
    <n v="4"/>
    <n v="8"/>
    <n v="32.86"/>
    <m/>
    <n v="11"/>
    <x v="3"/>
    <m/>
    <m/>
    <m/>
    <m/>
  </r>
  <r>
    <s v="GD0082"/>
    <n v="17"/>
    <x v="0"/>
    <x v="1"/>
    <x v="58"/>
    <x v="1"/>
    <x v="5"/>
    <s v="World of Warcraft"/>
    <s v="Multi-platform"/>
    <n v="5"/>
    <m/>
    <s v="Fair"/>
    <s v="Rarely"/>
    <s v="Poor"/>
    <n v="3.56"/>
    <m/>
    <s v="Anxious"/>
    <s v="Often"/>
    <b v="1"/>
    <b v="0"/>
    <b v="1"/>
    <b v="1"/>
    <b v="1"/>
    <n v="0.4"/>
    <n v="2.9"/>
    <n v="7"/>
    <n v="0.8"/>
    <n v="462.43"/>
    <m/>
    <n v="3"/>
    <x v="0"/>
    <m/>
    <m/>
    <m/>
    <m/>
  </r>
  <r>
    <s v="GD0083"/>
    <n v="18"/>
    <x v="0"/>
    <x v="0"/>
    <x v="59"/>
    <x v="1"/>
    <x v="3"/>
    <s v="Elden Ring"/>
    <s v="Multi-platform"/>
    <n v="5.5"/>
    <m/>
    <s v="Insomnia"/>
    <s v="Rarely"/>
    <s v="Poor"/>
    <n v="1.42"/>
    <m/>
    <s v="Irritable"/>
    <s v="Sometimes"/>
    <b v="1"/>
    <b v="0"/>
    <b v="0"/>
    <b v="0"/>
    <b v="1"/>
    <n v="0.9"/>
    <n v="6.3"/>
    <n v="6"/>
    <n v="1.5"/>
    <n v="404.23"/>
    <m/>
    <n v="2"/>
    <x v="2"/>
    <m/>
    <m/>
    <m/>
    <m/>
  </r>
  <r>
    <s v="GD0084"/>
    <n v="20"/>
    <x v="1"/>
    <x v="0"/>
    <x v="60"/>
    <x v="1"/>
    <x v="3"/>
    <s v="Elden Ring"/>
    <s v="Multi-platform"/>
    <n v="6.8"/>
    <m/>
    <s v="Fair"/>
    <s v="Rarely"/>
    <s v="Average"/>
    <n v="2.95"/>
    <n v="8"/>
    <s v="Normal"/>
    <s v="Never"/>
    <b v="0"/>
    <b v="1"/>
    <b v="0"/>
    <b v="0"/>
    <b v="1"/>
    <n v="1.5"/>
    <n v="7.6"/>
    <n v="5"/>
    <n v="7.5"/>
    <n v="91.02"/>
    <m/>
    <n v="8"/>
    <x v="3"/>
    <m/>
    <m/>
    <m/>
    <m/>
  </r>
  <r>
    <s v="GD0085"/>
    <n v="26"/>
    <x v="1"/>
    <x v="0"/>
    <x v="61"/>
    <x v="1"/>
    <x v="0"/>
    <s v="PUBG Mobile"/>
    <s v="Multi-platform"/>
    <n v="7.6"/>
    <m/>
    <s v="Good"/>
    <s v="Sometimes"/>
    <s v="Good"/>
    <m/>
    <n v="5"/>
    <s v="Normal"/>
    <s v="Often"/>
    <b v="0"/>
    <b v="0"/>
    <b v="0"/>
    <b v="0"/>
    <b v="0"/>
    <n v="0.4"/>
    <n v="9.5"/>
    <n v="1"/>
    <n v="15.5"/>
    <n v="24.99"/>
    <m/>
    <n v="10"/>
    <x v="1"/>
    <m/>
    <m/>
    <m/>
    <m/>
  </r>
  <r>
    <s v="GD0086"/>
    <n v="22"/>
    <x v="1"/>
    <x v="0"/>
    <x v="1"/>
    <x v="1"/>
    <x v="4"/>
    <s v="Warzone"/>
    <s v="Mobile"/>
    <n v="8.8000000000000007"/>
    <m/>
    <s v="Poor"/>
    <s v="Rarely"/>
    <s v="Good"/>
    <n v="2.4"/>
    <n v="5"/>
    <s v="Normal"/>
    <s v="Rarely"/>
    <b v="0"/>
    <b v="0"/>
    <b v="0"/>
    <b v="0"/>
    <b v="0"/>
    <n v="1.1000000000000001"/>
    <n v="7.1"/>
    <n v="2"/>
    <n v="8.5"/>
    <n v="34.92"/>
    <m/>
    <n v="11"/>
    <x v="1"/>
    <m/>
    <m/>
    <m/>
    <m/>
  </r>
  <r>
    <s v="GD0087"/>
    <n v="14"/>
    <x v="0"/>
    <x v="0"/>
    <x v="62"/>
    <x v="1"/>
    <x v="5"/>
    <s v="Final Fantasy XIV"/>
    <s v="Multi-platform"/>
    <n v="4.8"/>
    <m/>
    <s v="Fair"/>
    <s v="Never"/>
    <s v="Poor"/>
    <n v="1.29"/>
    <m/>
    <s v="Angry"/>
    <s v="Often"/>
    <b v="1"/>
    <b v="1"/>
    <b v="0"/>
    <b v="1"/>
    <b v="0"/>
    <n v="0.7"/>
    <n v="7.9"/>
    <n v="5"/>
    <n v="6.6"/>
    <n v="123.8"/>
    <m/>
    <n v="3"/>
    <x v="2"/>
    <m/>
    <m/>
    <m/>
    <m/>
  </r>
  <r>
    <s v="GD0088"/>
    <n v="17"/>
    <x v="0"/>
    <x v="0"/>
    <x v="18"/>
    <x v="1"/>
    <x v="2"/>
    <s v="Call of Duty"/>
    <s v="PC"/>
    <n v="6.7"/>
    <m/>
    <s v="Fair"/>
    <s v="Often"/>
    <s v="Average"/>
    <n v="3.06"/>
    <m/>
    <s v="Normal"/>
    <s v="Sometimes"/>
    <b v="0"/>
    <b v="1"/>
    <b v="0"/>
    <b v="1"/>
    <b v="1"/>
    <n v="1.8"/>
    <n v="5.6"/>
    <n v="4"/>
    <n v="9.8000000000000007"/>
    <n v="71.69"/>
    <m/>
    <n v="1"/>
    <x v="3"/>
    <m/>
    <m/>
    <m/>
    <m/>
  </r>
  <r>
    <s v="GD0089"/>
    <n v="18"/>
    <x v="0"/>
    <x v="1"/>
    <x v="23"/>
    <x v="1"/>
    <x v="6"/>
    <s v="StarCraft II"/>
    <s v="PC"/>
    <n v="6.5"/>
    <m/>
    <s v="Poor"/>
    <s v="Rarely"/>
    <s v="Average"/>
    <n v="2.46"/>
    <m/>
    <s v="Normal"/>
    <s v="Never"/>
    <b v="0"/>
    <b v="1"/>
    <b v="0"/>
    <b v="1"/>
    <b v="0"/>
    <n v="0.4"/>
    <n v="7.4"/>
    <n v="4"/>
    <n v="4.9000000000000004"/>
    <n v="96.37"/>
    <m/>
    <n v="4"/>
    <x v="3"/>
    <m/>
    <m/>
    <m/>
    <m/>
  </r>
  <r>
    <s v="GD0090"/>
    <n v="22"/>
    <x v="1"/>
    <x v="1"/>
    <x v="63"/>
    <x v="1"/>
    <x v="0"/>
    <s v="Candy Crush"/>
    <s v="Mobile"/>
    <n v="3.1"/>
    <m/>
    <s v="Fair"/>
    <s v="Sometimes"/>
    <s v="Failing"/>
    <n v="3.21"/>
    <n v="6"/>
    <s v="Anxious"/>
    <s v="Sometimes"/>
    <b v="0"/>
    <b v="1"/>
    <b v="0"/>
    <b v="1"/>
    <b v="0"/>
    <n v="0.3"/>
    <n v="6.8"/>
    <n v="5"/>
    <n v="5.0999999999999996"/>
    <n v="67.48"/>
    <m/>
    <n v="1"/>
    <x v="3"/>
    <m/>
    <m/>
    <m/>
    <m/>
  </r>
  <r>
    <s v="GD0091"/>
    <n v="20"/>
    <x v="1"/>
    <x v="0"/>
    <x v="7"/>
    <x v="1"/>
    <x v="5"/>
    <s v="World of Warcraft"/>
    <s v="PC"/>
    <n v="5.8"/>
    <m/>
    <s v="Poor"/>
    <s v="Rarely"/>
    <s v="Below Average"/>
    <n v="1.5"/>
    <n v="1"/>
    <s v="Angry"/>
    <s v="Sometimes"/>
    <b v="0"/>
    <b v="0"/>
    <b v="0"/>
    <b v="0"/>
    <b v="1"/>
    <n v="4.5"/>
    <n v="3.6"/>
    <n v="8"/>
    <n v="1.6"/>
    <n v="499.27"/>
    <m/>
    <n v="4"/>
    <x v="3"/>
    <m/>
    <m/>
    <m/>
    <m/>
  </r>
  <r>
    <s v="GD0092"/>
    <n v="17"/>
    <x v="0"/>
    <x v="1"/>
    <x v="20"/>
    <x v="1"/>
    <x v="6"/>
    <s v="Civilization VI"/>
    <s v="PC"/>
    <n v="5.9"/>
    <m/>
    <s v="Fair"/>
    <s v="Never"/>
    <s v="Good"/>
    <n v="3.26"/>
    <m/>
    <s v="Restless"/>
    <s v="Never"/>
    <b v="1"/>
    <b v="0"/>
    <b v="0"/>
    <b v="1"/>
    <b v="1"/>
    <n v="5.7"/>
    <n v="5.3"/>
    <n v="5"/>
    <n v="2.7"/>
    <n v="254.42"/>
    <m/>
    <n v="5"/>
    <x v="2"/>
    <m/>
    <m/>
    <m/>
    <m/>
  </r>
  <r>
    <s v="GD0093"/>
    <n v="26"/>
    <x v="1"/>
    <x v="1"/>
    <x v="23"/>
    <x v="1"/>
    <x v="0"/>
    <s v="Clash of Clans"/>
    <s v="Console"/>
    <n v="6.1"/>
    <m/>
    <s v="Good"/>
    <s v="Always"/>
    <s v="Good"/>
    <m/>
    <n v="10"/>
    <s v="Excited"/>
    <s v="Sometimes"/>
    <b v="0"/>
    <b v="1"/>
    <b v="0"/>
    <b v="0"/>
    <b v="0"/>
    <n v="0.5"/>
    <n v="5.2"/>
    <n v="5"/>
    <n v="8.4"/>
    <n v="83.67"/>
    <m/>
    <n v="14"/>
    <x v="3"/>
    <m/>
    <m/>
    <m/>
    <m/>
  </r>
  <r>
    <s v="GD0094"/>
    <n v="21"/>
    <x v="1"/>
    <x v="1"/>
    <x v="49"/>
    <x v="1"/>
    <x v="6"/>
    <s v="StarCraft II"/>
    <s v="Mobile"/>
    <n v="6.1"/>
    <m/>
    <s v="Fair"/>
    <s v="Always"/>
    <s v="Failing"/>
    <n v="3.53"/>
    <n v="5"/>
    <s v="Withdrawn"/>
    <s v="Rarely"/>
    <b v="0"/>
    <b v="0"/>
    <b v="0"/>
    <b v="1"/>
    <b v="0"/>
    <n v="0.3"/>
    <n v="9.1"/>
    <n v="2"/>
    <n v="7.6"/>
    <n v="56.37"/>
    <m/>
    <n v="8"/>
    <x v="1"/>
    <m/>
    <m/>
    <m/>
    <m/>
  </r>
  <r>
    <s v="GD0095"/>
    <n v="22"/>
    <x v="1"/>
    <x v="0"/>
    <x v="43"/>
    <x v="1"/>
    <x v="3"/>
    <s v="Skyrim"/>
    <s v="Console"/>
    <n v="7.3"/>
    <m/>
    <s v="Fair"/>
    <s v="Rarely"/>
    <s v="Average"/>
    <n v="1.41"/>
    <n v="7"/>
    <s v="Normal"/>
    <s v="Never"/>
    <b v="0"/>
    <b v="0"/>
    <b v="0"/>
    <b v="0"/>
    <b v="0"/>
    <n v="0.4"/>
    <n v="10.8"/>
    <n v="1"/>
    <n v="14.1"/>
    <n v="24.1"/>
    <m/>
    <n v="5"/>
    <x v="1"/>
    <m/>
    <m/>
    <m/>
    <m/>
  </r>
  <r>
    <s v="GD0096"/>
    <n v="19"/>
    <x v="0"/>
    <x v="0"/>
    <x v="39"/>
    <x v="1"/>
    <x v="0"/>
    <s v="Candy Crush"/>
    <s v="Mobile"/>
    <n v="4.9000000000000004"/>
    <m/>
    <s v="Poor"/>
    <s v="Often"/>
    <s v="Failing"/>
    <n v="3.92"/>
    <n v="4"/>
    <s v="Restless"/>
    <s v="Daily"/>
    <b v="1"/>
    <b v="1"/>
    <b v="0"/>
    <b v="1"/>
    <b v="1"/>
    <n v="0.4"/>
    <n v="4.5999999999999996"/>
    <n v="6"/>
    <n v="8.8000000000000007"/>
    <n v="115.12"/>
    <m/>
    <n v="1"/>
    <x v="2"/>
    <m/>
    <m/>
    <m/>
    <m/>
  </r>
  <r>
    <s v="GD0097"/>
    <n v="19"/>
    <x v="0"/>
    <x v="0"/>
    <x v="64"/>
    <x v="1"/>
    <x v="1"/>
    <s v="Mobile Legends"/>
    <s v="Mobile"/>
    <n v="7.3"/>
    <m/>
    <s v="Fair"/>
    <s v="Often"/>
    <s v="Average"/>
    <n v="2.0499999999999998"/>
    <n v="9"/>
    <s v="Restless"/>
    <s v="Rarely"/>
    <b v="0"/>
    <b v="0"/>
    <b v="0"/>
    <b v="0"/>
    <b v="0"/>
    <n v="0.5"/>
    <n v="9.1"/>
    <n v="2"/>
    <n v="14.4"/>
    <n v="15.77"/>
    <m/>
    <n v="1"/>
    <x v="1"/>
    <m/>
    <m/>
    <m/>
    <m/>
  </r>
  <r>
    <s v="GD0098"/>
    <n v="23"/>
    <x v="1"/>
    <x v="0"/>
    <x v="65"/>
    <x v="1"/>
    <x v="3"/>
    <s v="Cyberpunk 2077"/>
    <s v="Mobile"/>
    <n v="5.6"/>
    <m/>
    <s v="Poor"/>
    <s v="Often"/>
    <s v="Poor"/>
    <m/>
    <n v="10"/>
    <s v="Anxious"/>
    <s v="Rarely"/>
    <b v="0"/>
    <b v="1"/>
    <b v="1"/>
    <b v="0"/>
    <b v="0"/>
    <n v="4.0999999999999996"/>
    <n v="3.7"/>
    <n v="5"/>
    <n v="3.9"/>
    <n v="197.03"/>
    <m/>
    <n v="5"/>
    <x v="0"/>
    <m/>
    <m/>
    <m/>
    <m/>
  </r>
  <r>
    <s v="GD0099"/>
    <n v="31"/>
    <x v="2"/>
    <x v="0"/>
    <x v="11"/>
    <x v="1"/>
    <x v="1"/>
    <s v="Mobile Legends"/>
    <s v="PC"/>
    <n v="6.5"/>
    <m/>
    <s v="Fair"/>
    <s v="Often"/>
    <s v="Average"/>
    <m/>
    <n v="1"/>
    <s v="Angry"/>
    <s v="Often"/>
    <b v="0"/>
    <b v="0"/>
    <b v="0"/>
    <b v="1"/>
    <b v="0"/>
    <n v="0.9"/>
    <n v="7.4"/>
    <n v="2"/>
    <n v="10.9"/>
    <n v="72.27"/>
    <m/>
    <n v="12"/>
    <x v="1"/>
    <m/>
    <m/>
    <m/>
    <m/>
  </r>
  <r>
    <s v="GD0100"/>
    <n v="27"/>
    <x v="1"/>
    <x v="1"/>
    <x v="19"/>
    <x v="1"/>
    <x v="0"/>
    <s v="Candy Crush"/>
    <s v="PC"/>
    <n v="6.3"/>
    <m/>
    <s v="Very Poor"/>
    <s v="Often"/>
    <s v="Average"/>
    <m/>
    <n v="10"/>
    <s v="Depressed"/>
    <s v="Daily"/>
    <b v="0"/>
    <b v="0"/>
    <b v="0"/>
    <b v="1"/>
    <b v="0"/>
    <n v="1.3"/>
    <n v="8"/>
    <n v="2"/>
    <n v="10.199999999999999"/>
    <n v="21.12"/>
    <m/>
    <n v="2"/>
    <x v="1"/>
    <m/>
    <m/>
    <m/>
    <m/>
  </r>
  <r>
    <s v="GD0101"/>
    <n v="21"/>
    <x v="1"/>
    <x v="0"/>
    <x v="66"/>
    <x v="1"/>
    <x v="2"/>
    <s v="Valorant"/>
    <s v="PC"/>
    <n v="6.6"/>
    <m/>
    <s v="Fair"/>
    <s v="Rarely"/>
    <s v="Failing"/>
    <n v="3.51"/>
    <n v="4"/>
    <s v="Normal"/>
    <s v="Rarely"/>
    <b v="0"/>
    <b v="0"/>
    <b v="0"/>
    <b v="1"/>
    <b v="0"/>
    <n v="1.3"/>
    <n v="5.7"/>
    <n v="1"/>
    <n v="11.2"/>
    <n v="33.119999999999997"/>
    <m/>
    <n v="11"/>
    <x v="1"/>
    <m/>
    <m/>
    <m/>
    <m/>
  </r>
  <r>
    <s v="GD0102"/>
    <n v="19"/>
    <x v="0"/>
    <x v="0"/>
    <x v="18"/>
    <x v="1"/>
    <x v="3"/>
    <s v="Elden Ring"/>
    <s v="Console"/>
    <n v="5.5"/>
    <m/>
    <s v="Good"/>
    <s v="Always"/>
    <s v="Average"/>
    <n v="3.22"/>
    <n v="7"/>
    <s v="Normal"/>
    <s v="Rarely"/>
    <b v="0"/>
    <b v="0"/>
    <b v="0"/>
    <b v="1"/>
    <b v="0"/>
    <n v="0.6"/>
    <n v="8.1"/>
    <n v="5"/>
    <n v="7.9"/>
    <n v="110.19"/>
    <m/>
    <n v="3"/>
    <x v="1"/>
    <m/>
    <m/>
    <m/>
    <m/>
  </r>
  <r>
    <s v="GD0103"/>
    <n v="19"/>
    <x v="0"/>
    <x v="1"/>
    <x v="45"/>
    <x v="1"/>
    <x v="5"/>
    <s v="Elder Scrolls Online"/>
    <s v="PC"/>
    <n v="5"/>
    <m/>
    <s v="Poor"/>
    <s v="Rarely"/>
    <s v="Good"/>
    <n v="2.66"/>
    <n v="1"/>
    <s v="Irritable"/>
    <s v="Sometimes"/>
    <b v="1"/>
    <b v="1"/>
    <b v="0"/>
    <b v="0"/>
    <b v="1"/>
    <n v="0.1"/>
    <n v="5.3"/>
    <n v="4"/>
    <n v="6"/>
    <n v="112.86"/>
    <m/>
    <n v="8"/>
    <x v="2"/>
    <m/>
    <m/>
    <m/>
    <m/>
  </r>
  <r>
    <s v="GD0104"/>
    <n v="19"/>
    <x v="0"/>
    <x v="1"/>
    <x v="34"/>
    <x v="1"/>
    <x v="3"/>
    <s v="Elden Ring"/>
    <s v="PC"/>
    <n v="3.4"/>
    <m/>
    <s v="Very Poor"/>
    <s v="Never"/>
    <s v="Poor"/>
    <n v="2.5299999999999998"/>
    <n v="6"/>
    <s v="Restless"/>
    <s v="Often"/>
    <b v="1"/>
    <b v="1"/>
    <b v="0"/>
    <b v="1"/>
    <b v="1"/>
    <n v="0"/>
    <n v="6.6"/>
    <n v="4"/>
    <n v="2.6"/>
    <n v="26.81"/>
    <m/>
    <n v="3"/>
    <x v="2"/>
    <m/>
    <m/>
    <m/>
    <m/>
  </r>
  <r>
    <s v="GD0105"/>
    <n v="21"/>
    <x v="1"/>
    <x v="1"/>
    <x v="51"/>
    <x v="1"/>
    <x v="4"/>
    <s v="Warzone"/>
    <s v="Mobile"/>
    <n v="6.6"/>
    <m/>
    <s v="Fair"/>
    <s v="Often"/>
    <s v="Below Average"/>
    <n v="1.08"/>
    <n v="5"/>
    <s v="Excited"/>
    <s v="Rarely"/>
    <b v="0"/>
    <b v="0"/>
    <b v="0"/>
    <b v="0"/>
    <b v="0"/>
    <n v="3.6"/>
    <n v="6.1"/>
    <n v="2"/>
    <n v="10.9"/>
    <n v="48.19"/>
    <m/>
    <n v="1"/>
    <x v="1"/>
    <m/>
    <m/>
    <m/>
    <m/>
  </r>
  <r>
    <s v="GD0106"/>
    <n v="17"/>
    <x v="0"/>
    <x v="1"/>
    <x v="67"/>
    <x v="1"/>
    <x v="4"/>
    <s v="Warzone"/>
    <s v="PC"/>
    <n v="5"/>
    <m/>
    <s v="Very Poor"/>
    <s v="Always"/>
    <s v="Poor"/>
    <n v="3.66"/>
    <m/>
    <s v="Anxious"/>
    <s v="Daily"/>
    <b v="1"/>
    <b v="1"/>
    <b v="0"/>
    <b v="0"/>
    <b v="0"/>
    <n v="5.2"/>
    <n v="6.8"/>
    <n v="7"/>
    <n v="3.4"/>
    <n v="114.88"/>
    <m/>
    <n v="7"/>
    <x v="0"/>
    <m/>
    <m/>
    <m/>
    <m/>
  </r>
  <r>
    <s v="GD0107"/>
    <n v="14"/>
    <x v="0"/>
    <x v="1"/>
    <x v="68"/>
    <x v="1"/>
    <x v="2"/>
    <s v="Valorant"/>
    <s v="Mobile"/>
    <n v="7.9"/>
    <m/>
    <s v="Good"/>
    <s v="Never"/>
    <s v="Excellent"/>
    <n v="1.37"/>
    <m/>
    <s v="Depressed"/>
    <s v="Daily"/>
    <b v="0"/>
    <b v="0"/>
    <b v="0"/>
    <b v="0"/>
    <b v="0"/>
    <n v="0.5"/>
    <n v="9.4"/>
    <n v="3"/>
    <n v="8.6999999999999993"/>
    <n v="24.6"/>
    <m/>
    <n v="3"/>
    <x v="1"/>
    <m/>
    <m/>
    <m/>
    <m/>
  </r>
  <r>
    <s v="GD0108"/>
    <n v="19"/>
    <x v="0"/>
    <x v="1"/>
    <x v="4"/>
    <x v="1"/>
    <x v="4"/>
    <s v="PUBG"/>
    <s v="Multi-platform"/>
    <n v="3.7"/>
    <m/>
    <s v="Poor"/>
    <s v="Never"/>
    <s v="Failing"/>
    <n v="2.96"/>
    <n v="7"/>
    <s v="Angry"/>
    <s v="Rarely"/>
    <b v="1"/>
    <b v="0"/>
    <b v="0"/>
    <b v="1"/>
    <b v="1"/>
    <n v="1.9"/>
    <n v="6.4"/>
    <n v="4"/>
    <n v="4.7"/>
    <n v="127"/>
    <m/>
    <n v="9"/>
    <x v="3"/>
    <m/>
    <m/>
    <m/>
    <m/>
  </r>
  <r>
    <s v="GD0109"/>
    <n v="19"/>
    <x v="0"/>
    <x v="0"/>
    <x v="29"/>
    <x v="1"/>
    <x v="4"/>
    <s v="Fortnite"/>
    <s v="Console"/>
    <n v="5.3"/>
    <m/>
    <s v="Fair"/>
    <s v="Sometimes"/>
    <s v="Excellent"/>
    <n v="2.21"/>
    <n v="4"/>
    <s v="Irritable"/>
    <s v="Daily"/>
    <b v="0"/>
    <b v="0"/>
    <b v="0"/>
    <b v="0"/>
    <b v="0"/>
    <n v="0.2"/>
    <n v="6.8"/>
    <n v="2"/>
    <n v="11.3"/>
    <n v="85.23"/>
    <m/>
    <n v="8"/>
    <x v="1"/>
    <m/>
    <m/>
    <m/>
    <m/>
  </r>
  <r>
    <s v="GD0110"/>
    <n v="26"/>
    <x v="1"/>
    <x v="0"/>
    <x v="69"/>
    <x v="1"/>
    <x v="3"/>
    <s v="Cyberpunk 2077"/>
    <s v="PC"/>
    <n v="4.4000000000000004"/>
    <m/>
    <s v="Poor"/>
    <s v="Never"/>
    <s v="Failing"/>
    <m/>
    <n v="2"/>
    <s v="Irritable"/>
    <s v="Sometimes"/>
    <b v="1"/>
    <b v="0"/>
    <b v="1"/>
    <b v="1"/>
    <b v="1"/>
    <n v="1.8"/>
    <n v="5.2"/>
    <n v="9"/>
    <n v="2.5"/>
    <n v="326.95999999999998"/>
    <m/>
    <n v="15"/>
    <x v="0"/>
    <m/>
    <m/>
    <m/>
    <m/>
  </r>
  <r>
    <s v="GD0111"/>
    <n v="16"/>
    <x v="0"/>
    <x v="1"/>
    <x v="66"/>
    <x v="1"/>
    <x v="4"/>
    <s v="Fortnite"/>
    <s v="PC"/>
    <n v="6.7"/>
    <m/>
    <s v="Good"/>
    <s v="Rarely"/>
    <s v="Below Average"/>
    <n v="2.85"/>
    <m/>
    <s v="Normal"/>
    <s v="Rarely"/>
    <b v="0"/>
    <b v="0"/>
    <b v="0"/>
    <b v="1"/>
    <b v="0"/>
    <n v="0.4"/>
    <n v="7.9"/>
    <n v="3"/>
    <n v="11"/>
    <n v="147.65"/>
    <m/>
    <n v="3"/>
    <x v="1"/>
    <m/>
    <m/>
    <m/>
    <m/>
  </r>
  <r>
    <s v="GD0112"/>
    <n v="31"/>
    <x v="2"/>
    <x v="1"/>
    <x v="70"/>
    <x v="1"/>
    <x v="1"/>
    <s v="League of Legends"/>
    <s v="PC"/>
    <n v="6.8"/>
    <m/>
    <s v="Fair"/>
    <s v="Rarely"/>
    <s v="Good"/>
    <m/>
    <n v="8"/>
    <s v="Normal"/>
    <s v="Never"/>
    <b v="0"/>
    <b v="1"/>
    <b v="0"/>
    <b v="1"/>
    <b v="1"/>
    <n v="3.3"/>
    <n v="6.4"/>
    <n v="4"/>
    <n v="10.199999999999999"/>
    <n v="126.15"/>
    <m/>
    <n v="20"/>
    <x v="3"/>
    <m/>
    <m/>
    <m/>
    <m/>
  </r>
  <r>
    <s v="GD0113"/>
    <n v="16"/>
    <x v="0"/>
    <x v="0"/>
    <x v="71"/>
    <x v="1"/>
    <x v="6"/>
    <s v="Age of Empires"/>
    <s v="Multi-platform"/>
    <n v="6.9"/>
    <m/>
    <s v="Fair"/>
    <s v="Often"/>
    <s v="Below Average"/>
    <n v="3.82"/>
    <m/>
    <s v="Irritable"/>
    <s v="Often"/>
    <b v="0"/>
    <b v="0"/>
    <b v="0"/>
    <b v="0"/>
    <b v="0"/>
    <n v="0.2"/>
    <n v="9.9"/>
    <n v="1"/>
    <n v="9.6"/>
    <n v="40.4"/>
    <m/>
    <n v="5"/>
    <x v="1"/>
    <m/>
    <m/>
    <m/>
    <m/>
  </r>
  <r>
    <s v="GD0114"/>
    <n v="20"/>
    <x v="1"/>
    <x v="1"/>
    <x v="72"/>
    <x v="1"/>
    <x v="0"/>
    <s v="Genshin Impact"/>
    <s v="Multi-platform"/>
    <n v="5.8"/>
    <m/>
    <s v="Very Poor"/>
    <s v="Often"/>
    <s v="Below Average"/>
    <n v="2.98"/>
    <n v="6"/>
    <s v="Withdrawn"/>
    <s v="Daily"/>
    <b v="1"/>
    <b v="0"/>
    <b v="0"/>
    <b v="1"/>
    <b v="1"/>
    <n v="0.3"/>
    <n v="7"/>
    <n v="6"/>
    <n v="3.6"/>
    <n v="177.45"/>
    <m/>
    <n v="5"/>
    <x v="2"/>
    <m/>
    <m/>
    <m/>
    <m/>
  </r>
  <r>
    <s v="GD0115"/>
    <n v="23"/>
    <x v="1"/>
    <x v="0"/>
    <x v="64"/>
    <x v="1"/>
    <x v="0"/>
    <s v="Genshin Impact"/>
    <s v="Console"/>
    <n v="8.4"/>
    <m/>
    <s v="Fair"/>
    <s v="Rarely"/>
    <s v="Excellent"/>
    <m/>
    <n v="9"/>
    <s v="Normal"/>
    <s v="Daily"/>
    <b v="0"/>
    <b v="0"/>
    <b v="0"/>
    <b v="0"/>
    <b v="0"/>
    <n v="0.3"/>
    <n v="10"/>
    <n v="3"/>
    <n v="11.7"/>
    <n v="49.01"/>
    <m/>
    <n v="5"/>
    <x v="1"/>
    <m/>
    <m/>
    <m/>
    <m/>
  </r>
  <r>
    <s v="GD0116"/>
    <n v="22"/>
    <x v="1"/>
    <x v="1"/>
    <x v="15"/>
    <x v="1"/>
    <x v="5"/>
    <s v="World of Warcraft"/>
    <s v="Mobile"/>
    <n v="4.2"/>
    <m/>
    <s v="Very Poor"/>
    <s v="Always"/>
    <s v="Failing"/>
    <n v="2.57"/>
    <n v="3"/>
    <s v="Irritable"/>
    <s v="Never"/>
    <b v="0"/>
    <b v="1"/>
    <b v="1"/>
    <b v="1"/>
    <b v="0"/>
    <n v="1.3"/>
    <n v="5.6"/>
    <n v="6"/>
    <n v="3.4"/>
    <n v="82.28"/>
    <m/>
    <n v="8"/>
    <x v="2"/>
    <m/>
    <m/>
    <m/>
    <m/>
  </r>
  <r>
    <s v="GD0117"/>
    <n v="15"/>
    <x v="0"/>
    <x v="0"/>
    <x v="73"/>
    <x v="1"/>
    <x v="4"/>
    <s v="Apex Legends"/>
    <s v="Multi-platform"/>
    <n v="5.4"/>
    <m/>
    <s v="Very Poor"/>
    <s v="Sometimes"/>
    <s v="Below Average"/>
    <n v="2.6"/>
    <m/>
    <s v="Depressed"/>
    <s v="Sometimes"/>
    <b v="0"/>
    <b v="1"/>
    <b v="1"/>
    <b v="0"/>
    <b v="1"/>
    <n v="3.4"/>
    <n v="4"/>
    <n v="9"/>
    <n v="0.9"/>
    <n v="224.87"/>
    <m/>
    <n v="3"/>
    <x v="0"/>
    <m/>
    <m/>
    <m/>
    <m/>
  </r>
  <r>
    <s v="GD0118"/>
    <n v="15"/>
    <x v="0"/>
    <x v="0"/>
    <x v="55"/>
    <x v="1"/>
    <x v="3"/>
    <s v="Skyrim"/>
    <s v="Console"/>
    <n v="5.5"/>
    <m/>
    <s v="Poor"/>
    <s v="Never"/>
    <s v="Below Average"/>
    <n v="1.32"/>
    <m/>
    <s v="Anxious"/>
    <s v="Daily"/>
    <b v="0"/>
    <b v="1"/>
    <b v="0"/>
    <b v="1"/>
    <b v="1"/>
    <n v="3"/>
    <n v="7.7"/>
    <n v="4"/>
    <n v="9.1"/>
    <n v="61.16"/>
    <m/>
    <n v="1"/>
    <x v="3"/>
    <m/>
    <m/>
    <m/>
    <m/>
  </r>
  <r>
    <s v="GD0119"/>
    <n v="16"/>
    <x v="0"/>
    <x v="2"/>
    <x v="74"/>
    <x v="1"/>
    <x v="5"/>
    <s v="World of Warcraft"/>
    <s v="Mobile"/>
    <n v="8"/>
    <m/>
    <s v="Fair"/>
    <s v="Sometimes"/>
    <s v="Good"/>
    <n v="1.75"/>
    <m/>
    <s v="Withdrawn"/>
    <s v="Sometimes"/>
    <b v="0"/>
    <b v="0"/>
    <b v="0"/>
    <b v="0"/>
    <b v="0"/>
    <n v="0.4"/>
    <n v="10.8"/>
    <n v="1"/>
    <n v="15.2"/>
    <n v="35.369999999999997"/>
    <m/>
    <n v="1"/>
    <x v="1"/>
    <m/>
    <m/>
    <m/>
    <m/>
  </r>
  <r>
    <s v="GD0120"/>
    <n v="19"/>
    <x v="0"/>
    <x v="0"/>
    <x v="51"/>
    <x v="1"/>
    <x v="0"/>
    <s v="Clash of Clans"/>
    <s v="Console"/>
    <n v="6.3"/>
    <m/>
    <s v="Poor"/>
    <s v="Sometimes"/>
    <s v="Average"/>
    <n v="2.86"/>
    <n v="6"/>
    <s v="Normal"/>
    <s v="Often"/>
    <b v="0"/>
    <b v="0"/>
    <b v="0"/>
    <b v="1"/>
    <b v="0"/>
    <n v="3"/>
    <n v="6.9"/>
    <n v="4"/>
    <n v="9.9"/>
    <n v="29.59"/>
    <m/>
    <n v="1"/>
    <x v="1"/>
    <m/>
    <m/>
    <m/>
    <m/>
  </r>
  <r>
    <s v="GD0121"/>
    <n v="23"/>
    <x v="1"/>
    <x v="0"/>
    <x v="75"/>
    <x v="1"/>
    <x v="4"/>
    <s v="Fortnite"/>
    <s v="PC"/>
    <n v="3.8"/>
    <m/>
    <s v="Very Poor"/>
    <s v="Often"/>
    <s v="Poor"/>
    <m/>
    <n v="6"/>
    <s v="Euphoric"/>
    <s v="Sometimes"/>
    <b v="1"/>
    <b v="0"/>
    <b v="0"/>
    <b v="1"/>
    <b v="1"/>
    <n v="6.1"/>
    <n v="5.4"/>
    <n v="8"/>
    <n v="2.5"/>
    <n v="391.88"/>
    <m/>
    <n v="1"/>
    <x v="2"/>
    <m/>
    <m/>
    <m/>
    <m/>
  </r>
  <r>
    <s v="GD0122"/>
    <n v="17"/>
    <x v="0"/>
    <x v="0"/>
    <x v="44"/>
    <x v="1"/>
    <x v="2"/>
    <s v="Overwatch"/>
    <s v="Mobile"/>
    <n v="6.7"/>
    <m/>
    <s v="Poor"/>
    <s v="Sometimes"/>
    <s v="Excellent"/>
    <n v="3.71"/>
    <m/>
    <s v="Angry"/>
    <s v="Often"/>
    <b v="0"/>
    <b v="1"/>
    <b v="0"/>
    <b v="1"/>
    <b v="1"/>
    <n v="2.2000000000000002"/>
    <n v="7.6"/>
    <n v="5"/>
    <n v="10.4"/>
    <n v="147.47"/>
    <m/>
    <n v="7"/>
    <x v="3"/>
    <m/>
    <m/>
    <m/>
    <m/>
  </r>
  <r>
    <s v="GD0123"/>
    <n v="18"/>
    <x v="0"/>
    <x v="0"/>
    <x v="52"/>
    <x v="1"/>
    <x v="1"/>
    <s v="Mobile Legends"/>
    <s v="Multi-platform"/>
    <n v="7.3"/>
    <m/>
    <s v="Fair"/>
    <s v="Often"/>
    <s v="Good"/>
    <n v="1.1000000000000001"/>
    <m/>
    <s v="Normal"/>
    <s v="Never"/>
    <b v="0"/>
    <b v="0"/>
    <b v="0"/>
    <b v="0"/>
    <b v="0"/>
    <n v="0.9"/>
    <n v="7.8"/>
    <n v="2"/>
    <n v="12.6"/>
    <n v="37.299999999999997"/>
    <m/>
    <n v="1"/>
    <x v="1"/>
    <m/>
    <m/>
    <m/>
    <m/>
  </r>
  <r>
    <s v="GD0124"/>
    <n v="14"/>
    <x v="0"/>
    <x v="1"/>
    <x v="76"/>
    <x v="1"/>
    <x v="3"/>
    <s v="Skyrim"/>
    <s v="Multi-platform"/>
    <n v="5.6"/>
    <m/>
    <s v="Poor"/>
    <s v="Never"/>
    <s v="Poor"/>
    <n v="1.96"/>
    <m/>
    <s v="Restless"/>
    <s v="Never"/>
    <b v="1"/>
    <b v="1"/>
    <b v="0"/>
    <b v="1"/>
    <b v="1"/>
    <n v="3.8"/>
    <n v="6.5"/>
    <n v="5"/>
    <n v="8.1"/>
    <n v="25.58"/>
    <m/>
    <n v="2"/>
    <x v="2"/>
    <m/>
    <m/>
    <m/>
    <m/>
  </r>
  <r>
    <s v="GD0125"/>
    <n v="20"/>
    <x v="1"/>
    <x v="1"/>
    <x v="77"/>
    <x v="1"/>
    <x v="5"/>
    <s v="Final Fantasy XIV"/>
    <s v="Console"/>
    <n v="5.5"/>
    <m/>
    <s v="Good"/>
    <s v="Always"/>
    <s v="Poor"/>
    <n v="2.19"/>
    <n v="4"/>
    <s v="Withdrawn"/>
    <s v="Sometimes"/>
    <b v="1"/>
    <b v="0"/>
    <b v="1"/>
    <b v="0"/>
    <b v="0"/>
    <n v="4.4000000000000004"/>
    <n v="3.6"/>
    <n v="6"/>
    <n v="2"/>
    <n v="358.72"/>
    <m/>
    <n v="5"/>
    <x v="0"/>
    <m/>
    <m/>
    <m/>
    <m/>
  </r>
  <r>
    <s v="GD0126"/>
    <n v="19"/>
    <x v="0"/>
    <x v="0"/>
    <x v="54"/>
    <x v="1"/>
    <x v="0"/>
    <s v="Clash of Clans"/>
    <s v="Multi-platform"/>
    <n v="6.7"/>
    <m/>
    <s v="Poor"/>
    <s v="Always"/>
    <s v="Good"/>
    <n v="1.1100000000000001"/>
    <n v="10"/>
    <s v="Normal"/>
    <s v="Sometimes"/>
    <b v="0"/>
    <b v="0"/>
    <b v="0"/>
    <b v="1"/>
    <b v="0"/>
    <n v="1.5"/>
    <n v="8.9"/>
    <n v="3"/>
    <n v="11.8"/>
    <n v="143.86000000000001"/>
    <m/>
    <n v="9"/>
    <x v="1"/>
    <m/>
    <m/>
    <m/>
    <m/>
  </r>
  <r>
    <s v="GD0127"/>
    <n v="22"/>
    <x v="1"/>
    <x v="0"/>
    <x v="47"/>
    <x v="1"/>
    <x v="4"/>
    <s v="Warzone"/>
    <s v="Console"/>
    <n v="5.0999999999999996"/>
    <m/>
    <s v="Poor"/>
    <s v="Rarely"/>
    <s v="Below Average"/>
    <n v="1.69"/>
    <n v="4"/>
    <s v="Anxious"/>
    <s v="Daily"/>
    <b v="0"/>
    <b v="0"/>
    <b v="0"/>
    <b v="0"/>
    <b v="0"/>
    <n v="4.4000000000000004"/>
    <n v="8.3000000000000007"/>
    <n v="5"/>
    <n v="5.7"/>
    <n v="44.63"/>
    <m/>
    <n v="1"/>
    <x v="1"/>
    <m/>
    <m/>
    <m/>
    <m/>
  </r>
  <r>
    <s v="GD0128"/>
    <n v="19"/>
    <x v="0"/>
    <x v="1"/>
    <x v="78"/>
    <x v="1"/>
    <x v="5"/>
    <s v="World of Warcraft"/>
    <s v="Console"/>
    <n v="6.7"/>
    <m/>
    <s v="Very Poor"/>
    <s v="Sometimes"/>
    <s v="Average"/>
    <n v="3.31"/>
    <n v="8"/>
    <s v="Normal"/>
    <s v="Never"/>
    <b v="0"/>
    <b v="0"/>
    <b v="0"/>
    <b v="0"/>
    <b v="0"/>
    <n v="1.5"/>
    <n v="9.6"/>
    <n v="2"/>
    <n v="13"/>
    <n v="48"/>
    <m/>
    <n v="6"/>
    <x v="1"/>
    <m/>
    <m/>
    <m/>
    <m/>
  </r>
  <r>
    <s v="GD0129"/>
    <n v="35"/>
    <x v="2"/>
    <x v="0"/>
    <x v="33"/>
    <x v="1"/>
    <x v="1"/>
    <s v="League of Legends"/>
    <s v="Console"/>
    <n v="7.6"/>
    <m/>
    <s v="Good"/>
    <s v="Always"/>
    <s v="Below Average"/>
    <m/>
    <n v="9"/>
    <s v="Excited"/>
    <s v="Daily"/>
    <b v="0"/>
    <b v="0"/>
    <b v="0"/>
    <b v="0"/>
    <b v="0"/>
    <n v="1.8"/>
    <n v="7.8"/>
    <n v="3"/>
    <n v="8.6999999999999993"/>
    <n v="27.92"/>
    <m/>
    <n v="15"/>
    <x v="1"/>
    <m/>
    <m/>
    <m/>
    <m/>
  </r>
  <r>
    <s v="GD0130"/>
    <n v="18"/>
    <x v="0"/>
    <x v="1"/>
    <x v="71"/>
    <x v="1"/>
    <x v="0"/>
    <s v="Clash of Clans"/>
    <s v="Console"/>
    <n v="6.3"/>
    <m/>
    <s v="Fair"/>
    <s v="Never"/>
    <s v="Below Average"/>
    <n v="1.74"/>
    <m/>
    <s v="Depressed"/>
    <s v="Often"/>
    <b v="0"/>
    <b v="0"/>
    <b v="0"/>
    <b v="0"/>
    <b v="0"/>
    <n v="0.7"/>
    <n v="6"/>
    <n v="2"/>
    <n v="8.6999999999999993"/>
    <n v="13.53"/>
    <m/>
    <n v="3"/>
    <x v="1"/>
    <m/>
    <m/>
    <m/>
    <m/>
  </r>
  <r>
    <s v="GD0131"/>
    <n v="20"/>
    <x v="1"/>
    <x v="1"/>
    <x v="79"/>
    <x v="1"/>
    <x v="3"/>
    <s v="Cyberpunk 2077"/>
    <s v="Multi-platform"/>
    <n v="4.9000000000000004"/>
    <m/>
    <s v="Good"/>
    <s v="Often"/>
    <s v="Good"/>
    <n v="3.11"/>
    <n v="10"/>
    <s v="Anxious"/>
    <s v="Daily"/>
    <b v="0"/>
    <b v="0"/>
    <b v="0"/>
    <b v="1"/>
    <b v="1"/>
    <n v="1"/>
    <n v="6.9"/>
    <n v="4"/>
    <n v="6.5"/>
    <n v="22.1"/>
    <m/>
    <n v="10"/>
    <x v="1"/>
    <m/>
    <m/>
    <m/>
    <m/>
  </r>
  <r>
    <s v="GD0132"/>
    <n v="16"/>
    <x v="0"/>
    <x v="0"/>
    <x v="21"/>
    <x v="1"/>
    <x v="0"/>
    <s v="Clash of Clans"/>
    <s v="PC"/>
    <n v="5.7"/>
    <m/>
    <s v="Fair"/>
    <s v="Sometimes"/>
    <s v="Average"/>
    <n v="1.03"/>
    <m/>
    <s v="Anxious"/>
    <s v="Never"/>
    <b v="0"/>
    <b v="0"/>
    <b v="0"/>
    <b v="1"/>
    <b v="0"/>
    <n v="0.4"/>
    <n v="9.1"/>
    <n v="2"/>
    <n v="6.7"/>
    <n v="20.36"/>
    <m/>
    <n v="4"/>
    <x v="1"/>
    <m/>
    <m/>
    <m/>
    <m/>
  </r>
  <r>
    <s v="GD0133"/>
    <n v="13"/>
    <x v="0"/>
    <x v="0"/>
    <x v="53"/>
    <x v="1"/>
    <x v="4"/>
    <s v="PUBG"/>
    <s v="Console"/>
    <n v="5.0999999999999996"/>
    <m/>
    <s v="Poor"/>
    <s v="Always"/>
    <s v="Average"/>
    <n v="1.42"/>
    <m/>
    <s v="Anxious"/>
    <s v="Daily"/>
    <b v="0"/>
    <b v="0"/>
    <b v="0"/>
    <b v="0"/>
    <b v="0"/>
    <n v="0.4"/>
    <n v="6.4"/>
    <n v="2"/>
    <n v="12.1"/>
    <n v="27.46"/>
    <m/>
    <n v="1"/>
    <x v="1"/>
    <m/>
    <m/>
    <m/>
    <m/>
  </r>
  <r>
    <s v="GD0134"/>
    <n v="26"/>
    <x v="1"/>
    <x v="0"/>
    <x v="56"/>
    <x v="1"/>
    <x v="3"/>
    <s v="Elden Ring"/>
    <s v="Multi-platform"/>
    <n v="5.4"/>
    <m/>
    <s v="Poor"/>
    <s v="Often"/>
    <s v="Average"/>
    <m/>
    <n v="4"/>
    <s v="Withdrawn"/>
    <s v="Never"/>
    <b v="0"/>
    <b v="1"/>
    <b v="1"/>
    <b v="1"/>
    <b v="0"/>
    <n v="4.4000000000000004"/>
    <n v="7.6"/>
    <n v="5"/>
    <n v="3.5"/>
    <n v="49.13"/>
    <m/>
    <n v="1"/>
    <x v="2"/>
    <m/>
    <m/>
    <m/>
    <m/>
  </r>
  <r>
    <s v="GD0135"/>
    <n v="16"/>
    <x v="0"/>
    <x v="1"/>
    <x v="71"/>
    <x v="1"/>
    <x v="6"/>
    <s v="Civilization VI"/>
    <s v="Mobile"/>
    <n v="5.5"/>
    <m/>
    <s v="Very Poor"/>
    <s v="Always"/>
    <s v="Good"/>
    <n v="4"/>
    <m/>
    <s v="Euphoric"/>
    <s v="Daily"/>
    <b v="0"/>
    <b v="0"/>
    <b v="0"/>
    <b v="0"/>
    <b v="0"/>
    <n v="0.6"/>
    <n v="9.8000000000000007"/>
    <n v="3"/>
    <n v="10.199999999999999"/>
    <n v="20.78"/>
    <m/>
    <n v="4"/>
    <x v="1"/>
    <m/>
    <m/>
    <m/>
    <m/>
  </r>
  <r>
    <s v="GD0136"/>
    <n v="24"/>
    <x v="1"/>
    <x v="0"/>
    <x v="36"/>
    <x v="1"/>
    <x v="5"/>
    <s v="Final Fantasy XIV"/>
    <s v="Console"/>
    <n v="4.5999999999999996"/>
    <m/>
    <s v="Good"/>
    <s v="Often"/>
    <s v="Average"/>
    <m/>
    <n v="2"/>
    <s v="Withdrawn"/>
    <s v="Rarely"/>
    <b v="1"/>
    <b v="1"/>
    <b v="0"/>
    <b v="1"/>
    <b v="1"/>
    <n v="0.9"/>
    <n v="5.3"/>
    <n v="5"/>
    <n v="5"/>
    <n v="30.7"/>
    <m/>
    <n v="11"/>
    <x v="2"/>
    <m/>
    <m/>
    <m/>
    <m/>
  </r>
  <r>
    <s v="GD0137"/>
    <n v="19"/>
    <x v="0"/>
    <x v="0"/>
    <x v="34"/>
    <x v="1"/>
    <x v="3"/>
    <s v="Cyberpunk 2077"/>
    <s v="Console"/>
    <n v="3.4"/>
    <m/>
    <s v="Poor"/>
    <s v="Often"/>
    <s v="Below Average"/>
    <n v="2.1"/>
    <n v="4"/>
    <s v="Restless"/>
    <s v="Often"/>
    <b v="1"/>
    <b v="1"/>
    <b v="1"/>
    <b v="1"/>
    <b v="0"/>
    <n v="1.4"/>
    <n v="4.0999999999999996"/>
    <n v="7"/>
    <n v="6.4"/>
    <n v="104.41"/>
    <m/>
    <n v="9"/>
    <x v="0"/>
    <m/>
    <m/>
    <m/>
    <m/>
  </r>
  <r>
    <s v="GD0138"/>
    <n v="19"/>
    <x v="0"/>
    <x v="0"/>
    <x v="59"/>
    <x v="1"/>
    <x v="0"/>
    <s v="Clash of Clans"/>
    <s v="Multi-platform"/>
    <n v="4.8"/>
    <m/>
    <s v="Very Poor"/>
    <s v="Always"/>
    <s v="Below Average"/>
    <n v="3.59"/>
    <n v="2"/>
    <s v="Euphoric"/>
    <s v="Sometimes"/>
    <b v="1"/>
    <b v="0"/>
    <b v="1"/>
    <b v="1"/>
    <b v="1"/>
    <n v="2.7"/>
    <n v="4"/>
    <n v="7"/>
    <n v="5.7"/>
    <n v="113.26"/>
    <m/>
    <n v="2"/>
    <x v="0"/>
    <m/>
    <m/>
    <m/>
    <m/>
  </r>
  <r>
    <s v="GD0139"/>
    <n v="20"/>
    <x v="1"/>
    <x v="0"/>
    <x v="80"/>
    <x v="1"/>
    <x v="3"/>
    <s v="Elden Ring"/>
    <s v="Mobile"/>
    <n v="5.0999999999999996"/>
    <m/>
    <s v="Poor"/>
    <s v="Never"/>
    <s v="Poor"/>
    <n v="3.47"/>
    <n v="7"/>
    <s v="Irritable"/>
    <s v="Daily"/>
    <b v="0"/>
    <b v="0"/>
    <b v="0"/>
    <b v="0"/>
    <b v="1"/>
    <n v="1.8"/>
    <n v="3"/>
    <n v="7"/>
    <n v="4.5"/>
    <n v="314.14"/>
    <m/>
    <n v="6"/>
    <x v="3"/>
    <m/>
    <m/>
    <m/>
    <m/>
  </r>
  <r>
    <s v="GD0140"/>
    <n v="24"/>
    <x v="1"/>
    <x v="0"/>
    <x v="3"/>
    <x v="1"/>
    <x v="1"/>
    <s v="Dota 2"/>
    <s v="Console"/>
    <n v="4.5999999999999996"/>
    <m/>
    <s v="Insomnia"/>
    <s v="Sometimes"/>
    <s v="Poor"/>
    <m/>
    <n v="1"/>
    <s v="Restless"/>
    <s v="Never"/>
    <b v="1"/>
    <b v="1"/>
    <b v="0"/>
    <b v="1"/>
    <b v="1"/>
    <n v="3.4"/>
    <n v="7.5"/>
    <n v="5"/>
    <n v="6.7"/>
    <n v="83.77"/>
    <m/>
    <n v="5"/>
    <x v="2"/>
    <m/>
    <m/>
    <m/>
    <m/>
  </r>
  <r>
    <s v="GD0141"/>
    <n v="15"/>
    <x v="0"/>
    <x v="0"/>
    <x v="39"/>
    <x v="1"/>
    <x v="1"/>
    <s v="League of Legends"/>
    <s v="PC"/>
    <n v="4.7"/>
    <m/>
    <s v="Fair"/>
    <s v="Never"/>
    <s v="Average"/>
    <n v="1.91"/>
    <m/>
    <s v="Anxious"/>
    <s v="Never"/>
    <b v="1"/>
    <b v="0"/>
    <b v="0"/>
    <b v="1"/>
    <b v="1"/>
    <n v="3.2"/>
    <n v="6.3"/>
    <n v="4"/>
    <n v="8.9"/>
    <n v="80.95"/>
    <m/>
    <n v="4"/>
    <x v="3"/>
    <m/>
    <m/>
    <m/>
    <m/>
  </r>
  <r>
    <s v="GD0142"/>
    <n v="21"/>
    <x v="1"/>
    <x v="0"/>
    <x v="24"/>
    <x v="1"/>
    <x v="0"/>
    <s v="Clash of Clans"/>
    <s v="Multi-platform"/>
    <n v="3.7"/>
    <m/>
    <s v="Poor"/>
    <s v="Often"/>
    <s v="Poor"/>
    <n v="1.78"/>
    <n v="8"/>
    <s v="Angry"/>
    <s v="Often"/>
    <b v="1"/>
    <b v="0"/>
    <b v="0"/>
    <b v="1"/>
    <b v="1"/>
    <n v="0.8"/>
    <n v="4"/>
    <n v="4"/>
    <n v="5.5"/>
    <n v="52.5"/>
    <m/>
    <n v="1"/>
    <x v="3"/>
    <m/>
    <m/>
    <m/>
    <m/>
  </r>
  <r>
    <s v="GD0143"/>
    <n v="22"/>
    <x v="1"/>
    <x v="0"/>
    <x v="32"/>
    <x v="1"/>
    <x v="2"/>
    <s v="CS:GO"/>
    <s v="Mobile"/>
    <n v="5.2"/>
    <m/>
    <s v="Poor"/>
    <s v="Often"/>
    <s v="Good"/>
    <n v="1.85"/>
    <n v="7"/>
    <s v="Restless"/>
    <s v="Never"/>
    <b v="0"/>
    <b v="0"/>
    <b v="0"/>
    <b v="0"/>
    <b v="0"/>
    <n v="1.4"/>
    <n v="9.3000000000000007"/>
    <n v="3"/>
    <n v="8"/>
    <n v="21.43"/>
    <m/>
    <n v="5"/>
    <x v="1"/>
    <m/>
    <m/>
    <m/>
    <m/>
  </r>
  <r>
    <s v="GD0144"/>
    <n v="20"/>
    <x v="1"/>
    <x v="0"/>
    <x v="12"/>
    <x v="1"/>
    <x v="1"/>
    <s v="League of Legends"/>
    <s v="Multi-platform"/>
    <n v="6"/>
    <m/>
    <s v="Fair"/>
    <s v="Sometimes"/>
    <s v="Good"/>
    <n v="1.08"/>
    <n v="5"/>
    <s v="Normal"/>
    <s v="Daily"/>
    <b v="0"/>
    <b v="1"/>
    <b v="0"/>
    <b v="0"/>
    <b v="1"/>
    <n v="2.6"/>
    <n v="6"/>
    <n v="5"/>
    <n v="6.6"/>
    <n v="111.06"/>
    <m/>
    <n v="10"/>
    <x v="3"/>
    <m/>
    <m/>
    <m/>
    <m/>
  </r>
  <r>
    <s v="GD0145"/>
    <n v="21"/>
    <x v="1"/>
    <x v="0"/>
    <x v="81"/>
    <x v="1"/>
    <x v="4"/>
    <s v="PUBG"/>
    <s v="Mobile"/>
    <n v="4.5"/>
    <m/>
    <s v="Insomnia"/>
    <s v="Never"/>
    <s v="Below Average"/>
    <n v="3.37"/>
    <n v="8"/>
    <s v="Euphoric"/>
    <s v="Sometimes"/>
    <b v="1"/>
    <b v="0"/>
    <b v="0"/>
    <b v="0"/>
    <b v="0"/>
    <n v="0.5"/>
    <n v="3.7"/>
    <n v="8"/>
    <n v="2.5"/>
    <n v="276.24"/>
    <m/>
    <n v="7"/>
    <x v="2"/>
    <m/>
    <m/>
    <m/>
    <m/>
  </r>
  <r>
    <s v="GD0146"/>
    <n v="17"/>
    <x v="0"/>
    <x v="2"/>
    <x v="64"/>
    <x v="1"/>
    <x v="1"/>
    <s v="League of Legends"/>
    <s v="Mobile"/>
    <n v="7.2"/>
    <m/>
    <s v="Fair"/>
    <s v="Never"/>
    <s v="Average"/>
    <n v="2.58"/>
    <m/>
    <s v="Normal"/>
    <s v="Often"/>
    <b v="0"/>
    <b v="0"/>
    <b v="0"/>
    <b v="0"/>
    <b v="0"/>
    <n v="1.5"/>
    <n v="7.6"/>
    <n v="1"/>
    <n v="9.1999999999999993"/>
    <n v="39.130000000000003"/>
    <m/>
    <n v="2"/>
    <x v="1"/>
    <m/>
    <m/>
    <m/>
    <m/>
  </r>
  <r>
    <s v="GD0147"/>
    <n v="18"/>
    <x v="0"/>
    <x v="0"/>
    <x v="20"/>
    <x v="1"/>
    <x v="6"/>
    <s v="Civilization VI"/>
    <s v="Console"/>
    <n v="3.5"/>
    <m/>
    <s v="Good"/>
    <s v="Always"/>
    <s v="Good"/>
    <n v="1.34"/>
    <m/>
    <s v="Angry"/>
    <s v="Never"/>
    <b v="1"/>
    <b v="0"/>
    <b v="0"/>
    <b v="1"/>
    <b v="1"/>
    <n v="2.7"/>
    <n v="4.9000000000000004"/>
    <n v="5"/>
    <n v="5.0999999999999996"/>
    <n v="342.1"/>
    <m/>
    <n v="2"/>
    <x v="2"/>
    <m/>
    <m/>
    <m/>
    <m/>
  </r>
  <r>
    <s v="GD0148"/>
    <n v="30"/>
    <x v="1"/>
    <x v="1"/>
    <x v="28"/>
    <x v="1"/>
    <x v="5"/>
    <s v="Final Fantasy XIV"/>
    <s v="PC"/>
    <n v="5.2"/>
    <m/>
    <s v="Very Poor"/>
    <s v="Rarely"/>
    <s v="Poor"/>
    <m/>
    <n v="7"/>
    <s v="Excited"/>
    <s v="Never"/>
    <b v="1"/>
    <b v="0"/>
    <b v="0"/>
    <b v="1"/>
    <b v="1"/>
    <n v="1.3"/>
    <n v="6.5"/>
    <n v="5"/>
    <n v="6.8"/>
    <n v="11.24"/>
    <m/>
    <n v="15"/>
    <x v="3"/>
    <m/>
    <m/>
    <m/>
    <m/>
  </r>
  <r>
    <s v="GD0149"/>
    <n v="18"/>
    <x v="0"/>
    <x v="0"/>
    <x v="37"/>
    <x v="1"/>
    <x v="3"/>
    <s v="Cyberpunk 2077"/>
    <s v="Multi-platform"/>
    <n v="6.5"/>
    <m/>
    <s v="Poor"/>
    <s v="Never"/>
    <s v="Below Average"/>
    <n v="2.73"/>
    <m/>
    <s v="Normal"/>
    <s v="Often"/>
    <b v="0"/>
    <b v="0"/>
    <b v="0"/>
    <b v="0"/>
    <b v="0"/>
    <n v="0.3"/>
    <n v="9.4"/>
    <n v="3"/>
    <n v="10.9"/>
    <n v="23.79"/>
    <m/>
    <n v="6"/>
    <x v="1"/>
    <m/>
    <m/>
    <m/>
    <m/>
  </r>
  <r>
    <s v="GD0150"/>
    <n v="19"/>
    <x v="0"/>
    <x v="0"/>
    <x v="65"/>
    <x v="1"/>
    <x v="6"/>
    <s v="StarCraft II"/>
    <s v="Mobile"/>
    <n v="5.0999999999999996"/>
    <m/>
    <s v="Very Poor"/>
    <s v="Often"/>
    <s v="Failing"/>
    <n v="1.76"/>
    <n v="3"/>
    <s v="Withdrawn"/>
    <s v="Sometimes"/>
    <b v="1"/>
    <b v="1"/>
    <b v="0"/>
    <b v="0"/>
    <b v="1"/>
    <n v="5"/>
    <n v="5.6"/>
    <n v="8"/>
    <n v="5.9"/>
    <n v="412.09"/>
    <m/>
    <n v="5"/>
    <x v="0"/>
    <m/>
    <m/>
    <m/>
    <m/>
  </r>
  <r>
    <s v="GD0151"/>
    <n v="19"/>
    <x v="0"/>
    <x v="0"/>
    <x v="82"/>
    <x v="1"/>
    <x v="1"/>
    <s v="League of Legends"/>
    <s v="Multi-platform"/>
    <n v="6.4"/>
    <m/>
    <s v="Poor"/>
    <s v="Rarely"/>
    <s v="Average"/>
    <n v="1.43"/>
    <n v="8"/>
    <s v="Irritable"/>
    <s v="Never"/>
    <b v="0"/>
    <b v="0"/>
    <b v="0"/>
    <b v="1"/>
    <b v="0"/>
    <n v="2.4"/>
    <n v="7.9"/>
    <n v="4"/>
    <n v="9.6"/>
    <n v="39.82"/>
    <m/>
    <n v="1"/>
    <x v="1"/>
    <m/>
    <m/>
    <m/>
    <m/>
  </r>
  <r>
    <s v="GD0152"/>
    <n v="16"/>
    <x v="0"/>
    <x v="0"/>
    <x v="51"/>
    <x v="1"/>
    <x v="1"/>
    <s v="League of Legends"/>
    <s v="Console"/>
    <n v="5.3"/>
    <m/>
    <s v="Fair"/>
    <s v="Never"/>
    <s v="Excellent"/>
    <n v="1.61"/>
    <m/>
    <s v="Depressed"/>
    <s v="Daily"/>
    <b v="0"/>
    <b v="0"/>
    <b v="0"/>
    <b v="1"/>
    <b v="0"/>
    <n v="0.9"/>
    <n v="7.5"/>
    <n v="4"/>
    <n v="9.4"/>
    <n v="69.97"/>
    <m/>
    <n v="2"/>
    <x v="1"/>
    <m/>
    <m/>
    <m/>
    <m/>
  </r>
  <r>
    <s v="GD0153"/>
    <n v="16"/>
    <x v="0"/>
    <x v="1"/>
    <x v="60"/>
    <x v="1"/>
    <x v="1"/>
    <s v="Mobile Legends"/>
    <s v="PC"/>
    <n v="5.4"/>
    <m/>
    <s v="Fair"/>
    <s v="Rarely"/>
    <s v="Below Average"/>
    <n v="3.34"/>
    <m/>
    <s v="Normal"/>
    <s v="Often"/>
    <b v="0"/>
    <b v="0"/>
    <b v="0"/>
    <b v="0"/>
    <b v="0"/>
    <n v="0.1"/>
    <n v="8.3000000000000007"/>
    <n v="3"/>
    <n v="8"/>
    <n v="34.14"/>
    <m/>
    <n v="6"/>
    <x v="1"/>
    <m/>
    <m/>
    <m/>
    <m/>
  </r>
  <r>
    <s v="GD0154"/>
    <n v="17"/>
    <x v="0"/>
    <x v="0"/>
    <x v="83"/>
    <x v="1"/>
    <x v="3"/>
    <s v="Elden Ring"/>
    <s v="Mobile"/>
    <n v="4.0999999999999996"/>
    <m/>
    <s v="Insomnia"/>
    <s v="Often"/>
    <s v="Poor"/>
    <n v="1.06"/>
    <m/>
    <s v="Angry"/>
    <s v="Often"/>
    <b v="0"/>
    <b v="1"/>
    <b v="1"/>
    <b v="0"/>
    <b v="1"/>
    <n v="1.8"/>
    <n v="6.2"/>
    <n v="8"/>
    <n v="3"/>
    <n v="247.77"/>
    <m/>
    <n v="1"/>
    <x v="0"/>
    <m/>
    <m/>
    <m/>
    <m/>
  </r>
  <r>
    <s v="GD0155"/>
    <n v="17"/>
    <x v="0"/>
    <x v="0"/>
    <x v="84"/>
    <x v="1"/>
    <x v="2"/>
    <s v="Call of Duty"/>
    <s v="Mobile"/>
    <n v="5.3"/>
    <m/>
    <s v="Insomnia"/>
    <s v="Often"/>
    <s v="Average"/>
    <n v="1.21"/>
    <m/>
    <s v="Restless"/>
    <s v="Never"/>
    <b v="0"/>
    <b v="0"/>
    <b v="0"/>
    <b v="1"/>
    <b v="1"/>
    <n v="1.4"/>
    <n v="8.1"/>
    <n v="4"/>
    <n v="8.6"/>
    <n v="34.130000000000003"/>
    <m/>
    <n v="1"/>
    <x v="1"/>
    <m/>
    <m/>
    <m/>
    <m/>
  </r>
  <r>
    <s v="GD0156"/>
    <n v="20"/>
    <x v="1"/>
    <x v="0"/>
    <x v="79"/>
    <x v="1"/>
    <x v="4"/>
    <s v="Fortnite"/>
    <s v="Console"/>
    <n v="4.7"/>
    <m/>
    <s v="Insomnia"/>
    <s v="Always"/>
    <s v="Below Average"/>
    <n v="3.29"/>
    <n v="2"/>
    <s v="Restless"/>
    <s v="Sometimes"/>
    <b v="1"/>
    <b v="0"/>
    <b v="0"/>
    <b v="0"/>
    <b v="0"/>
    <n v="1.1000000000000001"/>
    <n v="8"/>
    <n v="4"/>
    <n v="6.4"/>
    <n v="59.03"/>
    <m/>
    <n v="10"/>
    <x v="3"/>
    <m/>
    <m/>
    <m/>
    <m/>
  </r>
  <r>
    <s v="GD0157"/>
    <n v="16"/>
    <x v="0"/>
    <x v="1"/>
    <x v="85"/>
    <x v="1"/>
    <x v="2"/>
    <s v="Call of Duty"/>
    <s v="Multi-platform"/>
    <n v="7.7"/>
    <m/>
    <s v="Fair"/>
    <s v="Sometimes"/>
    <s v="Excellent"/>
    <n v="1.45"/>
    <m/>
    <s v="Normal"/>
    <s v="Sometimes"/>
    <b v="0"/>
    <b v="0"/>
    <b v="0"/>
    <b v="0"/>
    <b v="0"/>
    <n v="0.1"/>
    <n v="8.6"/>
    <n v="1"/>
    <n v="11.1"/>
    <n v="31.73"/>
    <m/>
    <n v="6"/>
    <x v="1"/>
    <m/>
    <m/>
    <m/>
    <m/>
  </r>
  <r>
    <s v="GD0158"/>
    <n v="22"/>
    <x v="1"/>
    <x v="0"/>
    <x v="57"/>
    <x v="1"/>
    <x v="1"/>
    <s v="Mobile Legends"/>
    <s v="Console"/>
    <n v="5.3"/>
    <m/>
    <s v="Poor"/>
    <s v="Sometimes"/>
    <s v="Poor"/>
    <n v="1.1100000000000001"/>
    <n v="2"/>
    <s v="Depressed"/>
    <s v="Never"/>
    <b v="1"/>
    <b v="0"/>
    <b v="0"/>
    <b v="0"/>
    <b v="1"/>
    <n v="3.3"/>
    <n v="7.2"/>
    <n v="5"/>
    <n v="1.6"/>
    <n v="168.77"/>
    <m/>
    <n v="12"/>
    <x v="2"/>
    <m/>
    <m/>
    <m/>
    <m/>
  </r>
  <r>
    <s v="GD0159"/>
    <n v="25"/>
    <x v="1"/>
    <x v="2"/>
    <x v="26"/>
    <x v="1"/>
    <x v="3"/>
    <s v="Cyberpunk 2077"/>
    <s v="Multi-platform"/>
    <n v="7"/>
    <m/>
    <s v="Good"/>
    <s v="Never"/>
    <s v="Average"/>
    <m/>
    <n v="1"/>
    <s v="Irritable"/>
    <s v="Never"/>
    <b v="0"/>
    <b v="0"/>
    <b v="0"/>
    <b v="1"/>
    <b v="0"/>
    <n v="0.6"/>
    <n v="7.4"/>
    <n v="4"/>
    <n v="9.1"/>
    <n v="110.14"/>
    <m/>
    <n v="9"/>
    <x v="1"/>
    <m/>
    <m/>
    <m/>
    <m/>
  </r>
  <r>
    <s v="GD0160"/>
    <n v="18"/>
    <x v="0"/>
    <x v="0"/>
    <x v="65"/>
    <x v="1"/>
    <x v="1"/>
    <s v="Mobile Legends"/>
    <s v="PC"/>
    <n v="4.7"/>
    <m/>
    <s v="Poor"/>
    <s v="Never"/>
    <s v="Poor"/>
    <n v="3.55"/>
    <m/>
    <s v="Anxious"/>
    <s v="Daily"/>
    <b v="1"/>
    <b v="1"/>
    <b v="0"/>
    <b v="1"/>
    <b v="1"/>
    <n v="1"/>
    <n v="6.6"/>
    <n v="6"/>
    <n v="5.7"/>
    <n v="326.87"/>
    <m/>
    <n v="5"/>
    <x v="0"/>
    <m/>
    <m/>
    <m/>
    <m/>
  </r>
  <r>
    <s v="GD0161"/>
    <n v="19"/>
    <x v="0"/>
    <x v="0"/>
    <x v="86"/>
    <x v="1"/>
    <x v="1"/>
    <s v="Dota 2"/>
    <s v="Mobile"/>
    <n v="5.9"/>
    <m/>
    <s v="Fair"/>
    <s v="Often"/>
    <s v="Below Average"/>
    <n v="3.72"/>
    <n v="10"/>
    <s v="Depressed"/>
    <s v="Sometimes"/>
    <b v="1"/>
    <b v="1"/>
    <b v="0"/>
    <b v="0"/>
    <b v="1"/>
    <n v="2.1"/>
    <n v="4.7"/>
    <n v="7"/>
    <n v="0.5"/>
    <n v="473.21"/>
    <m/>
    <n v="5"/>
    <x v="0"/>
    <m/>
    <m/>
    <m/>
    <m/>
  </r>
  <r>
    <s v="GD0162"/>
    <n v="27"/>
    <x v="1"/>
    <x v="0"/>
    <x v="78"/>
    <x v="1"/>
    <x v="6"/>
    <s v="StarCraft II"/>
    <s v="PC"/>
    <n v="5.3"/>
    <m/>
    <s v="Very Poor"/>
    <s v="Rarely"/>
    <s v="Good"/>
    <m/>
    <n v="5"/>
    <s v="Normal"/>
    <s v="Daily"/>
    <b v="0"/>
    <b v="0"/>
    <b v="0"/>
    <b v="0"/>
    <b v="0"/>
    <n v="2.8"/>
    <n v="7.9"/>
    <n v="2"/>
    <n v="8"/>
    <n v="44.35"/>
    <m/>
    <n v="7"/>
    <x v="1"/>
    <m/>
    <m/>
    <m/>
    <m/>
  </r>
  <r>
    <s v="GD0163"/>
    <n v="22"/>
    <x v="1"/>
    <x v="1"/>
    <x v="19"/>
    <x v="1"/>
    <x v="1"/>
    <s v="Mobile Legends"/>
    <s v="Console"/>
    <n v="5.5"/>
    <m/>
    <s v="Fair"/>
    <s v="Sometimes"/>
    <s v="Below Average"/>
    <n v="3.98"/>
    <n v="4"/>
    <s v="Restless"/>
    <s v="Never"/>
    <b v="0"/>
    <b v="0"/>
    <b v="0"/>
    <b v="1"/>
    <b v="1"/>
    <n v="0.2"/>
    <n v="9"/>
    <n v="2"/>
    <n v="9.6999999999999993"/>
    <n v="53.06"/>
    <m/>
    <n v="7"/>
    <x v="1"/>
    <m/>
    <m/>
    <m/>
    <m/>
  </r>
  <r>
    <s v="GD0164"/>
    <n v="18"/>
    <x v="0"/>
    <x v="0"/>
    <x v="76"/>
    <x v="1"/>
    <x v="6"/>
    <s v="Civilization VI"/>
    <s v="Multi-platform"/>
    <n v="5.6"/>
    <m/>
    <s v="Poor"/>
    <s v="Sometimes"/>
    <s v="Below Average"/>
    <n v="3.22"/>
    <m/>
    <s v="Anxious"/>
    <s v="Daily"/>
    <b v="0"/>
    <b v="1"/>
    <b v="1"/>
    <b v="1"/>
    <b v="1"/>
    <n v="0.3"/>
    <n v="4.8"/>
    <n v="7"/>
    <n v="5.6"/>
    <n v="110.52"/>
    <m/>
    <n v="5"/>
    <x v="2"/>
    <m/>
    <m/>
    <m/>
    <m/>
  </r>
  <r>
    <s v="GD0165"/>
    <n v="21"/>
    <x v="1"/>
    <x v="1"/>
    <x v="15"/>
    <x v="1"/>
    <x v="3"/>
    <s v="Elden Ring"/>
    <s v="Console"/>
    <n v="5.7"/>
    <m/>
    <s v="Poor"/>
    <s v="Often"/>
    <s v="Failing"/>
    <n v="3.14"/>
    <n v="9"/>
    <s v="Anxious"/>
    <s v="Rarely"/>
    <b v="1"/>
    <b v="1"/>
    <b v="0"/>
    <b v="1"/>
    <b v="0"/>
    <n v="0.6"/>
    <n v="4.8"/>
    <n v="5"/>
    <n v="6.3"/>
    <n v="128.87"/>
    <m/>
    <n v="2"/>
    <x v="2"/>
    <m/>
    <m/>
    <m/>
    <m/>
  </r>
  <r>
    <s v="GD0166"/>
    <n v="18"/>
    <x v="0"/>
    <x v="0"/>
    <x v="3"/>
    <x v="1"/>
    <x v="6"/>
    <s v="Civilization VI"/>
    <s v="PC"/>
    <n v="3.9"/>
    <m/>
    <s v="Poor"/>
    <s v="Often"/>
    <s v="Below Average"/>
    <n v="3.97"/>
    <m/>
    <s v="Depressed"/>
    <s v="Never"/>
    <b v="1"/>
    <b v="0"/>
    <b v="0"/>
    <b v="1"/>
    <b v="1"/>
    <n v="0.4"/>
    <n v="4.5999999999999996"/>
    <n v="6"/>
    <n v="5.2"/>
    <n v="130.82"/>
    <m/>
    <n v="7"/>
    <x v="3"/>
    <m/>
    <m/>
    <m/>
    <m/>
  </r>
  <r>
    <s v="GD0167"/>
    <n v="21"/>
    <x v="1"/>
    <x v="0"/>
    <x v="11"/>
    <x v="1"/>
    <x v="3"/>
    <s v="Skyrim"/>
    <s v="Multi-platform"/>
    <n v="5.8"/>
    <m/>
    <s v="Fair"/>
    <s v="Never"/>
    <s v="Good"/>
    <n v="2.72"/>
    <n v="10"/>
    <s v="Irritable"/>
    <s v="Never"/>
    <b v="0"/>
    <b v="0"/>
    <b v="0"/>
    <b v="0"/>
    <b v="0"/>
    <n v="1.1000000000000001"/>
    <n v="7.3"/>
    <n v="3"/>
    <n v="11.3"/>
    <n v="20.68"/>
    <m/>
    <n v="5"/>
    <x v="1"/>
    <m/>
    <m/>
    <m/>
    <m/>
  </r>
  <r>
    <s v="GD0168"/>
    <n v="25"/>
    <x v="1"/>
    <x v="0"/>
    <x v="12"/>
    <x v="1"/>
    <x v="1"/>
    <s v="Dota 2"/>
    <s v="Mobile"/>
    <n v="5.3"/>
    <m/>
    <s v="Fair"/>
    <s v="Rarely"/>
    <s v="Below Average"/>
    <m/>
    <n v="3"/>
    <s v="Excited"/>
    <s v="Rarely"/>
    <b v="0"/>
    <b v="1"/>
    <b v="0"/>
    <b v="1"/>
    <b v="0"/>
    <n v="0.5"/>
    <n v="6.6"/>
    <n v="5"/>
    <n v="9.1999999999999993"/>
    <n v="55.18"/>
    <m/>
    <n v="11"/>
    <x v="3"/>
    <m/>
    <m/>
    <m/>
    <m/>
  </r>
  <r>
    <s v="GD0169"/>
    <n v="21"/>
    <x v="1"/>
    <x v="0"/>
    <x v="2"/>
    <x v="1"/>
    <x v="2"/>
    <s v="Overwatch"/>
    <s v="Mobile"/>
    <n v="5.6"/>
    <m/>
    <s v="Very Poor"/>
    <s v="Often"/>
    <s v="Poor"/>
    <n v="1.5"/>
    <n v="9"/>
    <s v="Euphoric"/>
    <s v="Rarely"/>
    <b v="1"/>
    <b v="0"/>
    <b v="1"/>
    <b v="1"/>
    <b v="1"/>
    <n v="0.7"/>
    <n v="4.7"/>
    <n v="6"/>
    <n v="4.5999999999999996"/>
    <n v="38.69"/>
    <m/>
    <n v="6"/>
    <x v="2"/>
    <m/>
    <m/>
    <m/>
    <m/>
  </r>
  <r>
    <s v="GD0170"/>
    <n v="23"/>
    <x v="1"/>
    <x v="0"/>
    <x v="52"/>
    <x v="1"/>
    <x v="2"/>
    <s v="Call of Duty"/>
    <s v="Mobile"/>
    <n v="8.3000000000000007"/>
    <m/>
    <s v="Poor"/>
    <s v="Always"/>
    <s v="Good"/>
    <m/>
    <n v="4"/>
    <s v="Normal"/>
    <s v="Never"/>
    <b v="0"/>
    <b v="0"/>
    <b v="0"/>
    <b v="0"/>
    <b v="0"/>
    <n v="0.4"/>
    <n v="8.8000000000000007"/>
    <n v="1"/>
    <n v="14"/>
    <n v="6.45"/>
    <m/>
    <n v="3"/>
    <x v="1"/>
    <m/>
    <m/>
    <m/>
    <m/>
  </r>
  <r>
    <s v="GD0171"/>
    <n v="21"/>
    <x v="1"/>
    <x v="0"/>
    <x v="87"/>
    <x v="1"/>
    <x v="4"/>
    <s v="Warzone"/>
    <s v="PC"/>
    <n v="8.4"/>
    <m/>
    <s v="Fair"/>
    <s v="Rarely"/>
    <s v="Good"/>
    <n v="1.44"/>
    <n v="5"/>
    <s v="Normal"/>
    <s v="Often"/>
    <b v="0"/>
    <b v="0"/>
    <b v="0"/>
    <b v="0"/>
    <b v="0"/>
    <n v="0.5"/>
    <n v="9.6"/>
    <n v="1"/>
    <n v="12.6"/>
    <n v="15.07"/>
    <m/>
    <n v="8"/>
    <x v="1"/>
    <m/>
    <m/>
    <m/>
    <m/>
  </r>
  <r>
    <s v="GD0172"/>
    <n v="24"/>
    <x v="1"/>
    <x v="0"/>
    <x v="38"/>
    <x v="1"/>
    <x v="3"/>
    <s v="Cyberpunk 2077"/>
    <s v="Multi-platform"/>
    <n v="5.9"/>
    <m/>
    <s v="Fair"/>
    <s v="Often"/>
    <s v="Average"/>
    <m/>
    <n v="10"/>
    <s v="Anxious"/>
    <s v="Rarely"/>
    <b v="0"/>
    <b v="1"/>
    <b v="0"/>
    <b v="0"/>
    <b v="0"/>
    <n v="0.8"/>
    <n v="6.5"/>
    <n v="6"/>
    <n v="4.9000000000000004"/>
    <n v="135.88"/>
    <m/>
    <n v="14"/>
    <x v="3"/>
    <m/>
    <m/>
    <m/>
    <m/>
  </r>
  <r>
    <s v="GD0173"/>
    <n v="21"/>
    <x v="1"/>
    <x v="0"/>
    <x v="88"/>
    <x v="1"/>
    <x v="3"/>
    <s v="Elden Ring"/>
    <s v="PC"/>
    <n v="3.2"/>
    <m/>
    <s v="Very Poor"/>
    <s v="Never"/>
    <s v="Average"/>
    <n v="2.92"/>
    <n v="1"/>
    <s v="Irritable"/>
    <s v="Rarely"/>
    <b v="1"/>
    <b v="1"/>
    <b v="0"/>
    <b v="1"/>
    <b v="1"/>
    <n v="1.4"/>
    <n v="4.9000000000000004"/>
    <n v="7"/>
    <n v="3.8"/>
    <n v="396.01"/>
    <m/>
    <n v="1"/>
    <x v="0"/>
    <m/>
    <m/>
    <m/>
    <m/>
  </r>
  <r>
    <s v="GD0174"/>
    <n v="22"/>
    <x v="1"/>
    <x v="0"/>
    <x v="89"/>
    <x v="1"/>
    <x v="1"/>
    <s v="Dota 2"/>
    <s v="Multi-platform"/>
    <n v="3.4"/>
    <m/>
    <s v="Poor"/>
    <s v="Sometimes"/>
    <s v="Below Average"/>
    <n v="1.1000000000000001"/>
    <n v="2"/>
    <s v="Angry"/>
    <s v="Sometimes"/>
    <b v="1"/>
    <b v="1"/>
    <b v="0"/>
    <b v="1"/>
    <b v="0"/>
    <n v="2.8"/>
    <n v="4.2"/>
    <n v="8"/>
    <n v="2"/>
    <n v="358.37"/>
    <m/>
    <n v="3"/>
    <x v="0"/>
    <m/>
    <m/>
    <m/>
    <m/>
  </r>
  <r>
    <s v="GD0175"/>
    <n v="25"/>
    <x v="1"/>
    <x v="0"/>
    <x v="36"/>
    <x v="1"/>
    <x v="2"/>
    <s v="Valorant"/>
    <s v="Multi-platform"/>
    <n v="5.0999999999999996"/>
    <m/>
    <s v="Fair"/>
    <s v="Sometimes"/>
    <s v="Average"/>
    <m/>
    <n v="6"/>
    <s v="Angry"/>
    <s v="Rarely"/>
    <b v="1"/>
    <b v="0"/>
    <b v="0"/>
    <b v="1"/>
    <b v="0"/>
    <n v="0.5"/>
    <n v="7.4"/>
    <n v="5"/>
    <n v="3.3"/>
    <n v="53.96"/>
    <m/>
    <n v="7"/>
    <x v="3"/>
    <m/>
    <m/>
    <m/>
    <m/>
  </r>
  <r>
    <s v="GD0176"/>
    <n v="19"/>
    <x v="0"/>
    <x v="1"/>
    <x v="68"/>
    <x v="1"/>
    <x v="6"/>
    <s v="Civilization VI"/>
    <s v="Multi-platform"/>
    <n v="8"/>
    <m/>
    <s v="Good"/>
    <s v="Always"/>
    <s v="Excellent"/>
    <n v="3.29"/>
    <n v="10"/>
    <s v="Angry"/>
    <s v="Rarely"/>
    <b v="0"/>
    <b v="0"/>
    <b v="0"/>
    <b v="0"/>
    <b v="0"/>
    <n v="0"/>
    <n v="8.8000000000000007"/>
    <n v="1"/>
    <n v="9.6999999999999993"/>
    <n v="35.81"/>
    <m/>
    <n v="9"/>
    <x v="1"/>
    <m/>
    <m/>
    <m/>
    <m/>
  </r>
  <r>
    <s v="GD0177"/>
    <n v="19"/>
    <x v="0"/>
    <x v="0"/>
    <x v="29"/>
    <x v="1"/>
    <x v="6"/>
    <s v="StarCraft II"/>
    <s v="PC"/>
    <n v="5.9"/>
    <m/>
    <s v="Fair"/>
    <s v="Rarely"/>
    <s v="Below Average"/>
    <n v="2.1"/>
    <n v="6"/>
    <s v="Normal"/>
    <s v="Never"/>
    <b v="0"/>
    <b v="0"/>
    <b v="0"/>
    <b v="0"/>
    <b v="0"/>
    <n v="1"/>
    <n v="8.5"/>
    <n v="3"/>
    <n v="9"/>
    <n v="10.06"/>
    <m/>
    <n v="1"/>
    <x v="1"/>
    <m/>
    <m/>
    <m/>
    <m/>
  </r>
  <r>
    <s v="GD0178"/>
    <n v="21"/>
    <x v="1"/>
    <x v="0"/>
    <x v="55"/>
    <x v="1"/>
    <x v="5"/>
    <s v="Final Fantasy XIV"/>
    <s v="Multi-platform"/>
    <n v="5.7"/>
    <m/>
    <s v="Good"/>
    <s v="Always"/>
    <s v="Average"/>
    <n v="3.84"/>
    <n v="4"/>
    <s v="Angry"/>
    <s v="Never"/>
    <b v="0"/>
    <b v="1"/>
    <b v="0"/>
    <b v="0"/>
    <b v="1"/>
    <n v="2.4"/>
    <n v="7.3"/>
    <n v="3"/>
    <n v="9.4"/>
    <n v="123.33"/>
    <m/>
    <n v="8"/>
    <x v="3"/>
    <m/>
    <m/>
    <m/>
    <m/>
  </r>
  <r>
    <s v="GD0179"/>
    <n v="22"/>
    <x v="1"/>
    <x v="1"/>
    <x v="24"/>
    <x v="1"/>
    <x v="1"/>
    <s v="League of Legends"/>
    <s v="Multi-platform"/>
    <n v="4.2"/>
    <m/>
    <s v="Poor"/>
    <s v="Rarely"/>
    <s v="Poor"/>
    <n v="2.27"/>
    <n v="6"/>
    <s v="Withdrawn"/>
    <s v="Rarely"/>
    <b v="0"/>
    <b v="1"/>
    <b v="0"/>
    <b v="1"/>
    <b v="1"/>
    <n v="1.9"/>
    <n v="4.2"/>
    <n v="5"/>
    <n v="7.8"/>
    <n v="77.94"/>
    <m/>
    <n v="5"/>
    <x v="3"/>
    <m/>
    <m/>
    <m/>
    <m/>
  </r>
  <r>
    <s v="GD0180"/>
    <n v="19"/>
    <x v="0"/>
    <x v="1"/>
    <x v="33"/>
    <x v="1"/>
    <x v="1"/>
    <s v="League of Legends"/>
    <s v="Mobile"/>
    <n v="7.2"/>
    <m/>
    <s v="Good"/>
    <s v="Sometimes"/>
    <s v="Excellent"/>
    <n v="3.51"/>
    <n v="1"/>
    <s v="Euphoric"/>
    <s v="Sometimes"/>
    <b v="0"/>
    <b v="0"/>
    <b v="0"/>
    <b v="0"/>
    <b v="0"/>
    <n v="1.2"/>
    <n v="9.1"/>
    <n v="1"/>
    <n v="9.6999999999999993"/>
    <n v="15.06"/>
    <m/>
    <n v="1"/>
    <x v="1"/>
    <m/>
    <m/>
    <m/>
    <m/>
  </r>
  <r>
    <s v="GD0181"/>
    <n v="22"/>
    <x v="1"/>
    <x v="1"/>
    <x v="13"/>
    <x v="1"/>
    <x v="6"/>
    <s v="Age of Empires"/>
    <s v="Mobile"/>
    <n v="3"/>
    <m/>
    <s v="Poor"/>
    <s v="Never"/>
    <s v="Excellent"/>
    <n v="2.15"/>
    <n v="5"/>
    <s v="Angry"/>
    <s v="Sometimes"/>
    <b v="1"/>
    <b v="0"/>
    <b v="0"/>
    <b v="1"/>
    <b v="1"/>
    <n v="0.7"/>
    <n v="7.9"/>
    <n v="4"/>
    <n v="8.8000000000000007"/>
    <n v="31.57"/>
    <m/>
    <n v="12"/>
    <x v="3"/>
    <m/>
    <m/>
    <m/>
    <m/>
  </r>
  <r>
    <s v="GD0182"/>
    <n v="17"/>
    <x v="0"/>
    <x v="1"/>
    <x v="90"/>
    <x v="1"/>
    <x v="5"/>
    <s v="Elder Scrolls Online"/>
    <s v="Mobile"/>
    <n v="3.8"/>
    <m/>
    <s v="Poor"/>
    <s v="Often"/>
    <s v="Below Average"/>
    <n v="3.21"/>
    <m/>
    <s v="Irritable"/>
    <s v="Daily"/>
    <b v="1"/>
    <b v="1"/>
    <b v="1"/>
    <b v="1"/>
    <b v="1"/>
    <n v="3.5"/>
    <n v="3.7"/>
    <n v="6"/>
    <n v="1.1000000000000001"/>
    <n v="232.94"/>
    <m/>
    <n v="2"/>
    <x v="0"/>
    <m/>
    <m/>
    <m/>
    <m/>
  </r>
  <r>
    <s v="GD0183"/>
    <n v="28"/>
    <x v="1"/>
    <x v="0"/>
    <x v="91"/>
    <x v="1"/>
    <x v="3"/>
    <s v="Skyrim"/>
    <s v="Multi-platform"/>
    <n v="3.3"/>
    <m/>
    <s v="Very Poor"/>
    <s v="Sometimes"/>
    <s v="Average"/>
    <m/>
    <n v="7"/>
    <s v="Anxious"/>
    <s v="Daily"/>
    <b v="1"/>
    <b v="1"/>
    <b v="1"/>
    <b v="1"/>
    <b v="0"/>
    <n v="2.4"/>
    <n v="5.5"/>
    <n v="5"/>
    <n v="0.3"/>
    <n v="207.35"/>
    <m/>
    <n v="4"/>
    <x v="0"/>
    <m/>
    <m/>
    <m/>
    <m/>
  </r>
  <r>
    <s v="GD0184"/>
    <n v="19"/>
    <x v="0"/>
    <x v="0"/>
    <x v="91"/>
    <x v="1"/>
    <x v="0"/>
    <s v="PUBG Mobile"/>
    <s v="PC"/>
    <n v="3.7"/>
    <m/>
    <s v="Fair"/>
    <s v="Often"/>
    <s v="Poor"/>
    <n v="3.52"/>
    <n v="8"/>
    <s v="Irritable"/>
    <s v="Never"/>
    <b v="1"/>
    <b v="0"/>
    <b v="0"/>
    <b v="0"/>
    <b v="0"/>
    <n v="8"/>
    <n v="6.3"/>
    <n v="8"/>
    <n v="0.4"/>
    <n v="484.09"/>
    <m/>
    <n v="8"/>
    <x v="2"/>
    <m/>
    <m/>
    <m/>
    <m/>
  </r>
  <r>
    <s v="GD0185"/>
    <n v="24"/>
    <x v="1"/>
    <x v="0"/>
    <x v="92"/>
    <x v="1"/>
    <x v="5"/>
    <s v="Final Fantasy XIV"/>
    <s v="Multi-platform"/>
    <n v="4.5"/>
    <m/>
    <s v="Very Poor"/>
    <s v="Often"/>
    <s v="Poor"/>
    <m/>
    <n v="4"/>
    <s v="Anxious"/>
    <s v="Often"/>
    <b v="1"/>
    <b v="1"/>
    <b v="0"/>
    <b v="0"/>
    <b v="1"/>
    <n v="3.1"/>
    <n v="3.3"/>
    <n v="6"/>
    <n v="3.6"/>
    <n v="240.74"/>
    <m/>
    <n v="10"/>
    <x v="0"/>
    <m/>
    <m/>
    <m/>
    <m/>
  </r>
  <r>
    <s v="GD0186"/>
    <n v="19"/>
    <x v="0"/>
    <x v="1"/>
    <x v="39"/>
    <x v="1"/>
    <x v="6"/>
    <s v="Age of Empires"/>
    <s v="Multi-platform"/>
    <n v="4.0999999999999996"/>
    <m/>
    <s v="Very Poor"/>
    <s v="Rarely"/>
    <s v="Below Average"/>
    <n v="1.42"/>
    <n v="4"/>
    <s v="Restless"/>
    <s v="Sometimes"/>
    <b v="1"/>
    <b v="0"/>
    <b v="0"/>
    <b v="1"/>
    <b v="0"/>
    <n v="0"/>
    <n v="8.4"/>
    <n v="4"/>
    <n v="5.4"/>
    <n v="45.66"/>
    <m/>
    <n v="8"/>
    <x v="3"/>
    <m/>
    <m/>
    <m/>
    <m/>
  </r>
  <r>
    <s v="GD0187"/>
    <n v="16"/>
    <x v="0"/>
    <x v="1"/>
    <x v="93"/>
    <x v="1"/>
    <x v="3"/>
    <s v="Elden Ring"/>
    <s v="Mobile"/>
    <n v="7.6"/>
    <m/>
    <s v="Fair"/>
    <s v="Rarely"/>
    <s v="Excellent"/>
    <n v="1.23"/>
    <m/>
    <s v="Normal"/>
    <s v="Daily"/>
    <b v="0"/>
    <b v="0"/>
    <b v="0"/>
    <b v="0"/>
    <b v="0"/>
    <n v="0.1"/>
    <n v="9.9"/>
    <n v="3"/>
    <n v="12.7"/>
    <n v="23.53"/>
    <m/>
    <n v="5"/>
    <x v="1"/>
    <m/>
    <m/>
    <m/>
    <m/>
  </r>
  <r>
    <s v="GD0188"/>
    <n v="24"/>
    <x v="1"/>
    <x v="0"/>
    <x v="94"/>
    <x v="1"/>
    <x v="5"/>
    <s v="Final Fantasy XIV"/>
    <s v="Mobile"/>
    <n v="4"/>
    <m/>
    <s v="Very Poor"/>
    <s v="Never"/>
    <s v="Poor"/>
    <m/>
    <n v="10"/>
    <s v="Angry"/>
    <s v="Daily"/>
    <b v="1"/>
    <b v="1"/>
    <b v="1"/>
    <b v="1"/>
    <b v="0"/>
    <n v="3.5"/>
    <n v="5"/>
    <n v="8"/>
    <n v="0.7"/>
    <n v="246.83"/>
    <m/>
    <n v="8"/>
    <x v="0"/>
    <m/>
    <m/>
    <m/>
    <m/>
  </r>
  <r>
    <s v="GD0189"/>
    <n v="21"/>
    <x v="1"/>
    <x v="0"/>
    <x v="32"/>
    <x v="1"/>
    <x v="2"/>
    <s v="Call of Duty"/>
    <s v="Multi-platform"/>
    <n v="6.6"/>
    <m/>
    <s v="Fair"/>
    <s v="Rarely"/>
    <s v="Below Average"/>
    <n v="3.23"/>
    <n v="9"/>
    <s v="Angry"/>
    <s v="Rarely"/>
    <b v="0"/>
    <b v="0"/>
    <b v="0"/>
    <b v="0"/>
    <b v="0"/>
    <n v="1.7"/>
    <n v="9"/>
    <n v="3"/>
    <n v="8.8000000000000007"/>
    <n v="45.31"/>
    <m/>
    <n v="8"/>
    <x v="1"/>
    <m/>
    <m/>
    <m/>
    <m/>
  </r>
  <r>
    <s v="GD0190"/>
    <n v="17"/>
    <x v="0"/>
    <x v="0"/>
    <x v="19"/>
    <x v="1"/>
    <x v="0"/>
    <s v="PUBG Mobile"/>
    <s v="Mobile"/>
    <n v="5"/>
    <m/>
    <s v="Poor"/>
    <s v="Rarely"/>
    <s v="Average"/>
    <n v="3.5"/>
    <m/>
    <s v="Withdrawn"/>
    <s v="Never"/>
    <b v="0"/>
    <b v="0"/>
    <b v="0"/>
    <b v="1"/>
    <b v="1"/>
    <n v="0.3"/>
    <n v="7.6"/>
    <n v="3"/>
    <n v="8.1999999999999993"/>
    <n v="41.6"/>
    <m/>
    <n v="5"/>
    <x v="1"/>
    <m/>
    <m/>
    <m/>
    <m/>
  </r>
  <r>
    <s v="GD0191"/>
    <n v="18"/>
    <x v="0"/>
    <x v="0"/>
    <x v="35"/>
    <x v="1"/>
    <x v="2"/>
    <s v="Valorant"/>
    <s v="Mobile"/>
    <n v="6.1"/>
    <m/>
    <s v="Poor"/>
    <s v="Never"/>
    <s v="Average"/>
    <n v="1.64"/>
    <m/>
    <s v="Normal"/>
    <s v="Rarely"/>
    <b v="0"/>
    <b v="0"/>
    <b v="0"/>
    <b v="0"/>
    <b v="0"/>
    <n v="0.6"/>
    <n v="7.2"/>
    <n v="1"/>
    <n v="9.5"/>
    <n v="6.99"/>
    <m/>
    <n v="7"/>
    <x v="1"/>
    <m/>
    <m/>
    <m/>
    <m/>
  </r>
  <r>
    <s v="GD0192"/>
    <n v="20"/>
    <x v="1"/>
    <x v="0"/>
    <x v="37"/>
    <x v="1"/>
    <x v="5"/>
    <s v="Elder Scrolls Online"/>
    <s v="Console"/>
    <n v="6.3"/>
    <m/>
    <s v="Good"/>
    <s v="Never"/>
    <s v="Good"/>
    <n v="3.5"/>
    <n v="9"/>
    <s v="Angry"/>
    <s v="Often"/>
    <b v="0"/>
    <b v="0"/>
    <b v="0"/>
    <b v="0"/>
    <b v="0"/>
    <n v="0"/>
    <n v="7.9"/>
    <n v="2"/>
    <n v="9"/>
    <n v="36.21"/>
    <m/>
    <n v="2"/>
    <x v="1"/>
    <m/>
    <m/>
    <m/>
    <m/>
  </r>
  <r>
    <s v="GD0193"/>
    <n v="18"/>
    <x v="0"/>
    <x v="1"/>
    <x v="9"/>
    <x v="1"/>
    <x v="6"/>
    <s v="StarCraft II"/>
    <s v="Mobile"/>
    <n v="7"/>
    <m/>
    <s v="Good"/>
    <s v="Never"/>
    <s v="Average"/>
    <n v="1.24"/>
    <m/>
    <s v="Irritable"/>
    <s v="Daily"/>
    <b v="0"/>
    <b v="0"/>
    <b v="0"/>
    <b v="0"/>
    <b v="0"/>
    <n v="0.3"/>
    <n v="11.5"/>
    <n v="1"/>
    <n v="13.6"/>
    <n v="32"/>
    <m/>
    <n v="7"/>
    <x v="1"/>
    <m/>
    <m/>
    <m/>
    <m/>
  </r>
  <r>
    <s v="GD0194"/>
    <n v="24"/>
    <x v="1"/>
    <x v="0"/>
    <x v="95"/>
    <x v="1"/>
    <x v="6"/>
    <s v="Civilization VI"/>
    <s v="Mobile"/>
    <n v="4.0999999999999996"/>
    <m/>
    <s v="Very Poor"/>
    <s v="Sometimes"/>
    <s v="Good"/>
    <m/>
    <n v="6"/>
    <s v="Irritable"/>
    <s v="Never"/>
    <b v="1"/>
    <b v="1"/>
    <b v="1"/>
    <b v="1"/>
    <b v="1"/>
    <n v="0.9"/>
    <n v="4.4000000000000004"/>
    <n v="7"/>
    <n v="2.6"/>
    <n v="67.73"/>
    <m/>
    <n v="11"/>
    <x v="0"/>
    <m/>
    <m/>
    <m/>
    <m/>
  </r>
  <r>
    <s v="GD0195"/>
    <n v="21"/>
    <x v="1"/>
    <x v="1"/>
    <x v="96"/>
    <x v="1"/>
    <x v="4"/>
    <s v="Apex Legends"/>
    <s v="Multi-platform"/>
    <n v="5.8"/>
    <m/>
    <s v="Poor"/>
    <s v="Never"/>
    <s v="Poor"/>
    <n v="2.84"/>
    <n v="8"/>
    <s v="Angry"/>
    <s v="Never"/>
    <b v="0"/>
    <b v="0"/>
    <b v="0"/>
    <b v="0"/>
    <b v="0"/>
    <n v="0.4"/>
    <n v="8"/>
    <n v="3"/>
    <n v="7.4"/>
    <n v="24.63"/>
    <m/>
    <n v="10"/>
    <x v="1"/>
    <m/>
    <m/>
    <m/>
    <m/>
  </r>
  <r>
    <s v="GD0196"/>
    <n v="19"/>
    <x v="0"/>
    <x v="0"/>
    <x v="21"/>
    <x v="1"/>
    <x v="1"/>
    <s v="Mobile Legends"/>
    <s v="Multi-platform"/>
    <n v="6.5"/>
    <m/>
    <s v="Poor"/>
    <s v="Never"/>
    <s v="Good"/>
    <n v="1.85"/>
    <n v="8"/>
    <s v="Angry"/>
    <s v="Daily"/>
    <b v="0"/>
    <b v="0"/>
    <b v="0"/>
    <b v="1"/>
    <b v="0"/>
    <n v="1.8"/>
    <n v="8.8000000000000007"/>
    <n v="1"/>
    <n v="6.2"/>
    <n v="89.91"/>
    <m/>
    <n v="2"/>
    <x v="1"/>
    <m/>
    <m/>
    <m/>
    <m/>
  </r>
  <r>
    <s v="GD0197"/>
    <n v="20"/>
    <x v="1"/>
    <x v="0"/>
    <x v="28"/>
    <x v="1"/>
    <x v="2"/>
    <s v="Overwatch"/>
    <s v="Mobile"/>
    <n v="5.0999999999999996"/>
    <m/>
    <s v="Very Poor"/>
    <s v="Often"/>
    <s v="Failing"/>
    <n v="1.77"/>
    <n v="5"/>
    <s v="Irritable"/>
    <s v="Never"/>
    <b v="1"/>
    <b v="1"/>
    <b v="0"/>
    <b v="1"/>
    <b v="1"/>
    <n v="1.6"/>
    <n v="7.4"/>
    <n v="6"/>
    <n v="5.5"/>
    <n v="56.6"/>
    <m/>
    <n v="5"/>
    <x v="2"/>
    <m/>
    <m/>
    <m/>
    <m/>
  </r>
  <r>
    <s v="GD0198"/>
    <n v="24"/>
    <x v="1"/>
    <x v="1"/>
    <x v="38"/>
    <x v="1"/>
    <x v="6"/>
    <s v="StarCraft II"/>
    <s v="PC"/>
    <n v="5.9"/>
    <m/>
    <s v="Fair"/>
    <s v="Always"/>
    <s v="Average"/>
    <m/>
    <n v="4"/>
    <s v="Anxious"/>
    <s v="Rarely"/>
    <b v="0"/>
    <b v="0"/>
    <b v="0"/>
    <b v="0"/>
    <b v="1"/>
    <n v="0.7"/>
    <n v="7.8"/>
    <n v="2"/>
    <n v="7.3"/>
    <n v="129.72999999999999"/>
    <m/>
    <n v="12"/>
    <x v="1"/>
    <m/>
    <m/>
    <m/>
    <m/>
  </r>
  <r>
    <s v="GD0199"/>
    <n v="18"/>
    <x v="0"/>
    <x v="0"/>
    <x v="71"/>
    <x v="1"/>
    <x v="1"/>
    <s v="Dota 2"/>
    <s v="Console"/>
    <n v="6.1"/>
    <m/>
    <s v="Poor"/>
    <s v="Always"/>
    <s v="Below Average"/>
    <n v="2.02"/>
    <m/>
    <s v="Restless"/>
    <s v="Daily"/>
    <b v="0"/>
    <b v="0"/>
    <b v="0"/>
    <b v="0"/>
    <b v="0"/>
    <n v="0.2"/>
    <n v="7.1"/>
    <n v="3"/>
    <n v="10.1"/>
    <n v="8.2899999999999991"/>
    <m/>
    <n v="1"/>
    <x v="1"/>
    <m/>
    <m/>
    <m/>
    <m/>
  </r>
  <r>
    <s v="GD0200"/>
    <n v="21"/>
    <x v="1"/>
    <x v="1"/>
    <x v="44"/>
    <x v="1"/>
    <x v="1"/>
    <s v="Mobile Legends"/>
    <s v="Mobile"/>
    <n v="6.7"/>
    <m/>
    <s v="Fair"/>
    <s v="Always"/>
    <s v="Excellent"/>
    <n v="2.41"/>
    <n v="3"/>
    <s v="Irritable"/>
    <s v="Often"/>
    <b v="0"/>
    <b v="0"/>
    <b v="0"/>
    <b v="0"/>
    <b v="0"/>
    <n v="0.8"/>
    <n v="6.1"/>
    <n v="3"/>
    <n v="10.3"/>
    <n v="108.18"/>
    <m/>
    <n v="3"/>
    <x v="1"/>
    <m/>
    <m/>
    <m/>
    <m/>
  </r>
  <r>
    <s v="GD0201"/>
    <n v="27"/>
    <x v="1"/>
    <x v="0"/>
    <x v="78"/>
    <x v="1"/>
    <x v="4"/>
    <s v="Warzone"/>
    <s v="Multi-platform"/>
    <n v="5.5"/>
    <m/>
    <s v="Fair"/>
    <s v="Never"/>
    <s v="Below Average"/>
    <m/>
    <n v="2"/>
    <s v="Normal"/>
    <s v="Rarely"/>
    <b v="0"/>
    <b v="0"/>
    <b v="0"/>
    <b v="0"/>
    <b v="0"/>
    <n v="1.2"/>
    <n v="8.8000000000000007"/>
    <n v="3"/>
    <n v="12.6"/>
    <n v="4.8099999999999996"/>
    <m/>
    <n v="2"/>
    <x v="1"/>
    <m/>
    <m/>
    <m/>
    <m/>
  </r>
  <r>
    <s v="GD0202"/>
    <n v="16"/>
    <x v="0"/>
    <x v="0"/>
    <x v="97"/>
    <x v="1"/>
    <x v="3"/>
    <s v="Elden Ring"/>
    <s v="Console"/>
    <n v="3.6"/>
    <m/>
    <s v="Poor"/>
    <s v="Sometimes"/>
    <s v="Below Average"/>
    <n v="1.3"/>
    <m/>
    <s v="Depressed"/>
    <s v="Rarely"/>
    <b v="1"/>
    <b v="0"/>
    <b v="0"/>
    <b v="1"/>
    <b v="1"/>
    <n v="0.9"/>
    <n v="6.9"/>
    <n v="7"/>
    <n v="6.4"/>
    <n v="178.36"/>
    <m/>
    <n v="6"/>
    <x v="2"/>
    <m/>
    <m/>
    <m/>
    <m/>
  </r>
  <r>
    <s v="GD0203"/>
    <n v="21"/>
    <x v="1"/>
    <x v="0"/>
    <x v="69"/>
    <x v="1"/>
    <x v="0"/>
    <s v="Genshin Impact"/>
    <s v="Mobile"/>
    <n v="3.8"/>
    <m/>
    <s v="Very Poor"/>
    <s v="Sometimes"/>
    <s v="Average"/>
    <n v="1.31"/>
    <n v="5"/>
    <s v="Depressed"/>
    <s v="Rarely"/>
    <b v="0"/>
    <b v="0"/>
    <b v="0"/>
    <b v="1"/>
    <b v="1"/>
    <n v="0.9"/>
    <n v="2.8"/>
    <n v="9"/>
    <n v="1.1000000000000001"/>
    <n v="389.7"/>
    <m/>
    <n v="2"/>
    <x v="3"/>
    <m/>
    <m/>
    <m/>
    <m/>
  </r>
  <r>
    <s v="GD0204"/>
    <n v="22"/>
    <x v="1"/>
    <x v="0"/>
    <x v="66"/>
    <x v="1"/>
    <x v="5"/>
    <s v="World of Warcraft"/>
    <s v="Mobile"/>
    <n v="5.5"/>
    <m/>
    <s v="Good"/>
    <s v="Often"/>
    <s v="Below Average"/>
    <n v="1.07"/>
    <n v="1"/>
    <s v="Excited"/>
    <s v="Rarely"/>
    <b v="0"/>
    <b v="0"/>
    <b v="0"/>
    <b v="0"/>
    <b v="0"/>
    <n v="0.3"/>
    <n v="6.4"/>
    <n v="3"/>
    <n v="10.9"/>
    <n v="39.770000000000003"/>
    <m/>
    <n v="3"/>
    <x v="1"/>
    <m/>
    <m/>
    <m/>
    <m/>
  </r>
  <r>
    <s v="GD0205"/>
    <n v="19"/>
    <x v="0"/>
    <x v="1"/>
    <x v="53"/>
    <x v="1"/>
    <x v="6"/>
    <s v="StarCraft II"/>
    <s v="PC"/>
    <n v="6.9"/>
    <m/>
    <s v="Fair"/>
    <s v="Often"/>
    <s v="Average"/>
    <n v="1.85"/>
    <n v="1"/>
    <s v="Angry"/>
    <s v="Daily"/>
    <b v="0"/>
    <b v="0"/>
    <b v="0"/>
    <b v="0"/>
    <b v="0"/>
    <n v="0.4"/>
    <n v="6.6"/>
    <n v="2"/>
    <n v="8.1999999999999993"/>
    <n v="46.13"/>
    <m/>
    <n v="4"/>
    <x v="1"/>
    <m/>
    <m/>
    <m/>
    <m/>
  </r>
  <r>
    <s v="GD0206"/>
    <n v="14"/>
    <x v="0"/>
    <x v="1"/>
    <x v="26"/>
    <x v="1"/>
    <x v="1"/>
    <s v="Dota 2"/>
    <s v="Mobile"/>
    <n v="5.5"/>
    <m/>
    <s v="Poor"/>
    <s v="Sometimes"/>
    <s v="Good"/>
    <n v="3.44"/>
    <m/>
    <s v="Withdrawn"/>
    <s v="Sometimes"/>
    <b v="0"/>
    <b v="0"/>
    <b v="0"/>
    <b v="1"/>
    <b v="0"/>
    <n v="1.1000000000000001"/>
    <n v="7.3"/>
    <n v="3"/>
    <n v="8.3000000000000007"/>
    <n v="87.51"/>
    <m/>
    <n v="4"/>
    <x v="1"/>
    <m/>
    <m/>
    <m/>
    <m/>
  </r>
  <r>
    <s v="GD0207"/>
    <n v="21"/>
    <x v="1"/>
    <x v="0"/>
    <x v="6"/>
    <x v="1"/>
    <x v="5"/>
    <s v="Elder Scrolls Online"/>
    <s v="PC"/>
    <n v="8.1999999999999993"/>
    <m/>
    <s v="Good"/>
    <s v="Often"/>
    <s v="Good"/>
    <n v="3.69"/>
    <n v="3"/>
    <s v="Angry"/>
    <s v="Sometimes"/>
    <b v="0"/>
    <b v="0"/>
    <b v="0"/>
    <b v="0"/>
    <b v="0"/>
    <n v="0.6"/>
    <n v="6.8"/>
    <n v="1"/>
    <n v="12"/>
    <n v="12.31"/>
    <m/>
    <n v="11"/>
    <x v="1"/>
    <m/>
    <m/>
    <m/>
    <m/>
  </r>
  <r>
    <s v="GD0208"/>
    <n v="20"/>
    <x v="1"/>
    <x v="0"/>
    <x v="3"/>
    <x v="1"/>
    <x v="6"/>
    <s v="Civilization VI"/>
    <s v="Mobile"/>
    <n v="4.3"/>
    <m/>
    <s v="Very Poor"/>
    <s v="Always"/>
    <s v="Failing"/>
    <n v="2.58"/>
    <n v="8"/>
    <s v="Irritable"/>
    <s v="Sometimes"/>
    <b v="1"/>
    <b v="1"/>
    <b v="0"/>
    <b v="0"/>
    <b v="1"/>
    <n v="0.6"/>
    <n v="8"/>
    <n v="5"/>
    <n v="3.6"/>
    <n v="123.4"/>
    <m/>
    <n v="1"/>
    <x v="2"/>
    <m/>
    <m/>
    <m/>
    <m/>
  </r>
  <r>
    <s v="GD0209"/>
    <n v="27"/>
    <x v="1"/>
    <x v="0"/>
    <x v="37"/>
    <x v="1"/>
    <x v="6"/>
    <s v="StarCraft II"/>
    <s v="Multi-platform"/>
    <n v="6.9"/>
    <m/>
    <s v="Poor"/>
    <s v="Always"/>
    <s v="Below Average"/>
    <m/>
    <n v="6"/>
    <s v="Excited"/>
    <s v="Never"/>
    <b v="0"/>
    <b v="0"/>
    <b v="0"/>
    <b v="0"/>
    <b v="0"/>
    <n v="0.1"/>
    <n v="6.1"/>
    <n v="1"/>
    <n v="11.2"/>
    <n v="18.05"/>
    <m/>
    <n v="7"/>
    <x v="1"/>
    <m/>
    <m/>
    <m/>
    <m/>
  </r>
  <r>
    <s v="GD0210"/>
    <n v="24"/>
    <x v="1"/>
    <x v="2"/>
    <x v="98"/>
    <x v="1"/>
    <x v="0"/>
    <s v="Clash of Clans"/>
    <s v="Console"/>
    <n v="5.5"/>
    <m/>
    <s v="Fair"/>
    <s v="Rarely"/>
    <s v="Failing"/>
    <m/>
    <n v="10"/>
    <s v="Irritable"/>
    <s v="Daily"/>
    <b v="1"/>
    <b v="0"/>
    <b v="0"/>
    <b v="1"/>
    <b v="0"/>
    <n v="2.6"/>
    <n v="4.9000000000000004"/>
    <n v="7"/>
    <n v="1.4"/>
    <n v="189.43"/>
    <m/>
    <n v="5"/>
    <x v="2"/>
    <m/>
    <m/>
    <m/>
    <m/>
  </r>
  <r>
    <s v="GD0211"/>
    <n v="21"/>
    <x v="1"/>
    <x v="0"/>
    <x v="11"/>
    <x v="1"/>
    <x v="1"/>
    <s v="Dota 2"/>
    <s v="PC"/>
    <n v="6.7"/>
    <m/>
    <s v="Fair"/>
    <s v="Always"/>
    <s v="Good"/>
    <n v="1.28"/>
    <n v="1"/>
    <s v="Irritable"/>
    <s v="Never"/>
    <b v="0"/>
    <b v="0"/>
    <b v="0"/>
    <b v="1"/>
    <b v="0"/>
    <n v="1.4"/>
    <n v="9.1999999999999993"/>
    <n v="4"/>
    <n v="7.2"/>
    <n v="47.43"/>
    <m/>
    <n v="7"/>
    <x v="1"/>
    <m/>
    <m/>
    <m/>
    <m/>
  </r>
  <r>
    <s v="GD0212"/>
    <n v="21"/>
    <x v="1"/>
    <x v="0"/>
    <x v="95"/>
    <x v="1"/>
    <x v="5"/>
    <s v="Elder Scrolls Online"/>
    <s v="Multi-platform"/>
    <n v="5.6"/>
    <m/>
    <s v="Poor"/>
    <s v="Rarely"/>
    <s v="Below Average"/>
    <n v="3.2"/>
    <n v="10"/>
    <s v="Angry"/>
    <s v="Never"/>
    <b v="0"/>
    <b v="1"/>
    <b v="1"/>
    <b v="1"/>
    <b v="1"/>
    <n v="3.6"/>
    <n v="5.9"/>
    <n v="5"/>
    <n v="5.7"/>
    <n v="462.75"/>
    <m/>
    <n v="4"/>
    <x v="0"/>
    <m/>
    <m/>
    <m/>
    <m/>
  </r>
  <r>
    <s v="GD0213"/>
    <n v="19"/>
    <x v="0"/>
    <x v="0"/>
    <x v="21"/>
    <x v="1"/>
    <x v="6"/>
    <s v="StarCraft II"/>
    <s v="Mobile"/>
    <n v="6.3"/>
    <m/>
    <s v="Good"/>
    <s v="Rarely"/>
    <s v="Good"/>
    <n v="3.7"/>
    <n v="2"/>
    <s v="Restless"/>
    <s v="Often"/>
    <b v="0"/>
    <b v="0"/>
    <b v="0"/>
    <b v="1"/>
    <b v="0"/>
    <n v="2"/>
    <n v="7.9"/>
    <n v="2"/>
    <n v="8.5"/>
    <n v="60.25"/>
    <m/>
    <n v="1"/>
    <x v="1"/>
    <m/>
    <m/>
    <m/>
    <m/>
  </r>
  <r>
    <s v="GD0214"/>
    <n v="20"/>
    <x v="1"/>
    <x v="0"/>
    <x v="38"/>
    <x v="1"/>
    <x v="0"/>
    <s v="PUBG Mobile"/>
    <s v="Console"/>
    <n v="5.3"/>
    <m/>
    <s v="Fair"/>
    <s v="Never"/>
    <s v="Good"/>
    <n v="2.19"/>
    <n v="3"/>
    <s v="Angry"/>
    <s v="Never"/>
    <b v="0"/>
    <b v="0"/>
    <b v="0"/>
    <b v="1"/>
    <b v="1"/>
    <n v="0.1"/>
    <n v="6.7"/>
    <n v="3"/>
    <n v="10.6"/>
    <n v="109.33"/>
    <m/>
    <n v="1"/>
    <x v="1"/>
    <m/>
    <m/>
    <m/>
    <m/>
  </r>
  <r>
    <s v="GD0215"/>
    <n v="19"/>
    <x v="0"/>
    <x v="1"/>
    <x v="78"/>
    <x v="1"/>
    <x v="5"/>
    <s v="Final Fantasy XIV"/>
    <s v="Mobile"/>
    <n v="5.3"/>
    <m/>
    <s v="Fair"/>
    <s v="Sometimes"/>
    <s v="Average"/>
    <n v="3.09"/>
    <n v="3"/>
    <s v="Normal"/>
    <s v="Sometimes"/>
    <b v="0"/>
    <b v="0"/>
    <b v="0"/>
    <b v="0"/>
    <b v="0"/>
    <n v="1.3"/>
    <n v="6.3"/>
    <n v="3"/>
    <n v="8.1"/>
    <n v="12.63"/>
    <m/>
    <n v="5"/>
    <x v="1"/>
    <m/>
    <m/>
    <m/>
    <m/>
  </r>
  <r>
    <s v="GD0216"/>
    <n v="19"/>
    <x v="0"/>
    <x v="0"/>
    <x v="59"/>
    <x v="1"/>
    <x v="0"/>
    <s v="Genshin Impact"/>
    <s v="Multi-platform"/>
    <n v="5.2"/>
    <m/>
    <s v="Very Poor"/>
    <s v="Sometimes"/>
    <s v="Poor"/>
    <n v="2.92"/>
    <n v="8"/>
    <s v="Restless"/>
    <s v="Rarely"/>
    <b v="0"/>
    <b v="0"/>
    <b v="1"/>
    <b v="1"/>
    <b v="1"/>
    <n v="0.6"/>
    <n v="5.9"/>
    <n v="5"/>
    <n v="2.7"/>
    <n v="371.68"/>
    <m/>
    <n v="2"/>
    <x v="2"/>
    <m/>
    <m/>
    <m/>
    <m/>
  </r>
  <r>
    <s v="GD0217"/>
    <n v="20"/>
    <x v="1"/>
    <x v="0"/>
    <x v="14"/>
    <x v="1"/>
    <x v="6"/>
    <s v="StarCraft II"/>
    <s v="Mobile"/>
    <n v="5.9"/>
    <m/>
    <s v="Fair"/>
    <s v="Rarely"/>
    <s v="Poor"/>
    <n v="2.86"/>
    <n v="2"/>
    <s v="Anxious"/>
    <s v="Rarely"/>
    <b v="1"/>
    <b v="0"/>
    <b v="0"/>
    <b v="1"/>
    <b v="1"/>
    <n v="4.4000000000000004"/>
    <n v="2.6"/>
    <n v="6"/>
    <n v="3.7"/>
    <n v="485.6"/>
    <m/>
    <n v="3"/>
    <x v="2"/>
    <m/>
    <m/>
    <m/>
    <m/>
  </r>
  <r>
    <s v="GD0218"/>
    <n v="22"/>
    <x v="1"/>
    <x v="0"/>
    <x v="91"/>
    <x v="1"/>
    <x v="2"/>
    <s v="Overwatch"/>
    <s v="Mobile"/>
    <n v="4.3"/>
    <m/>
    <s v="Very Poor"/>
    <s v="Rarely"/>
    <s v="Poor"/>
    <n v="3.23"/>
    <n v="4"/>
    <s v="Anxious"/>
    <s v="Often"/>
    <b v="1"/>
    <b v="0"/>
    <b v="1"/>
    <b v="0"/>
    <b v="1"/>
    <n v="3.6"/>
    <n v="3.5"/>
    <n v="10"/>
    <n v="0"/>
    <n v="96.98"/>
    <m/>
    <n v="9"/>
    <x v="0"/>
    <m/>
    <m/>
    <m/>
    <m/>
  </r>
  <r>
    <s v="GD0219"/>
    <n v="17"/>
    <x v="0"/>
    <x v="2"/>
    <x v="45"/>
    <x v="1"/>
    <x v="0"/>
    <s v="PUBG Mobile"/>
    <s v="Mobile"/>
    <n v="5.4"/>
    <m/>
    <s v="Fair"/>
    <s v="Sometimes"/>
    <s v="Poor"/>
    <n v="2.41"/>
    <m/>
    <s v="Anxious"/>
    <s v="Rarely"/>
    <b v="0"/>
    <b v="0"/>
    <b v="0"/>
    <b v="1"/>
    <b v="1"/>
    <n v="1.3"/>
    <n v="4.8"/>
    <n v="3"/>
    <n v="5.3"/>
    <n v="104.49"/>
    <m/>
    <n v="5"/>
    <x v="1"/>
    <m/>
    <m/>
    <m/>
    <m/>
  </r>
  <r>
    <s v="GD0220"/>
    <n v="17"/>
    <x v="0"/>
    <x v="0"/>
    <x v="29"/>
    <x v="1"/>
    <x v="3"/>
    <s v="Skyrim"/>
    <s v="PC"/>
    <n v="5.7"/>
    <m/>
    <s v="Fair"/>
    <s v="Always"/>
    <s v="Average"/>
    <n v="3.24"/>
    <m/>
    <s v="Normal"/>
    <s v="Sometimes"/>
    <b v="0"/>
    <b v="0"/>
    <b v="0"/>
    <b v="1"/>
    <b v="0"/>
    <n v="1.4"/>
    <n v="7.2"/>
    <n v="3"/>
    <n v="9.1"/>
    <n v="17.420000000000002"/>
    <m/>
    <n v="2"/>
    <x v="1"/>
    <m/>
    <m/>
    <m/>
    <m/>
  </r>
  <r>
    <s v="GD0221"/>
    <n v="20"/>
    <x v="1"/>
    <x v="0"/>
    <x v="64"/>
    <x v="1"/>
    <x v="1"/>
    <s v="Dota 2"/>
    <s v="Multi-platform"/>
    <n v="7.2"/>
    <m/>
    <s v="Good"/>
    <s v="Often"/>
    <s v="Good"/>
    <n v="3.65"/>
    <n v="9"/>
    <s v="Euphoric"/>
    <s v="Often"/>
    <b v="0"/>
    <b v="0"/>
    <b v="0"/>
    <b v="0"/>
    <b v="0"/>
    <n v="1.4"/>
    <n v="9.4"/>
    <n v="3"/>
    <n v="12.2"/>
    <n v="17.98"/>
    <m/>
    <n v="2"/>
    <x v="1"/>
    <m/>
    <m/>
    <m/>
    <m/>
  </r>
  <r>
    <s v="GD0222"/>
    <n v="16"/>
    <x v="0"/>
    <x v="0"/>
    <x v="11"/>
    <x v="1"/>
    <x v="5"/>
    <s v="Final Fantasy XIV"/>
    <s v="Multi-platform"/>
    <n v="6.6"/>
    <m/>
    <s v="Good"/>
    <s v="Sometimes"/>
    <s v="Average"/>
    <n v="1.35"/>
    <m/>
    <s v="Restless"/>
    <s v="Sometimes"/>
    <b v="0"/>
    <b v="0"/>
    <b v="0"/>
    <b v="1"/>
    <b v="0"/>
    <n v="2.6"/>
    <n v="8"/>
    <n v="3"/>
    <n v="7.2"/>
    <n v="130.26"/>
    <m/>
    <n v="1"/>
    <x v="1"/>
    <m/>
    <m/>
    <m/>
    <m/>
  </r>
  <r>
    <s v="GD0223"/>
    <n v="17"/>
    <x v="0"/>
    <x v="0"/>
    <x v="6"/>
    <x v="1"/>
    <x v="1"/>
    <s v="Dota 2"/>
    <s v="Console"/>
    <n v="8.6"/>
    <m/>
    <s v="Good"/>
    <s v="Rarely"/>
    <s v="Excellent"/>
    <n v="1.44"/>
    <m/>
    <s v="Depressed"/>
    <s v="Rarely"/>
    <b v="0"/>
    <b v="0"/>
    <b v="0"/>
    <b v="0"/>
    <b v="0"/>
    <n v="0.8"/>
    <n v="9.1"/>
    <n v="1"/>
    <n v="11.6"/>
    <n v="43.38"/>
    <m/>
    <n v="4"/>
    <x v="1"/>
    <m/>
    <m/>
    <m/>
    <m/>
  </r>
  <r>
    <s v="GD0224"/>
    <n v="20"/>
    <x v="1"/>
    <x v="1"/>
    <x v="6"/>
    <x v="1"/>
    <x v="4"/>
    <s v="Warzone"/>
    <s v="PC"/>
    <n v="7.1"/>
    <m/>
    <s v="Fair"/>
    <s v="Rarely"/>
    <s v="Good"/>
    <n v="3.38"/>
    <n v="2"/>
    <s v="Normal"/>
    <s v="Often"/>
    <b v="0"/>
    <b v="0"/>
    <b v="0"/>
    <b v="0"/>
    <b v="0"/>
    <n v="0.6"/>
    <n v="6.6"/>
    <n v="2"/>
    <n v="13.9"/>
    <n v="37.909999999999997"/>
    <m/>
    <n v="7"/>
    <x v="1"/>
    <m/>
    <m/>
    <m/>
    <m/>
  </r>
  <r>
    <s v="GD0225"/>
    <n v="18"/>
    <x v="0"/>
    <x v="0"/>
    <x v="99"/>
    <x v="1"/>
    <x v="6"/>
    <s v="StarCraft II"/>
    <s v="Multi-platform"/>
    <n v="5.8"/>
    <m/>
    <s v="Fair"/>
    <s v="Never"/>
    <s v="Excellent"/>
    <n v="3.01"/>
    <m/>
    <s v="Anxious"/>
    <s v="Never"/>
    <b v="0"/>
    <b v="0"/>
    <b v="0"/>
    <b v="0"/>
    <b v="0"/>
    <n v="0.2"/>
    <n v="8.9"/>
    <n v="3"/>
    <n v="9.9"/>
    <n v="34.75"/>
    <m/>
    <n v="1"/>
    <x v="1"/>
    <m/>
    <m/>
    <m/>
    <m/>
  </r>
  <r>
    <s v="GD0226"/>
    <n v="20"/>
    <x v="1"/>
    <x v="1"/>
    <x v="42"/>
    <x v="1"/>
    <x v="6"/>
    <s v="Age of Empires"/>
    <s v="Mobile"/>
    <n v="8.6999999999999993"/>
    <m/>
    <s v="Good"/>
    <s v="Never"/>
    <s v="Good"/>
    <n v="3.88"/>
    <n v="3"/>
    <s v="Irritable"/>
    <s v="Daily"/>
    <b v="0"/>
    <b v="0"/>
    <b v="0"/>
    <b v="0"/>
    <b v="0"/>
    <n v="0.4"/>
    <n v="10.4"/>
    <n v="1"/>
    <n v="15"/>
    <n v="22.38"/>
    <m/>
    <n v="10"/>
    <x v="1"/>
    <m/>
    <m/>
    <m/>
    <m/>
  </r>
  <r>
    <s v="GD0227"/>
    <n v="19"/>
    <x v="0"/>
    <x v="0"/>
    <x v="45"/>
    <x v="1"/>
    <x v="5"/>
    <s v="Final Fantasy XIV"/>
    <s v="Console"/>
    <n v="4.3"/>
    <m/>
    <s v="Very Poor"/>
    <s v="Always"/>
    <s v="Below Average"/>
    <n v="2.4500000000000002"/>
    <n v="4"/>
    <s v="Euphoric"/>
    <s v="Often"/>
    <b v="0"/>
    <b v="1"/>
    <b v="0"/>
    <b v="0"/>
    <b v="1"/>
    <n v="0.1"/>
    <n v="8.5"/>
    <n v="5"/>
    <n v="3.7"/>
    <n v="79"/>
    <m/>
    <n v="5"/>
    <x v="3"/>
    <m/>
    <m/>
    <m/>
    <m/>
  </r>
  <r>
    <s v="GD0228"/>
    <n v="19"/>
    <x v="0"/>
    <x v="1"/>
    <x v="100"/>
    <x v="1"/>
    <x v="1"/>
    <s v="League of Legends"/>
    <s v="Mobile"/>
    <n v="4.2"/>
    <m/>
    <s v="Fair"/>
    <s v="Sometimes"/>
    <s v="Poor"/>
    <n v="2.89"/>
    <n v="6"/>
    <s v="Depressed"/>
    <s v="Often"/>
    <b v="0"/>
    <b v="0"/>
    <b v="0"/>
    <b v="0"/>
    <b v="0"/>
    <n v="0.1"/>
    <n v="4.7"/>
    <n v="4"/>
    <n v="8.3000000000000007"/>
    <n v="135.38"/>
    <m/>
    <n v="6"/>
    <x v="1"/>
    <m/>
    <m/>
    <m/>
    <m/>
  </r>
  <r>
    <s v="GD0229"/>
    <n v="20"/>
    <x v="1"/>
    <x v="1"/>
    <x v="40"/>
    <x v="1"/>
    <x v="1"/>
    <s v="Mobile Legends"/>
    <s v="Console"/>
    <n v="5"/>
    <m/>
    <s v="Poor"/>
    <s v="Never"/>
    <s v="Average"/>
    <n v="3.22"/>
    <n v="3"/>
    <s v="Restless"/>
    <s v="Often"/>
    <b v="0"/>
    <b v="0"/>
    <b v="0"/>
    <b v="0"/>
    <b v="0"/>
    <n v="1"/>
    <n v="10"/>
    <n v="2"/>
    <n v="8.5"/>
    <n v="48.25"/>
    <m/>
    <n v="10"/>
    <x v="1"/>
    <m/>
    <m/>
    <m/>
    <m/>
  </r>
  <r>
    <s v="GD0230"/>
    <n v="19"/>
    <x v="0"/>
    <x v="0"/>
    <x v="97"/>
    <x v="1"/>
    <x v="4"/>
    <s v="Fortnite"/>
    <s v="Console"/>
    <n v="3.3"/>
    <m/>
    <s v="Poor"/>
    <s v="Rarely"/>
    <s v="Below Average"/>
    <n v="3.47"/>
    <n v="2"/>
    <s v="Normal"/>
    <s v="Rarely"/>
    <b v="1"/>
    <b v="0"/>
    <b v="0"/>
    <b v="0"/>
    <b v="0"/>
    <n v="1.6"/>
    <n v="6.4"/>
    <n v="5"/>
    <n v="3.2"/>
    <n v="362.26"/>
    <m/>
    <n v="6"/>
    <x v="2"/>
    <m/>
    <m/>
    <m/>
    <m/>
  </r>
  <r>
    <s v="GD0231"/>
    <n v="19"/>
    <x v="0"/>
    <x v="0"/>
    <x v="24"/>
    <x v="1"/>
    <x v="4"/>
    <s v="PUBG"/>
    <s v="Multi-platform"/>
    <n v="5.9"/>
    <m/>
    <s v="Poor"/>
    <s v="Often"/>
    <s v="Poor"/>
    <n v="2.4700000000000002"/>
    <n v="7"/>
    <s v="Depressed"/>
    <s v="Sometimes"/>
    <b v="1"/>
    <b v="0"/>
    <b v="1"/>
    <b v="0"/>
    <b v="1"/>
    <n v="0.9"/>
    <n v="5.4"/>
    <n v="5"/>
    <n v="4"/>
    <n v="18.61"/>
    <m/>
    <n v="6"/>
    <x v="2"/>
    <m/>
    <m/>
    <m/>
    <m/>
  </r>
  <r>
    <s v="GD0232"/>
    <n v="19"/>
    <x v="0"/>
    <x v="1"/>
    <x v="97"/>
    <x v="1"/>
    <x v="3"/>
    <s v="Cyberpunk 2077"/>
    <s v="PC"/>
    <n v="4.2"/>
    <m/>
    <s v="Fair"/>
    <s v="Always"/>
    <s v="Poor"/>
    <n v="1.97"/>
    <n v="10"/>
    <s v="Anxious"/>
    <s v="Daily"/>
    <b v="0"/>
    <b v="1"/>
    <b v="0"/>
    <b v="0"/>
    <b v="0"/>
    <n v="5.5"/>
    <n v="4.8"/>
    <n v="6"/>
    <n v="7.2"/>
    <n v="428.62"/>
    <m/>
    <n v="4"/>
    <x v="2"/>
    <m/>
    <m/>
    <m/>
    <m/>
  </r>
  <r>
    <s v="GD0233"/>
    <n v="27"/>
    <x v="1"/>
    <x v="0"/>
    <x v="44"/>
    <x v="1"/>
    <x v="1"/>
    <s v="Dota 2"/>
    <s v="PC"/>
    <n v="5.7"/>
    <m/>
    <s v="Good"/>
    <s v="Often"/>
    <s v="Below Average"/>
    <m/>
    <n v="3"/>
    <s v="Depressed"/>
    <s v="Daily"/>
    <b v="0"/>
    <b v="0"/>
    <b v="0"/>
    <b v="1"/>
    <b v="0"/>
    <n v="1.2"/>
    <n v="5.3"/>
    <n v="5"/>
    <n v="5"/>
    <n v="74.069999999999993"/>
    <m/>
    <n v="8"/>
    <x v="1"/>
    <m/>
    <m/>
    <m/>
    <m/>
  </r>
  <r>
    <s v="GD0234"/>
    <n v="18"/>
    <x v="0"/>
    <x v="1"/>
    <x v="23"/>
    <x v="1"/>
    <x v="2"/>
    <s v="Overwatch"/>
    <s v="Mobile"/>
    <n v="5.2"/>
    <m/>
    <s v="Fair"/>
    <s v="Always"/>
    <s v="Average"/>
    <n v="2.37"/>
    <m/>
    <s v="Euphoric"/>
    <s v="Often"/>
    <b v="0"/>
    <b v="1"/>
    <b v="0"/>
    <b v="1"/>
    <b v="1"/>
    <n v="3.1"/>
    <n v="6.2"/>
    <n v="3"/>
    <n v="6.1"/>
    <n v="25.16"/>
    <m/>
    <n v="6"/>
    <x v="3"/>
    <m/>
    <m/>
    <m/>
    <m/>
  </r>
  <r>
    <s v="GD0235"/>
    <n v="23"/>
    <x v="1"/>
    <x v="0"/>
    <x v="21"/>
    <x v="1"/>
    <x v="0"/>
    <s v="Clash of Clans"/>
    <s v="Mobile"/>
    <n v="5.9"/>
    <m/>
    <s v="Fair"/>
    <s v="Sometimes"/>
    <s v="Excellent"/>
    <m/>
    <n v="2"/>
    <s v="Excited"/>
    <s v="Rarely"/>
    <b v="0"/>
    <b v="0"/>
    <b v="0"/>
    <b v="1"/>
    <b v="0"/>
    <n v="1.5"/>
    <n v="8.4"/>
    <n v="2"/>
    <n v="9.6"/>
    <n v="103.9"/>
    <m/>
    <n v="2"/>
    <x v="1"/>
    <m/>
    <m/>
    <m/>
    <m/>
  </r>
  <r>
    <s v="GD0236"/>
    <n v="21"/>
    <x v="1"/>
    <x v="0"/>
    <x v="70"/>
    <x v="1"/>
    <x v="5"/>
    <s v="Final Fantasy XIV"/>
    <s v="PC"/>
    <n v="5.3"/>
    <m/>
    <s v="Good"/>
    <s v="Rarely"/>
    <s v="Excellent"/>
    <n v="2.35"/>
    <n v="10"/>
    <s v="Restless"/>
    <s v="Often"/>
    <b v="0"/>
    <b v="1"/>
    <b v="0"/>
    <b v="0"/>
    <b v="0"/>
    <n v="3.9"/>
    <n v="8.6999999999999993"/>
    <n v="3"/>
    <n v="5.3"/>
    <n v="121.44"/>
    <m/>
    <n v="11"/>
    <x v="3"/>
    <m/>
    <m/>
    <m/>
    <m/>
  </r>
  <r>
    <s v="GD0237"/>
    <n v="17"/>
    <x v="0"/>
    <x v="0"/>
    <x v="62"/>
    <x v="1"/>
    <x v="1"/>
    <s v="League of Legends"/>
    <s v="Mobile"/>
    <n v="3.4"/>
    <m/>
    <s v="Very Poor"/>
    <s v="Rarely"/>
    <s v="Below Average"/>
    <n v="2.62"/>
    <m/>
    <s v="Anxious"/>
    <s v="Never"/>
    <b v="0"/>
    <b v="0"/>
    <b v="1"/>
    <b v="1"/>
    <b v="0"/>
    <n v="0.2"/>
    <n v="7.7"/>
    <n v="5"/>
    <n v="4.5"/>
    <n v="145.06"/>
    <m/>
    <n v="4"/>
    <x v="3"/>
    <m/>
    <m/>
    <m/>
    <m/>
  </r>
  <r>
    <s v="GD0238"/>
    <n v="26"/>
    <x v="1"/>
    <x v="1"/>
    <x v="95"/>
    <x v="1"/>
    <x v="5"/>
    <s v="Elder Scrolls Online"/>
    <s v="PC"/>
    <n v="4.9000000000000004"/>
    <m/>
    <s v="Poor"/>
    <s v="Often"/>
    <s v="Average"/>
    <m/>
    <n v="9"/>
    <s v="Euphoric"/>
    <s v="Rarely"/>
    <b v="1"/>
    <b v="1"/>
    <b v="1"/>
    <b v="0"/>
    <b v="1"/>
    <n v="3.5"/>
    <n v="5.9"/>
    <n v="6"/>
    <n v="1.6"/>
    <n v="430.82"/>
    <m/>
    <n v="14"/>
    <x v="0"/>
    <m/>
    <m/>
    <m/>
    <m/>
  </r>
  <r>
    <s v="GD0239"/>
    <n v="20"/>
    <x v="1"/>
    <x v="1"/>
    <x v="55"/>
    <x v="1"/>
    <x v="3"/>
    <s v="Elden Ring"/>
    <s v="Mobile"/>
    <n v="5.5"/>
    <m/>
    <s v="Fair"/>
    <s v="Sometimes"/>
    <s v="Average"/>
    <n v="2.25"/>
    <n v="3"/>
    <s v="Euphoric"/>
    <s v="Daily"/>
    <b v="0"/>
    <b v="1"/>
    <b v="0"/>
    <b v="0"/>
    <b v="1"/>
    <n v="0.3"/>
    <n v="8.6999999999999993"/>
    <n v="5"/>
    <n v="8.5"/>
    <n v="60.72"/>
    <m/>
    <n v="2"/>
    <x v="3"/>
    <m/>
    <m/>
    <m/>
    <m/>
  </r>
  <r>
    <s v="GD0240"/>
    <n v="22"/>
    <x v="1"/>
    <x v="1"/>
    <x v="90"/>
    <x v="1"/>
    <x v="2"/>
    <s v="Call of Duty"/>
    <s v="PC"/>
    <n v="5.2"/>
    <m/>
    <s v="Very Poor"/>
    <s v="Never"/>
    <s v="Poor"/>
    <n v="3.74"/>
    <n v="9"/>
    <s v="Irritable"/>
    <s v="Never"/>
    <b v="1"/>
    <b v="1"/>
    <b v="0"/>
    <b v="1"/>
    <b v="1"/>
    <n v="3"/>
    <n v="5.2"/>
    <n v="8"/>
    <n v="0"/>
    <n v="247.59"/>
    <m/>
    <n v="7"/>
    <x v="0"/>
    <m/>
    <m/>
    <m/>
    <m/>
  </r>
  <r>
    <s v="GD0241"/>
    <n v="17"/>
    <x v="0"/>
    <x v="0"/>
    <x v="31"/>
    <x v="1"/>
    <x v="2"/>
    <s v="Overwatch"/>
    <s v="Mobile"/>
    <n v="8.6999999999999993"/>
    <m/>
    <s v="Good"/>
    <s v="Often"/>
    <s v="Good"/>
    <n v="1.39"/>
    <m/>
    <s v="Restless"/>
    <s v="Often"/>
    <b v="0"/>
    <b v="0"/>
    <b v="0"/>
    <b v="0"/>
    <b v="0"/>
    <n v="0.8"/>
    <n v="7"/>
    <n v="4"/>
    <n v="12.7"/>
    <n v="35.909999999999997"/>
    <m/>
    <n v="4"/>
    <x v="1"/>
    <m/>
    <m/>
    <m/>
    <m/>
  </r>
  <r>
    <s v="GD0242"/>
    <n v="24"/>
    <x v="1"/>
    <x v="0"/>
    <x v="101"/>
    <x v="1"/>
    <x v="2"/>
    <s v="Valorant"/>
    <s v="Multi-platform"/>
    <n v="8.3000000000000007"/>
    <m/>
    <s v="Good"/>
    <s v="Often"/>
    <s v="Average"/>
    <m/>
    <n v="5"/>
    <s v="Normal"/>
    <s v="Daily"/>
    <b v="0"/>
    <b v="0"/>
    <b v="0"/>
    <b v="0"/>
    <b v="0"/>
    <n v="0.3"/>
    <n v="9.5"/>
    <n v="1"/>
    <n v="11"/>
    <n v="6.93"/>
    <m/>
    <n v="7"/>
    <x v="1"/>
    <m/>
    <m/>
    <m/>
    <m/>
  </r>
  <r>
    <s v="GD0243"/>
    <n v="20"/>
    <x v="1"/>
    <x v="0"/>
    <x v="28"/>
    <x v="1"/>
    <x v="5"/>
    <s v="Elder Scrolls Online"/>
    <s v="Console"/>
    <n v="3.8"/>
    <m/>
    <s v="Very Poor"/>
    <s v="Often"/>
    <s v="Poor"/>
    <n v="3.02"/>
    <n v="3"/>
    <s v="Angry"/>
    <s v="Sometimes"/>
    <b v="1"/>
    <b v="1"/>
    <b v="0"/>
    <b v="1"/>
    <b v="1"/>
    <n v="0.1"/>
    <n v="8.1"/>
    <n v="3"/>
    <n v="7.5"/>
    <n v="50.22"/>
    <m/>
    <n v="9"/>
    <x v="2"/>
    <m/>
    <m/>
    <m/>
    <m/>
  </r>
  <r>
    <s v="GD0244"/>
    <n v="19"/>
    <x v="0"/>
    <x v="1"/>
    <x v="59"/>
    <x v="1"/>
    <x v="2"/>
    <s v="CS:GO"/>
    <s v="Multi-platform"/>
    <n v="3"/>
    <m/>
    <s v="Poor"/>
    <s v="Sometimes"/>
    <s v="Poor"/>
    <n v="3.51"/>
    <n v="5"/>
    <s v="Irritable"/>
    <s v="Daily"/>
    <b v="1"/>
    <b v="0"/>
    <b v="0"/>
    <b v="1"/>
    <b v="0"/>
    <n v="2.2999999999999998"/>
    <n v="6.1"/>
    <n v="5"/>
    <n v="4.5999999999999996"/>
    <n v="195.86"/>
    <m/>
    <n v="3"/>
    <x v="2"/>
    <m/>
    <m/>
    <m/>
    <m/>
  </r>
  <r>
    <s v="GD0245"/>
    <n v="33"/>
    <x v="2"/>
    <x v="1"/>
    <x v="6"/>
    <x v="1"/>
    <x v="2"/>
    <s v="Overwatch"/>
    <s v="Mobile"/>
    <n v="8.6999999999999993"/>
    <m/>
    <s v="Good"/>
    <s v="Rarely"/>
    <s v="Good"/>
    <m/>
    <n v="6"/>
    <s v="Normal"/>
    <s v="Rarely"/>
    <b v="0"/>
    <b v="0"/>
    <b v="0"/>
    <b v="0"/>
    <b v="0"/>
    <n v="1"/>
    <n v="8.3000000000000007"/>
    <n v="2"/>
    <n v="10.7"/>
    <n v="31.35"/>
    <m/>
    <n v="20"/>
    <x v="1"/>
    <m/>
    <m/>
    <m/>
    <m/>
  </r>
  <r>
    <s v="GD0246"/>
    <n v="14"/>
    <x v="0"/>
    <x v="0"/>
    <x v="27"/>
    <x v="1"/>
    <x v="5"/>
    <s v="World of Warcraft"/>
    <s v="Multi-platform"/>
    <n v="7.2"/>
    <m/>
    <s v="Fair"/>
    <s v="Often"/>
    <s v="Below Average"/>
    <n v="2.33"/>
    <m/>
    <s v="Restless"/>
    <s v="Sometimes"/>
    <b v="0"/>
    <b v="0"/>
    <b v="0"/>
    <b v="0"/>
    <b v="0"/>
    <n v="0.4"/>
    <n v="10.1"/>
    <n v="1"/>
    <n v="13.4"/>
    <n v="35.39"/>
    <m/>
    <n v="2"/>
    <x v="1"/>
    <m/>
    <m/>
    <m/>
    <m/>
  </r>
  <r>
    <s v="GD0247"/>
    <n v="20"/>
    <x v="1"/>
    <x v="1"/>
    <x v="20"/>
    <x v="1"/>
    <x v="6"/>
    <s v="Civilization VI"/>
    <s v="Mobile"/>
    <n v="4.3"/>
    <m/>
    <s v="Fair"/>
    <s v="Rarely"/>
    <s v="Poor"/>
    <n v="3.28"/>
    <n v="1"/>
    <s v="Angry"/>
    <s v="Rarely"/>
    <b v="1"/>
    <b v="0"/>
    <b v="1"/>
    <b v="1"/>
    <b v="1"/>
    <n v="3.4"/>
    <n v="6.9"/>
    <n v="5"/>
    <n v="4.7"/>
    <n v="131.33000000000001"/>
    <m/>
    <n v="2"/>
    <x v="0"/>
    <m/>
    <m/>
    <m/>
    <m/>
  </r>
  <r>
    <s v="GD0248"/>
    <n v="20"/>
    <x v="1"/>
    <x v="0"/>
    <x v="24"/>
    <x v="1"/>
    <x v="2"/>
    <s v="CS:GO"/>
    <s v="Console"/>
    <n v="3.2"/>
    <m/>
    <s v="Poor"/>
    <s v="Never"/>
    <s v="Failing"/>
    <n v="2.33"/>
    <n v="8"/>
    <s v="Anxious"/>
    <s v="Rarely"/>
    <b v="0"/>
    <b v="0"/>
    <b v="1"/>
    <b v="0"/>
    <b v="1"/>
    <n v="3.6"/>
    <n v="5.8"/>
    <n v="5"/>
    <n v="5.2"/>
    <n v="103.72"/>
    <m/>
    <n v="2"/>
    <x v="3"/>
    <m/>
    <m/>
    <m/>
    <m/>
  </r>
  <r>
    <s v="GD0249"/>
    <n v="18"/>
    <x v="0"/>
    <x v="0"/>
    <x v="100"/>
    <x v="1"/>
    <x v="5"/>
    <s v="Final Fantasy XIV"/>
    <s v="Mobile"/>
    <n v="3.7"/>
    <m/>
    <s v="Very Poor"/>
    <s v="Sometimes"/>
    <s v="Poor"/>
    <n v="3.65"/>
    <m/>
    <s v="Euphoric"/>
    <s v="Never"/>
    <b v="1"/>
    <b v="1"/>
    <b v="1"/>
    <b v="0"/>
    <b v="1"/>
    <n v="1.4"/>
    <n v="5.8"/>
    <n v="6"/>
    <n v="6.3"/>
    <n v="89.41"/>
    <m/>
    <n v="6"/>
    <x v="0"/>
    <m/>
    <m/>
    <m/>
    <m/>
  </r>
  <r>
    <s v="GD0250"/>
    <n v="25"/>
    <x v="1"/>
    <x v="1"/>
    <x v="37"/>
    <x v="1"/>
    <x v="4"/>
    <s v="PUBG"/>
    <s v="Console"/>
    <n v="6.3"/>
    <m/>
    <s v="Poor"/>
    <s v="Always"/>
    <s v="Average"/>
    <m/>
    <n v="2"/>
    <s v="Irritable"/>
    <s v="Often"/>
    <b v="0"/>
    <b v="0"/>
    <b v="0"/>
    <b v="0"/>
    <b v="0"/>
    <n v="0.2"/>
    <n v="8.1999999999999993"/>
    <n v="2"/>
    <n v="12.4"/>
    <n v="17.57"/>
    <m/>
    <n v="9"/>
    <x v="1"/>
    <m/>
    <m/>
    <m/>
    <m/>
  </r>
  <r>
    <s v="GD0251"/>
    <n v="16"/>
    <x v="0"/>
    <x v="0"/>
    <x v="29"/>
    <x v="1"/>
    <x v="4"/>
    <s v="PUBG"/>
    <s v="Multi-platform"/>
    <n v="6"/>
    <m/>
    <s v="Very Poor"/>
    <s v="Sometimes"/>
    <s v="Below Average"/>
    <n v="3.2"/>
    <m/>
    <s v="Restless"/>
    <s v="Often"/>
    <b v="0"/>
    <b v="0"/>
    <b v="0"/>
    <b v="1"/>
    <b v="0"/>
    <n v="1.6"/>
    <n v="6.9"/>
    <n v="3"/>
    <n v="8.9"/>
    <n v="37.4"/>
    <m/>
    <n v="5"/>
    <x v="1"/>
    <m/>
    <m/>
    <m/>
    <m/>
  </r>
  <r>
    <s v="GD0252"/>
    <n v="20"/>
    <x v="1"/>
    <x v="0"/>
    <x v="24"/>
    <x v="1"/>
    <x v="1"/>
    <s v="Dota 2"/>
    <s v="PC"/>
    <n v="5"/>
    <m/>
    <s v="Poor"/>
    <s v="Often"/>
    <s v="Below Average"/>
    <n v="2.21"/>
    <n v="6"/>
    <s v="Restless"/>
    <s v="Sometimes"/>
    <b v="1"/>
    <b v="0"/>
    <b v="1"/>
    <b v="0"/>
    <b v="1"/>
    <n v="3.1"/>
    <n v="6.6"/>
    <n v="6"/>
    <n v="6.4"/>
    <n v="66.44"/>
    <m/>
    <n v="4"/>
    <x v="2"/>
    <m/>
    <m/>
    <m/>
    <m/>
  </r>
  <r>
    <s v="GD0253"/>
    <n v="18"/>
    <x v="0"/>
    <x v="1"/>
    <x v="13"/>
    <x v="1"/>
    <x v="0"/>
    <s v="Candy Crush"/>
    <s v="Mobile"/>
    <n v="4.7"/>
    <m/>
    <s v="Very Poor"/>
    <s v="Always"/>
    <s v="Excellent"/>
    <n v="2.27"/>
    <m/>
    <s v="Irritable"/>
    <s v="Never"/>
    <b v="1"/>
    <b v="1"/>
    <b v="0"/>
    <b v="1"/>
    <b v="0"/>
    <n v="2.8"/>
    <n v="6.4"/>
    <n v="5"/>
    <n v="5"/>
    <n v="81.739999999999995"/>
    <m/>
    <n v="6"/>
    <x v="2"/>
    <m/>
    <m/>
    <m/>
    <m/>
  </r>
  <r>
    <s v="GD0254"/>
    <n v="23"/>
    <x v="1"/>
    <x v="1"/>
    <x v="93"/>
    <x v="1"/>
    <x v="1"/>
    <s v="Mobile Legends"/>
    <s v="Console"/>
    <n v="8.6999999999999993"/>
    <m/>
    <s v="Fair"/>
    <s v="Sometimes"/>
    <s v="Excellent"/>
    <m/>
    <n v="10"/>
    <s v="Excited"/>
    <s v="Daily"/>
    <b v="0"/>
    <b v="0"/>
    <b v="0"/>
    <b v="0"/>
    <b v="0"/>
    <n v="0.5"/>
    <n v="10.6"/>
    <n v="1"/>
    <n v="13.7"/>
    <n v="20.74"/>
    <m/>
    <n v="11"/>
    <x v="1"/>
    <m/>
    <m/>
    <m/>
    <m/>
  </r>
  <r>
    <s v="GD0255"/>
    <n v="19"/>
    <x v="0"/>
    <x v="0"/>
    <x v="70"/>
    <x v="1"/>
    <x v="3"/>
    <s v="Cyberpunk 2077"/>
    <s v="Mobile"/>
    <n v="6.1"/>
    <m/>
    <s v="Fair"/>
    <s v="Rarely"/>
    <s v="Poor"/>
    <n v="1.05"/>
    <n v="1"/>
    <s v="Irritable"/>
    <s v="Daily"/>
    <b v="0"/>
    <b v="1"/>
    <b v="0"/>
    <b v="0"/>
    <b v="0"/>
    <n v="2.8"/>
    <n v="7.7"/>
    <n v="3"/>
    <n v="9.6999999999999993"/>
    <n v="149.11000000000001"/>
    <m/>
    <n v="7"/>
    <x v="3"/>
    <m/>
    <m/>
    <m/>
    <m/>
  </r>
  <r>
    <s v="GD0256"/>
    <n v="23"/>
    <x v="1"/>
    <x v="0"/>
    <x v="32"/>
    <x v="1"/>
    <x v="0"/>
    <s v="PUBG Mobile"/>
    <s v="PC"/>
    <n v="6.3"/>
    <m/>
    <s v="Fair"/>
    <s v="Often"/>
    <s v="Average"/>
    <m/>
    <n v="1"/>
    <s v="Depressed"/>
    <s v="Rarely"/>
    <b v="0"/>
    <b v="0"/>
    <b v="0"/>
    <b v="0"/>
    <b v="0"/>
    <n v="0.5"/>
    <n v="8.9"/>
    <n v="3"/>
    <n v="9.6999999999999993"/>
    <n v="14.36"/>
    <m/>
    <n v="8"/>
    <x v="1"/>
    <m/>
    <m/>
    <m/>
    <m/>
  </r>
  <r>
    <s v="GD0257"/>
    <n v="20"/>
    <x v="1"/>
    <x v="0"/>
    <x v="36"/>
    <x v="1"/>
    <x v="2"/>
    <s v="Overwatch"/>
    <s v="Console"/>
    <n v="4.7"/>
    <m/>
    <s v="Good"/>
    <s v="Often"/>
    <s v="Below Average"/>
    <n v="1.94"/>
    <n v="6"/>
    <s v="Withdrawn"/>
    <s v="Never"/>
    <b v="1"/>
    <b v="1"/>
    <b v="0"/>
    <b v="0"/>
    <b v="1"/>
    <n v="3.9"/>
    <n v="5.6"/>
    <n v="5"/>
    <n v="8"/>
    <n v="89.96"/>
    <m/>
    <n v="6"/>
    <x v="2"/>
    <m/>
    <m/>
    <m/>
    <m/>
  </r>
  <r>
    <s v="GD0258"/>
    <n v="27"/>
    <x v="1"/>
    <x v="0"/>
    <x v="102"/>
    <x v="1"/>
    <x v="6"/>
    <s v="StarCraft II"/>
    <s v="Multi-platform"/>
    <n v="3.4"/>
    <m/>
    <s v="Very Poor"/>
    <s v="Rarely"/>
    <s v="Failing"/>
    <m/>
    <n v="7"/>
    <s v="Anxious"/>
    <s v="Rarely"/>
    <b v="0"/>
    <b v="0"/>
    <b v="0"/>
    <b v="1"/>
    <b v="1"/>
    <n v="4.4000000000000004"/>
    <n v="2.9"/>
    <n v="9"/>
    <n v="0"/>
    <n v="73.8"/>
    <m/>
    <n v="10"/>
    <x v="3"/>
    <m/>
    <m/>
    <m/>
    <m/>
  </r>
  <r>
    <s v="GD0259"/>
    <n v="15"/>
    <x v="0"/>
    <x v="0"/>
    <x v="50"/>
    <x v="1"/>
    <x v="6"/>
    <s v="Age of Empires"/>
    <s v="Multi-platform"/>
    <n v="5.7"/>
    <m/>
    <s v="Fair"/>
    <s v="Sometimes"/>
    <s v="Poor"/>
    <n v="3.72"/>
    <m/>
    <s v="Restless"/>
    <s v="Never"/>
    <b v="0"/>
    <b v="0"/>
    <b v="0"/>
    <b v="1"/>
    <b v="1"/>
    <n v="1.5"/>
    <n v="0.7"/>
    <n v="9"/>
    <n v="0"/>
    <n v="435.38"/>
    <m/>
    <n v="2"/>
    <x v="3"/>
    <m/>
    <m/>
    <m/>
    <m/>
  </r>
  <r>
    <s v="GD0260"/>
    <n v="13"/>
    <x v="0"/>
    <x v="1"/>
    <x v="21"/>
    <x v="1"/>
    <x v="0"/>
    <s v="PUBG Mobile"/>
    <s v="Multi-platform"/>
    <n v="5.5"/>
    <m/>
    <s v="Fair"/>
    <s v="Always"/>
    <s v="Average"/>
    <n v="3.1"/>
    <m/>
    <s v="Normal"/>
    <s v="Never"/>
    <b v="0"/>
    <b v="0"/>
    <b v="0"/>
    <b v="1"/>
    <b v="0"/>
    <n v="1.3"/>
    <n v="8.9"/>
    <n v="3"/>
    <n v="8.8000000000000007"/>
    <n v="92.86"/>
    <m/>
    <n v="3"/>
    <x v="1"/>
    <m/>
    <m/>
    <m/>
    <m/>
  </r>
  <r>
    <s v="GD0261"/>
    <n v="19"/>
    <x v="0"/>
    <x v="0"/>
    <x v="83"/>
    <x v="1"/>
    <x v="1"/>
    <s v="League of Legends"/>
    <s v="Console"/>
    <n v="5.5"/>
    <m/>
    <s v="Good"/>
    <s v="Always"/>
    <s v="Failing"/>
    <n v="3.07"/>
    <n v="7"/>
    <s v="Anxious"/>
    <s v="Often"/>
    <b v="1"/>
    <b v="1"/>
    <b v="0"/>
    <b v="0"/>
    <b v="0"/>
    <n v="2.2000000000000002"/>
    <n v="2.5"/>
    <n v="5"/>
    <n v="0.3"/>
    <n v="435.3"/>
    <m/>
    <n v="1"/>
    <x v="0"/>
    <m/>
    <m/>
    <m/>
    <m/>
  </r>
  <r>
    <s v="GD0262"/>
    <n v="26"/>
    <x v="1"/>
    <x v="0"/>
    <x v="96"/>
    <x v="1"/>
    <x v="0"/>
    <s v="PUBG Mobile"/>
    <s v="PC"/>
    <n v="5"/>
    <m/>
    <s v="Fair"/>
    <s v="Always"/>
    <s v="Good"/>
    <m/>
    <n v="1"/>
    <s v="Restless"/>
    <s v="Daily"/>
    <b v="0"/>
    <b v="0"/>
    <b v="0"/>
    <b v="0"/>
    <b v="0"/>
    <n v="1.8"/>
    <n v="6.2"/>
    <n v="3"/>
    <n v="7.4"/>
    <n v="18.82"/>
    <m/>
    <n v="1"/>
    <x v="1"/>
    <m/>
    <m/>
    <m/>
    <m/>
  </r>
  <r>
    <s v="GD0263"/>
    <n v="26"/>
    <x v="1"/>
    <x v="1"/>
    <x v="24"/>
    <x v="1"/>
    <x v="0"/>
    <s v="Clash of Clans"/>
    <s v="Multi-platform"/>
    <n v="4.0999999999999996"/>
    <m/>
    <s v="Very Poor"/>
    <s v="Often"/>
    <s v="Average"/>
    <m/>
    <n v="9"/>
    <s v="Anxious"/>
    <s v="Daily"/>
    <b v="0"/>
    <b v="0"/>
    <b v="0"/>
    <b v="0"/>
    <b v="1"/>
    <n v="0.2"/>
    <n v="7"/>
    <n v="5"/>
    <n v="8"/>
    <n v="134.24"/>
    <m/>
    <n v="14"/>
    <x v="1"/>
    <m/>
    <m/>
    <m/>
    <m/>
  </r>
  <r>
    <s v="GD0264"/>
    <n v="20"/>
    <x v="1"/>
    <x v="0"/>
    <x v="7"/>
    <x v="1"/>
    <x v="5"/>
    <s v="Elder Scrolls Online"/>
    <s v="Mobile"/>
    <n v="3.2"/>
    <m/>
    <s v="Very Poor"/>
    <s v="Often"/>
    <s v="Below Average"/>
    <n v="1.53"/>
    <n v="9"/>
    <s v="Euphoric"/>
    <s v="Sometimes"/>
    <b v="0"/>
    <b v="1"/>
    <b v="0"/>
    <b v="0"/>
    <b v="1"/>
    <n v="0.1"/>
    <n v="4.3"/>
    <n v="7"/>
    <n v="4.2"/>
    <n v="266.35000000000002"/>
    <m/>
    <n v="7"/>
    <x v="2"/>
    <m/>
    <m/>
    <m/>
    <m/>
  </r>
  <r>
    <s v="GD0265"/>
    <n v="17"/>
    <x v="0"/>
    <x v="0"/>
    <x v="59"/>
    <x v="1"/>
    <x v="3"/>
    <s v="Elden Ring"/>
    <s v="Console"/>
    <n v="4.8"/>
    <m/>
    <s v="Very Poor"/>
    <s v="Often"/>
    <s v="Average"/>
    <n v="1.6"/>
    <m/>
    <s v="Anxious"/>
    <s v="Rarely"/>
    <b v="1"/>
    <b v="0"/>
    <b v="1"/>
    <b v="1"/>
    <b v="1"/>
    <n v="3.2"/>
    <n v="6.6"/>
    <n v="8"/>
    <n v="4.0999999999999996"/>
    <n v="366.44"/>
    <m/>
    <n v="4"/>
    <x v="0"/>
    <m/>
    <m/>
    <m/>
    <m/>
  </r>
  <r>
    <s v="GD0266"/>
    <n v="16"/>
    <x v="0"/>
    <x v="0"/>
    <x v="75"/>
    <x v="1"/>
    <x v="0"/>
    <s v="PUBG Mobile"/>
    <s v="PC"/>
    <n v="3.3"/>
    <m/>
    <s v="Very Poor"/>
    <s v="Rarely"/>
    <s v="Poor"/>
    <n v="2.69"/>
    <m/>
    <s v="Restless"/>
    <s v="Often"/>
    <b v="1"/>
    <b v="1"/>
    <b v="0"/>
    <b v="1"/>
    <b v="0"/>
    <n v="2.7"/>
    <n v="4.8"/>
    <n v="10"/>
    <n v="1.1000000000000001"/>
    <n v="270.57"/>
    <m/>
    <n v="5"/>
    <x v="0"/>
    <m/>
    <m/>
    <m/>
    <m/>
  </r>
  <r>
    <s v="GD0267"/>
    <n v="13"/>
    <x v="0"/>
    <x v="0"/>
    <x v="67"/>
    <x v="1"/>
    <x v="3"/>
    <s v="Cyberpunk 2077"/>
    <s v="Console"/>
    <n v="4.5"/>
    <m/>
    <s v="Poor"/>
    <s v="Sometimes"/>
    <s v="Below Average"/>
    <n v="2.0499999999999998"/>
    <m/>
    <s v="Restless"/>
    <s v="Rarely"/>
    <b v="1"/>
    <b v="1"/>
    <b v="0"/>
    <b v="1"/>
    <b v="1"/>
    <n v="4.5999999999999996"/>
    <n v="6.2"/>
    <n v="8"/>
    <n v="2.7"/>
    <n v="418.07"/>
    <m/>
    <n v="1"/>
    <x v="0"/>
    <m/>
    <m/>
    <m/>
    <m/>
  </r>
  <r>
    <s v="GD0268"/>
    <n v="20"/>
    <x v="1"/>
    <x v="1"/>
    <x v="62"/>
    <x v="1"/>
    <x v="0"/>
    <s v="Candy Crush"/>
    <s v="Multi-platform"/>
    <n v="4.3"/>
    <m/>
    <s v="Very Poor"/>
    <s v="Rarely"/>
    <s v="Poor"/>
    <n v="1.41"/>
    <n v="2"/>
    <s v="Withdrawn"/>
    <s v="Daily"/>
    <b v="1"/>
    <b v="1"/>
    <b v="0"/>
    <b v="1"/>
    <b v="0"/>
    <n v="5"/>
    <n v="7.5"/>
    <n v="4"/>
    <n v="3.6"/>
    <n v="83.3"/>
    <m/>
    <n v="7"/>
    <x v="2"/>
    <m/>
    <m/>
    <m/>
    <m/>
  </r>
  <r>
    <s v="GD0269"/>
    <n v="32"/>
    <x v="2"/>
    <x v="1"/>
    <x v="28"/>
    <x v="1"/>
    <x v="2"/>
    <s v="CS:GO"/>
    <s v="PC"/>
    <n v="3.7"/>
    <m/>
    <s v="Poor"/>
    <s v="Rarely"/>
    <s v="Average"/>
    <m/>
    <n v="3"/>
    <s v="Irritable"/>
    <s v="Often"/>
    <b v="1"/>
    <b v="1"/>
    <b v="0"/>
    <b v="1"/>
    <b v="1"/>
    <n v="0.9"/>
    <n v="5.2"/>
    <n v="6"/>
    <n v="9.4"/>
    <n v="77.47"/>
    <m/>
    <n v="6"/>
    <x v="2"/>
    <m/>
    <m/>
    <m/>
    <m/>
  </r>
  <r>
    <s v="GD0270"/>
    <n v="20"/>
    <x v="1"/>
    <x v="1"/>
    <x v="30"/>
    <x v="1"/>
    <x v="2"/>
    <s v="Valorant"/>
    <s v="Console"/>
    <n v="8"/>
    <m/>
    <s v="Good"/>
    <s v="Never"/>
    <s v="Below Average"/>
    <n v="1.18"/>
    <n v="4"/>
    <s v="Excited"/>
    <s v="Daily"/>
    <b v="0"/>
    <b v="0"/>
    <b v="0"/>
    <b v="0"/>
    <b v="0"/>
    <n v="1.3"/>
    <n v="6.5"/>
    <n v="3"/>
    <n v="10"/>
    <n v="13.4"/>
    <m/>
    <n v="9"/>
    <x v="1"/>
    <m/>
    <m/>
    <m/>
    <m/>
  </r>
  <r>
    <s v="GD0271"/>
    <n v="25"/>
    <x v="1"/>
    <x v="1"/>
    <x v="103"/>
    <x v="1"/>
    <x v="4"/>
    <s v="Warzone"/>
    <s v="PC"/>
    <n v="4.8"/>
    <m/>
    <s v="Very Poor"/>
    <s v="Sometimes"/>
    <s v="Average"/>
    <m/>
    <n v="2"/>
    <s v="Euphoric"/>
    <s v="Rarely"/>
    <b v="1"/>
    <b v="1"/>
    <b v="1"/>
    <b v="1"/>
    <b v="1"/>
    <n v="0.5"/>
    <n v="4.5"/>
    <n v="7"/>
    <n v="0"/>
    <n v="438.13"/>
    <m/>
    <n v="3"/>
    <x v="0"/>
    <m/>
    <m/>
    <m/>
    <m/>
  </r>
  <r>
    <s v="GD0272"/>
    <n v="30"/>
    <x v="1"/>
    <x v="0"/>
    <x v="54"/>
    <x v="1"/>
    <x v="1"/>
    <s v="Mobile Legends"/>
    <s v="Multi-platform"/>
    <n v="6.9"/>
    <m/>
    <s v="Fair"/>
    <s v="Rarely"/>
    <s v="Average"/>
    <m/>
    <n v="9"/>
    <s v="Irritable"/>
    <s v="Sometimes"/>
    <b v="0"/>
    <b v="0"/>
    <b v="0"/>
    <b v="1"/>
    <b v="0"/>
    <n v="1"/>
    <n v="7.1"/>
    <n v="4"/>
    <n v="10.5"/>
    <n v="106.3"/>
    <m/>
    <n v="12"/>
    <x v="1"/>
    <m/>
    <m/>
    <m/>
    <m/>
  </r>
  <r>
    <s v="GD0273"/>
    <n v="27"/>
    <x v="1"/>
    <x v="1"/>
    <x v="66"/>
    <x v="1"/>
    <x v="2"/>
    <s v="CS:GO"/>
    <s v="Multi-platform"/>
    <n v="5.3"/>
    <m/>
    <s v="Good"/>
    <s v="Sometimes"/>
    <s v="Average"/>
    <m/>
    <n v="7"/>
    <s v="Depressed"/>
    <s v="Often"/>
    <b v="0"/>
    <b v="0"/>
    <b v="0"/>
    <b v="0"/>
    <b v="0"/>
    <n v="1"/>
    <n v="9.5"/>
    <n v="3"/>
    <n v="11.3"/>
    <n v="106.06"/>
    <m/>
    <n v="8"/>
    <x v="1"/>
    <m/>
    <m/>
    <m/>
    <m/>
  </r>
  <r>
    <s v="GD0274"/>
    <n v="17"/>
    <x v="0"/>
    <x v="0"/>
    <x v="82"/>
    <x v="1"/>
    <x v="2"/>
    <s v="CS:GO"/>
    <s v="Mobile"/>
    <n v="6.5"/>
    <m/>
    <s v="Fair"/>
    <s v="Sometimes"/>
    <s v="Average"/>
    <n v="2.1800000000000002"/>
    <m/>
    <s v="Euphoric"/>
    <s v="Never"/>
    <b v="0"/>
    <b v="0"/>
    <b v="0"/>
    <b v="1"/>
    <b v="0"/>
    <n v="2"/>
    <n v="6.1"/>
    <n v="1"/>
    <n v="6.5"/>
    <n v="122.21"/>
    <m/>
    <n v="3"/>
    <x v="1"/>
    <m/>
    <m/>
    <m/>
    <m/>
  </r>
  <r>
    <s v="GD0275"/>
    <n v="25"/>
    <x v="1"/>
    <x v="1"/>
    <x v="16"/>
    <x v="1"/>
    <x v="3"/>
    <s v="Cyberpunk 2077"/>
    <s v="Mobile"/>
    <n v="4.8"/>
    <m/>
    <s v="Poor"/>
    <s v="Sometimes"/>
    <s v="Below Average"/>
    <m/>
    <n v="9"/>
    <s v="Depressed"/>
    <s v="Rarely"/>
    <b v="0"/>
    <b v="0"/>
    <b v="0"/>
    <b v="1"/>
    <b v="1"/>
    <n v="1.7"/>
    <n v="7.4"/>
    <n v="6"/>
    <n v="4.4000000000000004"/>
    <n v="469.94"/>
    <m/>
    <n v="3"/>
    <x v="3"/>
    <m/>
    <m/>
    <m/>
    <m/>
  </r>
  <r>
    <s v="GD0276"/>
    <n v="24"/>
    <x v="1"/>
    <x v="0"/>
    <x v="100"/>
    <x v="1"/>
    <x v="0"/>
    <s v="Clash of Clans"/>
    <s v="Mobile"/>
    <n v="4.8"/>
    <m/>
    <s v="Poor"/>
    <s v="Always"/>
    <s v="Below Average"/>
    <m/>
    <n v="10"/>
    <s v="Irritable"/>
    <s v="Daily"/>
    <b v="0"/>
    <b v="0"/>
    <b v="0"/>
    <b v="1"/>
    <b v="0"/>
    <n v="0.2"/>
    <n v="5.2"/>
    <n v="5"/>
    <n v="7.6"/>
    <n v="93.67"/>
    <m/>
    <n v="5"/>
    <x v="1"/>
    <m/>
    <m/>
    <m/>
    <m/>
  </r>
  <r>
    <s v="GD0277"/>
    <n v="22"/>
    <x v="1"/>
    <x v="1"/>
    <x v="11"/>
    <x v="1"/>
    <x v="3"/>
    <s v="Skyrim"/>
    <s v="Console"/>
    <n v="6.7"/>
    <m/>
    <s v="Good"/>
    <s v="Rarely"/>
    <s v="Average"/>
    <n v="2.54"/>
    <n v="2"/>
    <s v="Angry"/>
    <s v="Often"/>
    <b v="0"/>
    <b v="0"/>
    <b v="0"/>
    <b v="1"/>
    <b v="0"/>
    <n v="0.4"/>
    <n v="5.7"/>
    <n v="3"/>
    <n v="9.8000000000000007"/>
    <n v="24.45"/>
    <m/>
    <n v="1"/>
    <x v="1"/>
    <m/>
    <m/>
    <m/>
    <m/>
  </r>
  <r>
    <s v="GD0278"/>
    <n v="19"/>
    <x v="0"/>
    <x v="1"/>
    <x v="104"/>
    <x v="1"/>
    <x v="3"/>
    <s v="Cyberpunk 2077"/>
    <s v="Mobile"/>
    <n v="7.4"/>
    <m/>
    <s v="Good"/>
    <s v="Sometimes"/>
    <s v="Good"/>
    <n v="1.1399999999999999"/>
    <n v="8"/>
    <s v="Angry"/>
    <s v="Never"/>
    <b v="0"/>
    <b v="0"/>
    <b v="0"/>
    <b v="0"/>
    <b v="0"/>
    <n v="0.5"/>
    <n v="7.4"/>
    <n v="2"/>
    <n v="15.3"/>
    <n v="23.64"/>
    <m/>
    <n v="2"/>
    <x v="1"/>
    <m/>
    <m/>
    <m/>
    <m/>
  </r>
  <r>
    <s v="GD0279"/>
    <n v="15"/>
    <x v="0"/>
    <x v="0"/>
    <x v="95"/>
    <x v="1"/>
    <x v="0"/>
    <s v="Genshin Impact"/>
    <s v="PC"/>
    <n v="5.4"/>
    <m/>
    <s v="Fair"/>
    <s v="Always"/>
    <s v="Below Average"/>
    <n v="2.6"/>
    <m/>
    <s v="Depressed"/>
    <s v="Often"/>
    <b v="1"/>
    <b v="1"/>
    <b v="0"/>
    <b v="0"/>
    <b v="1"/>
    <n v="0.7"/>
    <n v="7"/>
    <n v="7"/>
    <n v="7.1"/>
    <n v="83.42"/>
    <m/>
    <n v="1"/>
    <x v="0"/>
    <m/>
    <m/>
    <m/>
    <m/>
  </r>
  <r>
    <s v="GD0280"/>
    <n v="16"/>
    <x v="0"/>
    <x v="0"/>
    <x v="105"/>
    <x v="1"/>
    <x v="3"/>
    <s v="Skyrim"/>
    <s v="Mobile"/>
    <n v="8.5"/>
    <m/>
    <s v="Fair"/>
    <s v="Always"/>
    <s v="Good"/>
    <n v="2.0099999999999998"/>
    <m/>
    <s v="Normal"/>
    <s v="Often"/>
    <b v="0"/>
    <b v="0"/>
    <b v="0"/>
    <b v="0"/>
    <b v="0"/>
    <n v="0.5"/>
    <n v="10.1"/>
    <n v="1"/>
    <n v="11.8"/>
    <n v="35"/>
    <m/>
    <n v="6"/>
    <x v="1"/>
    <m/>
    <m/>
    <m/>
    <m/>
  </r>
  <r>
    <s v="GD0281"/>
    <n v="26"/>
    <x v="1"/>
    <x v="1"/>
    <x v="68"/>
    <x v="1"/>
    <x v="4"/>
    <s v="PUBG"/>
    <s v="PC"/>
    <n v="9"/>
    <m/>
    <s v="Fair"/>
    <s v="Always"/>
    <s v="Good"/>
    <m/>
    <n v="6"/>
    <s v="Normal"/>
    <s v="Daily"/>
    <b v="0"/>
    <b v="0"/>
    <b v="0"/>
    <b v="0"/>
    <b v="0"/>
    <n v="0.8"/>
    <n v="9.6999999999999993"/>
    <n v="3"/>
    <n v="14.3"/>
    <n v="33.83"/>
    <m/>
    <n v="14"/>
    <x v="1"/>
    <m/>
    <m/>
    <m/>
    <m/>
  </r>
  <r>
    <s v="GD0282"/>
    <n v="28"/>
    <x v="1"/>
    <x v="0"/>
    <x v="40"/>
    <x v="1"/>
    <x v="4"/>
    <s v="PUBG"/>
    <s v="Multi-platform"/>
    <n v="6.5"/>
    <m/>
    <s v="Fair"/>
    <s v="Always"/>
    <s v="Average"/>
    <m/>
    <n v="10"/>
    <s v="Withdrawn"/>
    <s v="Rarely"/>
    <b v="0"/>
    <b v="0"/>
    <b v="0"/>
    <b v="0"/>
    <b v="0"/>
    <n v="0.7"/>
    <n v="7.6"/>
    <n v="1"/>
    <n v="7.7"/>
    <n v="2.0099999999999998"/>
    <m/>
    <n v="7"/>
    <x v="1"/>
    <m/>
    <m/>
    <m/>
    <m/>
  </r>
  <r>
    <s v="GD0283"/>
    <n v="16"/>
    <x v="0"/>
    <x v="0"/>
    <x v="106"/>
    <x v="1"/>
    <x v="2"/>
    <s v="CS:GO"/>
    <s v="PC"/>
    <n v="3.7"/>
    <m/>
    <s v="Good"/>
    <s v="Often"/>
    <s v="Below Average"/>
    <n v="3.99"/>
    <m/>
    <s v="Withdrawn"/>
    <s v="Never"/>
    <b v="0"/>
    <b v="0"/>
    <b v="1"/>
    <b v="1"/>
    <b v="0"/>
    <n v="1.9"/>
    <n v="4.5"/>
    <n v="5"/>
    <n v="3.4"/>
    <n v="257"/>
    <m/>
    <n v="4"/>
    <x v="2"/>
    <m/>
    <m/>
    <m/>
    <m/>
  </r>
  <r>
    <s v="GD0284"/>
    <n v="17"/>
    <x v="0"/>
    <x v="0"/>
    <x v="19"/>
    <x v="1"/>
    <x v="2"/>
    <s v="Call of Duty"/>
    <s v="Console"/>
    <n v="5"/>
    <m/>
    <s v="Fair"/>
    <s v="Rarely"/>
    <s v="Below Average"/>
    <n v="3.66"/>
    <m/>
    <s v="Angry"/>
    <s v="Rarely"/>
    <b v="0"/>
    <b v="1"/>
    <b v="0"/>
    <b v="1"/>
    <b v="0"/>
    <n v="1.8"/>
    <n v="7.3"/>
    <n v="6"/>
    <n v="10.1"/>
    <n v="33.479999999999997"/>
    <m/>
    <n v="3"/>
    <x v="3"/>
    <m/>
    <m/>
    <m/>
    <m/>
  </r>
  <r>
    <s v="GD0285"/>
    <n v="19"/>
    <x v="0"/>
    <x v="0"/>
    <x v="34"/>
    <x v="1"/>
    <x v="1"/>
    <s v="League of Legends"/>
    <s v="Mobile"/>
    <n v="5.4"/>
    <m/>
    <s v="Fair"/>
    <s v="Sometimes"/>
    <s v="Poor"/>
    <n v="1.0900000000000001"/>
    <n v="6"/>
    <s v="Withdrawn"/>
    <s v="Often"/>
    <b v="1"/>
    <b v="0"/>
    <b v="0"/>
    <b v="1"/>
    <b v="1"/>
    <n v="1"/>
    <n v="7.1"/>
    <n v="4"/>
    <n v="2.9"/>
    <n v="18.98"/>
    <m/>
    <n v="8"/>
    <x v="3"/>
    <m/>
    <m/>
    <m/>
    <m/>
  </r>
  <r>
    <s v="GD0286"/>
    <n v="22"/>
    <x v="1"/>
    <x v="0"/>
    <x v="107"/>
    <x v="1"/>
    <x v="4"/>
    <s v="Warzone"/>
    <s v="Console"/>
    <n v="5.4"/>
    <m/>
    <s v="Good"/>
    <s v="Always"/>
    <s v="Average"/>
    <n v="1.69"/>
    <n v="5"/>
    <s v="Depressed"/>
    <s v="Often"/>
    <b v="0"/>
    <b v="0"/>
    <b v="0"/>
    <b v="0"/>
    <b v="0"/>
    <n v="1"/>
    <n v="10"/>
    <n v="3"/>
    <n v="9.4"/>
    <n v="31.5"/>
    <m/>
    <n v="8"/>
    <x v="1"/>
    <m/>
    <m/>
    <m/>
    <m/>
  </r>
  <r>
    <s v="GD0287"/>
    <n v="20"/>
    <x v="1"/>
    <x v="0"/>
    <x v="85"/>
    <x v="1"/>
    <x v="5"/>
    <s v="Elder Scrolls Online"/>
    <s v="Mobile"/>
    <n v="8.1"/>
    <m/>
    <s v="Good"/>
    <s v="Never"/>
    <s v="Good"/>
    <n v="1.1499999999999999"/>
    <n v="5"/>
    <s v="Excited"/>
    <s v="Rarely"/>
    <b v="0"/>
    <b v="0"/>
    <b v="0"/>
    <b v="0"/>
    <b v="0"/>
    <n v="1.2"/>
    <n v="8.8000000000000007"/>
    <n v="2"/>
    <n v="12.5"/>
    <n v="0.65"/>
    <m/>
    <n v="8"/>
    <x v="1"/>
    <m/>
    <m/>
    <m/>
    <m/>
  </r>
  <r>
    <s v="GD0288"/>
    <n v="17"/>
    <x v="0"/>
    <x v="0"/>
    <x v="71"/>
    <x v="1"/>
    <x v="2"/>
    <s v="Overwatch"/>
    <s v="PC"/>
    <n v="6.1"/>
    <m/>
    <s v="Very Poor"/>
    <s v="Rarely"/>
    <s v="Good"/>
    <n v="1.08"/>
    <m/>
    <s v="Restless"/>
    <s v="Sometimes"/>
    <b v="0"/>
    <b v="0"/>
    <b v="0"/>
    <b v="0"/>
    <b v="0"/>
    <n v="0.9"/>
    <n v="6.4"/>
    <n v="3"/>
    <n v="10.199999999999999"/>
    <n v="15.92"/>
    <m/>
    <n v="5"/>
    <x v="1"/>
    <m/>
    <m/>
    <m/>
    <m/>
  </r>
  <r>
    <s v="GD0289"/>
    <n v="21"/>
    <x v="1"/>
    <x v="0"/>
    <x v="96"/>
    <x v="1"/>
    <x v="2"/>
    <s v="CS:GO"/>
    <s v="PC"/>
    <n v="6.9"/>
    <m/>
    <s v="Fair"/>
    <s v="Often"/>
    <s v="Excellent"/>
    <n v="2.74"/>
    <n v="4"/>
    <s v="Euphoric"/>
    <s v="Often"/>
    <b v="0"/>
    <b v="0"/>
    <b v="0"/>
    <b v="0"/>
    <b v="0"/>
    <n v="0.3"/>
    <n v="6.1"/>
    <n v="3"/>
    <n v="7.5"/>
    <n v="44.68"/>
    <m/>
    <n v="3"/>
    <x v="1"/>
    <m/>
    <m/>
    <m/>
    <m/>
  </r>
  <r>
    <s v="GD0290"/>
    <n v="21"/>
    <x v="1"/>
    <x v="1"/>
    <x v="104"/>
    <x v="1"/>
    <x v="2"/>
    <s v="Valorant"/>
    <s v="Multi-platform"/>
    <n v="8.6999999999999993"/>
    <m/>
    <s v="Good"/>
    <s v="Rarely"/>
    <s v="Good"/>
    <n v="3.9"/>
    <n v="3"/>
    <s v="Withdrawn"/>
    <s v="Never"/>
    <b v="0"/>
    <b v="0"/>
    <b v="0"/>
    <b v="0"/>
    <b v="0"/>
    <n v="0.1"/>
    <n v="9.6999999999999993"/>
    <n v="1"/>
    <n v="14.5"/>
    <n v="16.75"/>
    <m/>
    <n v="7"/>
    <x v="1"/>
    <m/>
    <m/>
    <m/>
    <m/>
  </r>
  <r>
    <s v="GD0291"/>
    <n v="18"/>
    <x v="0"/>
    <x v="0"/>
    <x v="84"/>
    <x v="1"/>
    <x v="2"/>
    <s v="Call of Duty"/>
    <s v="PC"/>
    <n v="3.6"/>
    <m/>
    <s v="Poor"/>
    <s v="Never"/>
    <s v="Poor"/>
    <n v="1.39"/>
    <m/>
    <s v="Withdrawn"/>
    <s v="Rarely"/>
    <b v="0"/>
    <b v="0"/>
    <b v="0"/>
    <b v="0"/>
    <b v="0"/>
    <n v="0.5"/>
    <n v="7.5"/>
    <n v="4"/>
    <n v="5.4"/>
    <n v="148.22"/>
    <m/>
    <n v="5"/>
    <x v="1"/>
    <m/>
    <m/>
    <m/>
    <m/>
  </r>
  <r>
    <s v="GD0292"/>
    <n v="19"/>
    <x v="0"/>
    <x v="0"/>
    <x v="99"/>
    <x v="1"/>
    <x v="4"/>
    <s v="PUBG"/>
    <s v="Multi-platform"/>
    <n v="5.3"/>
    <m/>
    <s v="Fair"/>
    <s v="Often"/>
    <s v="Below Average"/>
    <n v="2.36"/>
    <n v="5"/>
    <s v="Irritable"/>
    <s v="Never"/>
    <b v="0"/>
    <b v="0"/>
    <b v="0"/>
    <b v="0"/>
    <b v="0"/>
    <n v="0.4"/>
    <n v="8.1"/>
    <n v="2"/>
    <n v="11.5"/>
    <n v="36.57"/>
    <m/>
    <n v="3"/>
    <x v="1"/>
    <m/>
    <m/>
    <m/>
    <m/>
  </r>
  <r>
    <s v="GD0293"/>
    <n v="20"/>
    <x v="1"/>
    <x v="0"/>
    <x v="37"/>
    <x v="1"/>
    <x v="1"/>
    <s v="League of Legends"/>
    <s v="Mobile"/>
    <n v="6.7"/>
    <m/>
    <s v="Good"/>
    <s v="Never"/>
    <s v="Below Average"/>
    <n v="3.88"/>
    <n v="8"/>
    <s v="Irritable"/>
    <s v="Often"/>
    <b v="0"/>
    <b v="0"/>
    <b v="0"/>
    <b v="0"/>
    <b v="0"/>
    <n v="0.1"/>
    <n v="7"/>
    <n v="3"/>
    <n v="12.1"/>
    <n v="42.46"/>
    <m/>
    <n v="2"/>
    <x v="1"/>
    <m/>
    <m/>
    <m/>
    <m/>
  </r>
  <r>
    <s v="GD0294"/>
    <n v="34"/>
    <x v="2"/>
    <x v="0"/>
    <x v="30"/>
    <x v="1"/>
    <x v="6"/>
    <s v="StarCraft II"/>
    <s v="PC"/>
    <n v="7.1"/>
    <m/>
    <s v="Good"/>
    <s v="Sometimes"/>
    <s v="Excellent"/>
    <m/>
    <n v="2"/>
    <s v="Anxious"/>
    <s v="Rarely"/>
    <b v="0"/>
    <b v="0"/>
    <b v="0"/>
    <b v="0"/>
    <b v="0"/>
    <n v="0.9"/>
    <n v="9.9"/>
    <n v="2"/>
    <n v="13.5"/>
    <n v="4.3499999999999996"/>
    <m/>
    <n v="16"/>
    <x v="1"/>
    <m/>
    <m/>
    <m/>
    <m/>
  </r>
  <r>
    <s v="GD0295"/>
    <n v="20"/>
    <x v="1"/>
    <x v="0"/>
    <x v="15"/>
    <x v="1"/>
    <x v="5"/>
    <s v="World of Warcraft"/>
    <s v="Mobile"/>
    <n v="4.3"/>
    <m/>
    <s v="Fair"/>
    <s v="Sometimes"/>
    <s v="Below Average"/>
    <n v="2"/>
    <n v="4"/>
    <s v="Angry"/>
    <s v="Rarely"/>
    <b v="1"/>
    <b v="1"/>
    <b v="0"/>
    <b v="1"/>
    <b v="1"/>
    <n v="0.9"/>
    <n v="4.0999999999999996"/>
    <n v="5"/>
    <n v="3"/>
    <n v="18.07"/>
    <m/>
    <n v="1"/>
    <x v="2"/>
    <m/>
    <m/>
    <m/>
    <m/>
  </r>
  <r>
    <s v="GD0296"/>
    <n v="19"/>
    <x v="0"/>
    <x v="1"/>
    <x v="66"/>
    <x v="1"/>
    <x v="1"/>
    <s v="Mobile Legends"/>
    <s v="Console"/>
    <n v="6.4"/>
    <m/>
    <s v="Fair"/>
    <s v="Rarely"/>
    <s v="Average"/>
    <n v="2.94"/>
    <n v="3"/>
    <s v="Irritable"/>
    <s v="Never"/>
    <b v="0"/>
    <b v="0"/>
    <b v="0"/>
    <b v="1"/>
    <b v="0"/>
    <n v="0.2"/>
    <n v="6.7"/>
    <n v="3"/>
    <n v="11.1"/>
    <n v="144.36000000000001"/>
    <m/>
    <n v="7"/>
    <x v="1"/>
    <m/>
    <m/>
    <m/>
    <m/>
  </r>
  <r>
    <s v="GD0297"/>
    <n v="13"/>
    <x v="0"/>
    <x v="0"/>
    <x v="38"/>
    <x v="1"/>
    <x v="5"/>
    <s v="Elder Scrolls Online"/>
    <s v="Console"/>
    <n v="5.7"/>
    <m/>
    <s v="Very Poor"/>
    <s v="Always"/>
    <s v="Average"/>
    <n v="2.61"/>
    <m/>
    <s v="Irritable"/>
    <s v="Often"/>
    <b v="0"/>
    <b v="0"/>
    <b v="0"/>
    <b v="1"/>
    <b v="1"/>
    <n v="1.1000000000000001"/>
    <n v="6.6"/>
    <n v="4"/>
    <n v="10.4"/>
    <n v="75.94"/>
    <m/>
    <n v="3"/>
    <x v="1"/>
    <m/>
    <m/>
    <m/>
    <m/>
  </r>
  <r>
    <s v="GD0298"/>
    <n v="21"/>
    <x v="1"/>
    <x v="0"/>
    <x v="108"/>
    <x v="1"/>
    <x v="1"/>
    <s v="Dota 2"/>
    <s v="PC"/>
    <n v="3.2"/>
    <m/>
    <s v="Very Poor"/>
    <s v="Sometimes"/>
    <s v="Below Average"/>
    <n v="3.75"/>
    <n v="6"/>
    <s v="Restless"/>
    <s v="Daily"/>
    <b v="1"/>
    <b v="1"/>
    <b v="1"/>
    <b v="1"/>
    <b v="0"/>
    <n v="2.8"/>
    <n v="6.5"/>
    <n v="8"/>
    <n v="4.7"/>
    <n v="394.83"/>
    <m/>
    <n v="6"/>
    <x v="0"/>
    <m/>
    <m/>
    <m/>
    <m/>
  </r>
  <r>
    <s v="GD0299"/>
    <n v="20"/>
    <x v="1"/>
    <x v="0"/>
    <x v="2"/>
    <x v="1"/>
    <x v="4"/>
    <s v="Apex Legends"/>
    <s v="Mobile"/>
    <n v="5.2"/>
    <m/>
    <s v="Fair"/>
    <s v="Rarely"/>
    <s v="Poor"/>
    <n v="1.45"/>
    <n v="7"/>
    <s v="Depressed"/>
    <s v="Rarely"/>
    <b v="1"/>
    <b v="0"/>
    <b v="1"/>
    <b v="1"/>
    <b v="0"/>
    <n v="2.1"/>
    <n v="5.7"/>
    <n v="7"/>
    <n v="3.7"/>
    <n v="49.2"/>
    <m/>
    <n v="7"/>
    <x v="2"/>
    <m/>
    <m/>
    <m/>
    <m/>
  </r>
  <r>
    <s v="GD0300"/>
    <n v="24"/>
    <x v="1"/>
    <x v="1"/>
    <x v="108"/>
    <x v="1"/>
    <x v="3"/>
    <s v="Cyberpunk 2077"/>
    <s v="PC"/>
    <n v="3.8"/>
    <m/>
    <s v="Poor"/>
    <s v="Never"/>
    <s v="Good"/>
    <m/>
    <n v="7"/>
    <s v="Irritable"/>
    <s v="Daily"/>
    <b v="1"/>
    <b v="1"/>
    <b v="0"/>
    <b v="1"/>
    <b v="1"/>
    <n v="1.7"/>
    <n v="5"/>
    <n v="7"/>
    <n v="6.9"/>
    <n v="142.09"/>
    <m/>
    <n v="12"/>
    <x v="0"/>
    <m/>
    <m/>
    <m/>
    <m/>
  </r>
  <r>
    <s v="GD0301"/>
    <n v="22"/>
    <x v="1"/>
    <x v="1"/>
    <x v="107"/>
    <x v="1"/>
    <x v="3"/>
    <s v="Cyberpunk 2077"/>
    <s v="Multi-platform"/>
    <n v="5.4"/>
    <m/>
    <s v="Poor"/>
    <s v="Never"/>
    <s v="Average"/>
    <n v="1.25"/>
    <n v="8"/>
    <s v="Irritable"/>
    <s v="Often"/>
    <b v="0"/>
    <b v="0"/>
    <b v="0"/>
    <b v="0"/>
    <b v="0"/>
    <n v="1.5"/>
    <n v="6.4"/>
    <n v="2"/>
    <n v="12.9"/>
    <n v="16.03"/>
    <m/>
    <n v="8"/>
    <x v="1"/>
    <m/>
    <m/>
    <m/>
    <m/>
  </r>
  <r>
    <s v="GD0302"/>
    <n v="17"/>
    <x v="0"/>
    <x v="0"/>
    <x v="38"/>
    <x v="1"/>
    <x v="5"/>
    <s v="Final Fantasy XIV"/>
    <s v="PC"/>
    <n v="6.4"/>
    <m/>
    <s v="Good"/>
    <s v="Never"/>
    <s v="Average"/>
    <n v="3.16"/>
    <m/>
    <s v="Anxious"/>
    <s v="Sometimes"/>
    <b v="0"/>
    <b v="1"/>
    <b v="0"/>
    <b v="0"/>
    <b v="1"/>
    <n v="1.5"/>
    <n v="5.9"/>
    <n v="5"/>
    <n v="10.199999999999999"/>
    <n v="144.07"/>
    <m/>
    <n v="5"/>
    <x v="3"/>
    <m/>
    <m/>
    <m/>
    <m/>
  </r>
  <r>
    <s v="GD0303"/>
    <n v="18"/>
    <x v="0"/>
    <x v="0"/>
    <x v="49"/>
    <x v="1"/>
    <x v="6"/>
    <s v="Age of Empires"/>
    <s v="Mobile"/>
    <n v="6.3"/>
    <m/>
    <s v="Poor"/>
    <s v="Sometimes"/>
    <s v="Good"/>
    <n v="3.45"/>
    <m/>
    <s v="Irritable"/>
    <s v="Often"/>
    <b v="0"/>
    <b v="0"/>
    <b v="0"/>
    <b v="1"/>
    <b v="0"/>
    <n v="0.3"/>
    <n v="7.8"/>
    <n v="4"/>
    <n v="10.3"/>
    <n v="65.41"/>
    <m/>
    <n v="6"/>
    <x v="1"/>
    <m/>
    <m/>
    <m/>
    <m/>
  </r>
  <r>
    <s v="GD0304"/>
    <n v="20"/>
    <x v="1"/>
    <x v="1"/>
    <x v="39"/>
    <x v="1"/>
    <x v="6"/>
    <s v="StarCraft II"/>
    <s v="Console"/>
    <n v="3.7"/>
    <m/>
    <s v="Insomnia"/>
    <s v="Rarely"/>
    <s v="Poor"/>
    <n v="1.73"/>
    <n v="5"/>
    <s v="Anxious"/>
    <s v="Never"/>
    <b v="1"/>
    <b v="1"/>
    <b v="0"/>
    <b v="1"/>
    <b v="0"/>
    <n v="0.5"/>
    <n v="6.2"/>
    <n v="5"/>
    <n v="4.9000000000000004"/>
    <n v="99.51"/>
    <m/>
    <n v="8"/>
    <x v="2"/>
    <m/>
    <m/>
    <m/>
    <m/>
  </r>
  <r>
    <s v="GD0305"/>
    <n v="19"/>
    <x v="0"/>
    <x v="0"/>
    <x v="18"/>
    <x v="1"/>
    <x v="3"/>
    <s v="Elden Ring"/>
    <s v="Console"/>
    <n v="6.6"/>
    <m/>
    <s v="Fair"/>
    <s v="Sometimes"/>
    <s v="Below Average"/>
    <n v="1.1499999999999999"/>
    <n v="1"/>
    <s v="Euphoric"/>
    <s v="Never"/>
    <b v="0"/>
    <b v="1"/>
    <b v="0"/>
    <b v="1"/>
    <b v="0"/>
    <n v="0.1"/>
    <n v="8.9"/>
    <n v="3"/>
    <n v="5.9"/>
    <n v="96.25"/>
    <m/>
    <n v="4"/>
    <x v="3"/>
    <m/>
    <m/>
    <m/>
    <m/>
  </r>
  <r>
    <s v="GD0306"/>
    <n v="22"/>
    <x v="1"/>
    <x v="0"/>
    <x v="44"/>
    <x v="1"/>
    <x v="4"/>
    <s v="Warzone"/>
    <s v="PC"/>
    <n v="7"/>
    <m/>
    <s v="Poor"/>
    <s v="Sometimes"/>
    <s v="Good"/>
    <n v="3.24"/>
    <n v="5"/>
    <s v="Anxious"/>
    <s v="Never"/>
    <b v="0"/>
    <b v="0"/>
    <b v="0"/>
    <b v="1"/>
    <b v="1"/>
    <n v="1.6"/>
    <n v="7"/>
    <n v="4"/>
    <n v="7"/>
    <n v="41.72"/>
    <m/>
    <n v="10"/>
    <x v="1"/>
    <m/>
    <m/>
    <m/>
    <m/>
  </r>
  <r>
    <s v="GD0307"/>
    <n v="19"/>
    <x v="0"/>
    <x v="0"/>
    <x v="100"/>
    <x v="1"/>
    <x v="5"/>
    <s v="World of Warcraft"/>
    <s v="Multi-platform"/>
    <n v="3.5"/>
    <m/>
    <s v="Poor"/>
    <s v="Often"/>
    <s v="Good"/>
    <n v="3.5"/>
    <n v="10"/>
    <s v="Withdrawn"/>
    <s v="Rarely"/>
    <b v="1"/>
    <b v="0"/>
    <b v="1"/>
    <b v="0"/>
    <b v="0"/>
    <n v="1.5"/>
    <n v="5.5"/>
    <n v="4"/>
    <n v="7.5"/>
    <n v="58.16"/>
    <m/>
    <n v="1"/>
    <x v="2"/>
    <m/>
    <m/>
    <m/>
    <m/>
  </r>
  <r>
    <s v="GD0308"/>
    <n v="19"/>
    <x v="0"/>
    <x v="0"/>
    <x v="24"/>
    <x v="1"/>
    <x v="3"/>
    <s v="Cyberpunk 2077"/>
    <s v="Mobile"/>
    <n v="4.4000000000000004"/>
    <m/>
    <s v="Insomnia"/>
    <s v="Always"/>
    <s v="Average"/>
    <n v="3.66"/>
    <n v="6"/>
    <s v="Irritable"/>
    <s v="Never"/>
    <b v="1"/>
    <b v="1"/>
    <b v="1"/>
    <b v="1"/>
    <b v="1"/>
    <n v="3.2"/>
    <n v="5.0999999999999996"/>
    <n v="5"/>
    <n v="7.8"/>
    <n v="54.27"/>
    <m/>
    <n v="6"/>
    <x v="0"/>
    <m/>
    <m/>
    <m/>
    <m/>
  </r>
  <r>
    <s v="GD0309"/>
    <n v="25"/>
    <x v="1"/>
    <x v="1"/>
    <x v="28"/>
    <x v="1"/>
    <x v="0"/>
    <s v="Candy Crush"/>
    <s v="Multi-platform"/>
    <n v="5.3"/>
    <m/>
    <s v="Poor"/>
    <s v="Often"/>
    <s v="Poor"/>
    <m/>
    <n v="9"/>
    <s v="Restless"/>
    <s v="Rarely"/>
    <b v="1"/>
    <b v="1"/>
    <b v="0"/>
    <b v="0"/>
    <b v="1"/>
    <n v="2.9"/>
    <n v="6.4"/>
    <n v="4"/>
    <n v="9.1999999999999993"/>
    <n v="33.83"/>
    <m/>
    <n v="2"/>
    <x v="2"/>
    <m/>
    <m/>
    <m/>
    <m/>
  </r>
  <r>
    <s v="GD0310"/>
    <n v="16"/>
    <x v="0"/>
    <x v="0"/>
    <x v="104"/>
    <x v="1"/>
    <x v="0"/>
    <s v="PUBG Mobile"/>
    <s v="Console"/>
    <n v="7.2"/>
    <m/>
    <s v="Fair"/>
    <s v="Always"/>
    <s v="Good"/>
    <n v="3.14"/>
    <m/>
    <s v="Normal"/>
    <s v="Sometimes"/>
    <b v="0"/>
    <b v="0"/>
    <b v="0"/>
    <b v="0"/>
    <b v="0"/>
    <n v="0.4"/>
    <n v="8.1999999999999993"/>
    <n v="1"/>
    <n v="12.6"/>
    <n v="17.48"/>
    <m/>
    <n v="3"/>
    <x v="1"/>
    <m/>
    <m/>
    <m/>
    <m/>
  </r>
  <r>
    <s v="GD0311"/>
    <n v="19"/>
    <x v="0"/>
    <x v="1"/>
    <x v="51"/>
    <x v="1"/>
    <x v="5"/>
    <s v="World of Warcraft"/>
    <s v="PC"/>
    <n v="6.5"/>
    <m/>
    <s v="Very Poor"/>
    <s v="Never"/>
    <s v="Good"/>
    <n v="2.02"/>
    <n v="3"/>
    <s v="Euphoric"/>
    <s v="Never"/>
    <b v="0"/>
    <b v="0"/>
    <b v="0"/>
    <b v="1"/>
    <b v="0"/>
    <n v="2"/>
    <n v="7.9"/>
    <n v="4"/>
    <n v="7"/>
    <n v="111.95"/>
    <m/>
    <n v="5"/>
    <x v="1"/>
    <m/>
    <m/>
    <m/>
    <m/>
  </r>
  <r>
    <s v="GD0312"/>
    <n v="19"/>
    <x v="0"/>
    <x v="0"/>
    <x v="45"/>
    <x v="1"/>
    <x v="1"/>
    <s v="Dota 2"/>
    <s v="PC"/>
    <n v="3.3"/>
    <m/>
    <s v="Fair"/>
    <s v="Rarely"/>
    <s v="Failing"/>
    <n v="3.78"/>
    <n v="4"/>
    <s v="Irritable"/>
    <s v="Rarely"/>
    <b v="1"/>
    <b v="0"/>
    <b v="0"/>
    <b v="1"/>
    <b v="0"/>
    <n v="1.8"/>
    <n v="5.7"/>
    <n v="3"/>
    <n v="6.6"/>
    <n v="117.05"/>
    <m/>
    <n v="6"/>
    <x v="3"/>
    <m/>
    <m/>
    <m/>
    <m/>
  </r>
  <r>
    <s v="GD0313"/>
    <n v="19"/>
    <x v="0"/>
    <x v="1"/>
    <x v="31"/>
    <x v="1"/>
    <x v="5"/>
    <s v="Final Fantasy XIV"/>
    <s v="Mobile"/>
    <n v="8.3000000000000007"/>
    <m/>
    <s v="Very Poor"/>
    <s v="Rarely"/>
    <s v="Below Average"/>
    <n v="1.48"/>
    <n v="7"/>
    <s v="Irritable"/>
    <s v="Sometimes"/>
    <b v="0"/>
    <b v="0"/>
    <b v="0"/>
    <b v="0"/>
    <b v="0"/>
    <n v="0.1"/>
    <n v="9.6999999999999993"/>
    <n v="1"/>
    <n v="11.5"/>
    <n v="13.66"/>
    <m/>
    <n v="9"/>
    <x v="1"/>
    <m/>
    <m/>
    <m/>
    <m/>
  </r>
  <r>
    <s v="GD0314"/>
    <n v="30"/>
    <x v="1"/>
    <x v="0"/>
    <x v="40"/>
    <x v="1"/>
    <x v="5"/>
    <s v="Elder Scrolls Online"/>
    <s v="PC"/>
    <n v="5.0999999999999996"/>
    <m/>
    <s v="Fair"/>
    <s v="Sometimes"/>
    <s v="Average"/>
    <m/>
    <n v="3"/>
    <s v="Normal"/>
    <s v="Daily"/>
    <b v="0"/>
    <b v="0"/>
    <b v="0"/>
    <b v="0"/>
    <b v="0"/>
    <n v="0.4"/>
    <n v="6.2"/>
    <n v="3"/>
    <n v="8.6"/>
    <n v="45.36"/>
    <m/>
    <n v="4"/>
    <x v="1"/>
    <m/>
    <m/>
    <m/>
    <m/>
  </r>
  <r>
    <s v="GD0315"/>
    <n v="19"/>
    <x v="0"/>
    <x v="0"/>
    <x v="38"/>
    <x v="1"/>
    <x v="6"/>
    <s v="Age of Empires"/>
    <s v="Mobile"/>
    <n v="6.4"/>
    <m/>
    <s v="Poor"/>
    <s v="Often"/>
    <s v="Below Average"/>
    <n v="1.77"/>
    <n v="1"/>
    <s v="Anxious"/>
    <s v="Rarely"/>
    <b v="0"/>
    <b v="0"/>
    <b v="0"/>
    <b v="0"/>
    <b v="1"/>
    <n v="2.4"/>
    <n v="8.4"/>
    <n v="3"/>
    <n v="9.4"/>
    <n v="36.33"/>
    <m/>
    <n v="3"/>
    <x v="1"/>
    <m/>
    <m/>
    <m/>
    <m/>
  </r>
  <r>
    <s v="GD0316"/>
    <n v="15"/>
    <x v="0"/>
    <x v="1"/>
    <x v="4"/>
    <x v="1"/>
    <x v="1"/>
    <s v="Dota 2"/>
    <s v="PC"/>
    <n v="5.3"/>
    <m/>
    <s v="Good"/>
    <s v="Sometimes"/>
    <s v="Below Average"/>
    <n v="3.27"/>
    <m/>
    <s v="Anxious"/>
    <s v="Never"/>
    <b v="0"/>
    <b v="0"/>
    <b v="0"/>
    <b v="0"/>
    <b v="1"/>
    <n v="1.7"/>
    <n v="6.6"/>
    <n v="3"/>
    <n v="6.1"/>
    <n v="125.63"/>
    <m/>
    <n v="5"/>
    <x v="1"/>
    <m/>
    <m/>
    <m/>
    <m/>
  </r>
  <r>
    <s v="GD0317"/>
    <n v="18"/>
    <x v="0"/>
    <x v="0"/>
    <x v="107"/>
    <x v="1"/>
    <x v="3"/>
    <s v="Elden Ring"/>
    <s v="PC"/>
    <n v="5.2"/>
    <m/>
    <s v="Fair"/>
    <s v="Always"/>
    <s v="Good"/>
    <n v="3.74"/>
    <m/>
    <s v="Anxious"/>
    <s v="Rarely"/>
    <b v="0"/>
    <b v="0"/>
    <b v="0"/>
    <b v="0"/>
    <b v="0"/>
    <n v="0.9"/>
    <n v="9.4"/>
    <n v="2"/>
    <n v="13"/>
    <n v="3.71"/>
    <m/>
    <n v="8"/>
    <x v="1"/>
    <m/>
    <m/>
    <m/>
    <m/>
  </r>
  <r>
    <s v="GD0318"/>
    <n v="21"/>
    <x v="1"/>
    <x v="0"/>
    <x v="82"/>
    <x v="1"/>
    <x v="0"/>
    <s v="Clash of Clans"/>
    <s v="Multi-platform"/>
    <n v="6.2"/>
    <m/>
    <s v="Very Poor"/>
    <s v="Rarely"/>
    <s v="Average"/>
    <n v="2.2400000000000002"/>
    <n v="2"/>
    <s v="Restless"/>
    <s v="Daily"/>
    <b v="0"/>
    <b v="0"/>
    <b v="0"/>
    <b v="1"/>
    <b v="0"/>
    <n v="1.4"/>
    <n v="7.9"/>
    <n v="3"/>
    <n v="8.1999999999999993"/>
    <n v="11.59"/>
    <m/>
    <n v="11"/>
    <x v="1"/>
    <m/>
    <m/>
    <m/>
    <m/>
  </r>
  <r>
    <s v="GD0319"/>
    <n v="23"/>
    <x v="1"/>
    <x v="0"/>
    <x v="16"/>
    <x v="1"/>
    <x v="4"/>
    <s v="Fortnite"/>
    <s v="PC"/>
    <n v="3.5"/>
    <m/>
    <s v="Fair"/>
    <s v="Often"/>
    <s v="Poor"/>
    <m/>
    <n v="6"/>
    <s v="Normal"/>
    <s v="Rarely"/>
    <b v="0"/>
    <b v="1"/>
    <b v="1"/>
    <b v="1"/>
    <b v="0"/>
    <n v="4.0999999999999996"/>
    <n v="6.7"/>
    <n v="6"/>
    <n v="3.1"/>
    <n v="230.02"/>
    <m/>
    <n v="4"/>
    <x v="0"/>
    <m/>
    <m/>
    <m/>
    <m/>
  </r>
  <r>
    <s v="GD0320"/>
    <n v="30"/>
    <x v="1"/>
    <x v="0"/>
    <x v="56"/>
    <x v="1"/>
    <x v="1"/>
    <s v="Dota 2"/>
    <s v="PC"/>
    <n v="3.4"/>
    <m/>
    <s v="Very Poor"/>
    <s v="Sometimes"/>
    <s v="Average"/>
    <m/>
    <n v="1"/>
    <s v="Angry"/>
    <s v="Daily"/>
    <b v="0"/>
    <b v="1"/>
    <b v="0"/>
    <b v="1"/>
    <b v="0"/>
    <n v="1.6"/>
    <n v="7"/>
    <n v="6"/>
    <n v="3.1"/>
    <n v="28.19"/>
    <m/>
    <n v="1"/>
    <x v="3"/>
    <m/>
    <m/>
    <m/>
    <m/>
  </r>
  <r>
    <s v="GD0321"/>
    <n v="13"/>
    <x v="0"/>
    <x v="0"/>
    <x v="16"/>
    <x v="1"/>
    <x v="0"/>
    <s v="Candy Crush"/>
    <s v="PC"/>
    <n v="5.3"/>
    <m/>
    <s v="Poor"/>
    <s v="Sometimes"/>
    <s v="Average"/>
    <n v="3.66"/>
    <m/>
    <s v="Depressed"/>
    <s v="Sometimes"/>
    <b v="1"/>
    <b v="1"/>
    <b v="0"/>
    <b v="1"/>
    <b v="1"/>
    <n v="0.8"/>
    <n v="5.7"/>
    <n v="7"/>
    <n v="3.6"/>
    <n v="209.9"/>
    <m/>
    <n v="1"/>
    <x v="0"/>
    <m/>
    <m/>
    <m/>
    <m/>
  </r>
  <r>
    <s v="GD0322"/>
    <n v="20"/>
    <x v="1"/>
    <x v="1"/>
    <x v="21"/>
    <x v="1"/>
    <x v="2"/>
    <s v="Valorant"/>
    <s v="Multi-platform"/>
    <n v="5.3"/>
    <m/>
    <s v="Good"/>
    <s v="Often"/>
    <s v="Below Average"/>
    <n v="2.76"/>
    <n v="7"/>
    <s v="Normal"/>
    <s v="Sometimes"/>
    <b v="0"/>
    <b v="0"/>
    <b v="0"/>
    <b v="0"/>
    <b v="0"/>
    <n v="1.2"/>
    <n v="7.2"/>
    <n v="4"/>
    <n v="6.5"/>
    <n v="38.79"/>
    <m/>
    <n v="2"/>
    <x v="1"/>
    <m/>
    <m/>
    <m/>
    <m/>
  </r>
  <r>
    <s v="GD0323"/>
    <n v="16"/>
    <x v="0"/>
    <x v="0"/>
    <x v="56"/>
    <x v="1"/>
    <x v="3"/>
    <s v="Elden Ring"/>
    <s v="Multi-platform"/>
    <n v="5.4"/>
    <m/>
    <s v="Poor"/>
    <s v="Never"/>
    <s v="Poor"/>
    <n v="1.8"/>
    <m/>
    <s v="Euphoric"/>
    <s v="Never"/>
    <b v="1"/>
    <b v="1"/>
    <b v="1"/>
    <b v="1"/>
    <b v="1"/>
    <n v="3.1"/>
    <n v="6.9"/>
    <n v="3"/>
    <n v="8.1"/>
    <n v="15.74"/>
    <m/>
    <n v="4"/>
    <x v="0"/>
    <m/>
    <m/>
    <m/>
    <m/>
  </r>
  <r>
    <s v="GD0324"/>
    <n v="30"/>
    <x v="1"/>
    <x v="0"/>
    <x v="32"/>
    <x v="1"/>
    <x v="6"/>
    <s v="Civilization VI"/>
    <s v="Multi-platform"/>
    <n v="6.3"/>
    <m/>
    <s v="Good"/>
    <s v="Sometimes"/>
    <s v="Average"/>
    <m/>
    <n v="2"/>
    <s v="Anxious"/>
    <s v="Rarely"/>
    <b v="0"/>
    <b v="0"/>
    <b v="0"/>
    <b v="0"/>
    <b v="0"/>
    <n v="1.6"/>
    <n v="7.5"/>
    <n v="2"/>
    <n v="10.4"/>
    <n v="38.229999999999997"/>
    <m/>
    <n v="11"/>
    <x v="1"/>
    <m/>
    <m/>
    <m/>
    <m/>
  </r>
  <r>
    <s v="GD0325"/>
    <n v="20"/>
    <x v="1"/>
    <x v="0"/>
    <x v="7"/>
    <x v="1"/>
    <x v="5"/>
    <s v="Final Fantasy XIV"/>
    <s v="Mobile"/>
    <n v="5"/>
    <m/>
    <s v="Poor"/>
    <s v="Never"/>
    <s v="Poor"/>
    <n v="1.1200000000000001"/>
    <n v="4"/>
    <s v="Anxious"/>
    <s v="Rarely"/>
    <b v="1"/>
    <b v="1"/>
    <b v="0"/>
    <b v="0"/>
    <b v="1"/>
    <n v="1.9"/>
    <n v="4.2"/>
    <n v="6"/>
    <n v="4.5"/>
    <n v="420.51"/>
    <m/>
    <n v="7"/>
    <x v="0"/>
    <m/>
    <m/>
    <m/>
    <m/>
  </r>
  <r>
    <s v="GD0326"/>
    <n v="20"/>
    <x v="1"/>
    <x v="0"/>
    <x v="67"/>
    <x v="1"/>
    <x v="3"/>
    <s v="Elden Ring"/>
    <s v="PC"/>
    <n v="3.6"/>
    <m/>
    <s v="Poor"/>
    <s v="Never"/>
    <s v="Below Average"/>
    <n v="3.74"/>
    <n v="4"/>
    <s v="Irritable"/>
    <s v="Rarely"/>
    <b v="1"/>
    <b v="1"/>
    <b v="0"/>
    <b v="0"/>
    <b v="0"/>
    <n v="0.6"/>
    <n v="3.6"/>
    <n v="8"/>
    <n v="2.9"/>
    <n v="362.82"/>
    <m/>
    <n v="7"/>
    <x v="0"/>
    <m/>
    <m/>
    <m/>
    <m/>
  </r>
  <r>
    <s v="GD0327"/>
    <n v="14"/>
    <x v="0"/>
    <x v="1"/>
    <x v="86"/>
    <x v="1"/>
    <x v="4"/>
    <s v="PUBG"/>
    <s v="Console"/>
    <n v="4"/>
    <m/>
    <s v="Good"/>
    <s v="Sometimes"/>
    <s v="Average"/>
    <n v="3.98"/>
    <m/>
    <s v="Depressed"/>
    <s v="Often"/>
    <b v="1"/>
    <b v="0"/>
    <b v="0"/>
    <b v="1"/>
    <b v="1"/>
    <n v="1.3"/>
    <n v="2.4"/>
    <n v="7"/>
    <n v="0"/>
    <n v="98.66"/>
    <m/>
    <n v="2"/>
    <x v="2"/>
    <m/>
    <m/>
    <m/>
    <m/>
  </r>
  <r>
    <s v="GD0328"/>
    <n v="25"/>
    <x v="1"/>
    <x v="0"/>
    <x v="42"/>
    <x v="1"/>
    <x v="6"/>
    <s v="Civilization VI"/>
    <s v="Multi-platform"/>
    <n v="7.7"/>
    <m/>
    <s v="Fair"/>
    <s v="Always"/>
    <s v="Good"/>
    <m/>
    <n v="1"/>
    <s v="Normal"/>
    <s v="Daily"/>
    <b v="0"/>
    <b v="0"/>
    <b v="0"/>
    <b v="0"/>
    <b v="0"/>
    <n v="0.5"/>
    <n v="8"/>
    <n v="1"/>
    <n v="14.1"/>
    <n v="34.47"/>
    <m/>
    <n v="3"/>
    <x v="1"/>
    <m/>
    <m/>
    <m/>
    <m/>
  </r>
  <r>
    <s v="GD0329"/>
    <n v="20"/>
    <x v="1"/>
    <x v="1"/>
    <x v="70"/>
    <x v="1"/>
    <x v="2"/>
    <s v="Call of Duty"/>
    <s v="Multi-platform"/>
    <n v="6.3"/>
    <m/>
    <s v="Fair"/>
    <s v="Sometimes"/>
    <s v="Poor"/>
    <n v="3.78"/>
    <n v="8"/>
    <s v="Normal"/>
    <s v="Often"/>
    <b v="0"/>
    <b v="0"/>
    <b v="0"/>
    <b v="1"/>
    <b v="0"/>
    <n v="2.5"/>
    <n v="7.3"/>
    <n v="3"/>
    <n v="6"/>
    <n v="88.16"/>
    <m/>
    <n v="1"/>
    <x v="1"/>
    <m/>
    <m/>
    <m/>
    <m/>
  </r>
  <r>
    <s v="GD0330"/>
    <n v="24"/>
    <x v="1"/>
    <x v="0"/>
    <x v="4"/>
    <x v="1"/>
    <x v="4"/>
    <s v="PUBG"/>
    <s v="Mobile"/>
    <n v="3.6"/>
    <m/>
    <s v="Insomnia"/>
    <s v="Always"/>
    <s v="Average"/>
    <m/>
    <n v="3"/>
    <s v="Irritable"/>
    <s v="Sometimes"/>
    <b v="1"/>
    <b v="1"/>
    <b v="0"/>
    <b v="0"/>
    <b v="0"/>
    <n v="2.1"/>
    <n v="4.9000000000000004"/>
    <n v="6"/>
    <n v="6.6"/>
    <n v="99.36"/>
    <m/>
    <n v="6"/>
    <x v="2"/>
    <m/>
    <m/>
    <m/>
    <m/>
  </r>
  <r>
    <s v="GD0331"/>
    <n v="27"/>
    <x v="1"/>
    <x v="1"/>
    <x v="46"/>
    <x v="1"/>
    <x v="6"/>
    <s v="Age of Empires"/>
    <s v="Console"/>
    <n v="7.1"/>
    <m/>
    <s v="Very Poor"/>
    <s v="Never"/>
    <s v="Below Average"/>
    <m/>
    <n v="9"/>
    <s v="Euphoric"/>
    <s v="Rarely"/>
    <b v="0"/>
    <b v="0"/>
    <b v="0"/>
    <b v="0"/>
    <b v="0"/>
    <n v="0.2"/>
    <n v="8"/>
    <n v="1"/>
    <n v="13.6"/>
    <n v="43.71"/>
    <m/>
    <n v="12"/>
    <x v="1"/>
    <m/>
    <m/>
    <m/>
    <m/>
  </r>
  <r>
    <s v="GD0332"/>
    <n v="20"/>
    <x v="1"/>
    <x v="1"/>
    <x v="32"/>
    <x v="1"/>
    <x v="0"/>
    <s v="PUBG Mobile"/>
    <s v="Mobile"/>
    <n v="6.2"/>
    <m/>
    <s v="Fair"/>
    <s v="Often"/>
    <s v="Below Average"/>
    <n v="1.76"/>
    <n v="3"/>
    <s v="Angry"/>
    <s v="Often"/>
    <b v="0"/>
    <b v="0"/>
    <b v="0"/>
    <b v="0"/>
    <b v="0"/>
    <n v="1"/>
    <n v="6.2"/>
    <n v="2"/>
    <n v="8.6"/>
    <n v="40.729999999999997"/>
    <m/>
    <n v="6"/>
    <x v="1"/>
    <m/>
    <m/>
    <m/>
    <m/>
  </r>
  <r>
    <s v="GD0333"/>
    <n v="15"/>
    <x v="0"/>
    <x v="0"/>
    <x v="28"/>
    <x v="1"/>
    <x v="4"/>
    <s v="Warzone"/>
    <s v="Console"/>
    <n v="5"/>
    <m/>
    <s v="Poor"/>
    <s v="Never"/>
    <s v="Failing"/>
    <n v="3.68"/>
    <m/>
    <s v="Restless"/>
    <s v="Rarely"/>
    <b v="1"/>
    <b v="1"/>
    <b v="0"/>
    <b v="1"/>
    <b v="0"/>
    <n v="0.4"/>
    <n v="7.4"/>
    <n v="5"/>
    <n v="6.2"/>
    <n v="31.87"/>
    <m/>
    <n v="2"/>
    <x v="2"/>
    <m/>
    <m/>
    <m/>
    <m/>
  </r>
  <r>
    <s v="GD0334"/>
    <n v="26"/>
    <x v="1"/>
    <x v="0"/>
    <x v="109"/>
    <x v="1"/>
    <x v="0"/>
    <s v="Genshin Impact"/>
    <s v="Multi-platform"/>
    <n v="7.9"/>
    <m/>
    <s v="Good"/>
    <s v="Rarely"/>
    <s v="Average"/>
    <m/>
    <n v="1"/>
    <s v="Normal"/>
    <s v="Often"/>
    <b v="0"/>
    <b v="0"/>
    <b v="0"/>
    <b v="0"/>
    <b v="0"/>
    <n v="0.4"/>
    <n v="9.9"/>
    <n v="1"/>
    <n v="15.4"/>
    <n v="36.549999999999997"/>
    <m/>
    <n v="9"/>
    <x v="1"/>
    <m/>
    <m/>
    <m/>
    <m/>
  </r>
  <r>
    <s v="GD0335"/>
    <n v="18"/>
    <x v="0"/>
    <x v="1"/>
    <x v="17"/>
    <x v="1"/>
    <x v="6"/>
    <s v="Civilization VI"/>
    <s v="PC"/>
    <n v="5.3"/>
    <m/>
    <s v="Very Poor"/>
    <s v="Never"/>
    <s v="Below Average"/>
    <n v="1.71"/>
    <m/>
    <s v="Anxious"/>
    <s v="Rarely"/>
    <b v="0"/>
    <b v="0"/>
    <b v="0"/>
    <b v="1"/>
    <b v="0"/>
    <n v="0.7"/>
    <n v="7.8"/>
    <n v="5"/>
    <n v="9.1"/>
    <n v="143.91999999999999"/>
    <m/>
    <n v="4"/>
    <x v="1"/>
    <m/>
    <m/>
    <m/>
    <m/>
  </r>
  <r>
    <s v="GD0336"/>
    <n v="26"/>
    <x v="1"/>
    <x v="0"/>
    <x v="65"/>
    <x v="1"/>
    <x v="3"/>
    <s v="Elden Ring"/>
    <s v="Mobile"/>
    <n v="4.2"/>
    <m/>
    <s v="Fair"/>
    <s v="Always"/>
    <s v="Poor"/>
    <m/>
    <n v="2"/>
    <s v="Anxious"/>
    <s v="Never"/>
    <b v="0"/>
    <b v="0"/>
    <b v="1"/>
    <b v="1"/>
    <b v="0"/>
    <n v="2.2000000000000002"/>
    <n v="6.5"/>
    <n v="7"/>
    <n v="2.6"/>
    <n v="65.47"/>
    <m/>
    <n v="14"/>
    <x v="2"/>
    <m/>
    <m/>
    <m/>
    <m/>
  </r>
  <r>
    <s v="GD0337"/>
    <n v="18"/>
    <x v="0"/>
    <x v="0"/>
    <x v="64"/>
    <x v="1"/>
    <x v="4"/>
    <s v="PUBG"/>
    <s v="Multi-platform"/>
    <n v="8.1999999999999993"/>
    <m/>
    <s v="Good"/>
    <s v="Never"/>
    <s v="Average"/>
    <n v="2.4500000000000002"/>
    <m/>
    <s v="Normal"/>
    <s v="Never"/>
    <b v="0"/>
    <b v="0"/>
    <b v="0"/>
    <b v="0"/>
    <b v="0"/>
    <n v="0.8"/>
    <n v="10.199999999999999"/>
    <n v="1"/>
    <n v="13.9"/>
    <n v="34.090000000000003"/>
    <m/>
    <n v="2"/>
    <x v="1"/>
    <m/>
    <m/>
    <m/>
    <m/>
  </r>
  <r>
    <s v="GD0338"/>
    <n v="23"/>
    <x v="1"/>
    <x v="1"/>
    <x v="39"/>
    <x v="1"/>
    <x v="6"/>
    <s v="StarCraft II"/>
    <s v="Mobile"/>
    <n v="3.3"/>
    <m/>
    <s v="Very Poor"/>
    <s v="Often"/>
    <s v="Poor"/>
    <m/>
    <n v="4"/>
    <s v="Anxious"/>
    <s v="Never"/>
    <b v="0"/>
    <b v="1"/>
    <b v="0"/>
    <b v="1"/>
    <b v="1"/>
    <n v="0"/>
    <n v="6.1"/>
    <n v="5"/>
    <n v="8.8000000000000007"/>
    <n v="134.49"/>
    <m/>
    <n v="13"/>
    <x v="3"/>
    <m/>
    <m/>
    <m/>
    <m/>
  </r>
  <r>
    <s v="GD0339"/>
    <n v="19"/>
    <x v="0"/>
    <x v="0"/>
    <x v="52"/>
    <x v="1"/>
    <x v="3"/>
    <s v="Skyrim"/>
    <s v="Console"/>
    <n v="8.6999999999999993"/>
    <m/>
    <s v="Good"/>
    <s v="Often"/>
    <s v="Good"/>
    <n v="2.62"/>
    <n v="7"/>
    <s v="Euphoric"/>
    <s v="Rarely"/>
    <b v="0"/>
    <b v="0"/>
    <b v="0"/>
    <b v="0"/>
    <b v="0"/>
    <n v="1.1000000000000001"/>
    <n v="6.6"/>
    <n v="2"/>
    <n v="9.1"/>
    <n v="27.14"/>
    <m/>
    <n v="5"/>
    <x v="1"/>
    <m/>
    <m/>
    <m/>
    <m/>
  </r>
  <r>
    <s v="GD0340"/>
    <n v="32"/>
    <x v="2"/>
    <x v="0"/>
    <x v="110"/>
    <x v="1"/>
    <x v="3"/>
    <s v="Elden Ring"/>
    <s v="Multi-platform"/>
    <n v="4.7"/>
    <m/>
    <s v="Poor"/>
    <s v="Never"/>
    <s v="Poor"/>
    <m/>
    <n v="3"/>
    <s v="Withdrawn"/>
    <s v="Often"/>
    <b v="0"/>
    <b v="1"/>
    <b v="0"/>
    <b v="1"/>
    <b v="0"/>
    <n v="1.8"/>
    <n v="7.3"/>
    <n v="5"/>
    <n v="4.0999999999999996"/>
    <n v="110.37"/>
    <m/>
    <n v="7"/>
    <x v="3"/>
    <m/>
    <m/>
    <m/>
    <m/>
  </r>
  <r>
    <s v="GD0341"/>
    <n v="24"/>
    <x v="1"/>
    <x v="0"/>
    <x v="53"/>
    <x v="1"/>
    <x v="4"/>
    <s v="Apex Legends"/>
    <s v="Multi-platform"/>
    <n v="6.7"/>
    <m/>
    <s v="Poor"/>
    <s v="Rarely"/>
    <s v="Poor"/>
    <m/>
    <n v="5"/>
    <s v="Irritable"/>
    <s v="Daily"/>
    <b v="0"/>
    <b v="0"/>
    <b v="0"/>
    <b v="0"/>
    <b v="0"/>
    <n v="1.5"/>
    <n v="9.1"/>
    <n v="3"/>
    <n v="12.6"/>
    <n v="1.34"/>
    <m/>
    <n v="12"/>
    <x v="1"/>
    <m/>
    <m/>
    <m/>
    <m/>
  </r>
  <r>
    <s v="GD0342"/>
    <n v="33"/>
    <x v="2"/>
    <x v="0"/>
    <x v="78"/>
    <x v="1"/>
    <x v="5"/>
    <s v="Elder Scrolls Online"/>
    <s v="Mobile"/>
    <n v="5.5"/>
    <m/>
    <s v="Fair"/>
    <s v="Often"/>
    <s v="Average"/>
    <m/>
    <n v="10"/>
    <s v="Angry"/>
    <s v="Rarely"/>
    <b v="0"/>
    <b v="0"/>
    <b v="0"/>
    <b v="0"/>
    <b v="0"/>
    <n v="0.2"/>
    <n v="6.1"/>
    <n v="3"/>
    <n v="9.6"/>
    <n v="2.87"/>
    <m/>
    <n v="5"/>
    <x v="1"/>
    <m/>
    <m/>
    <m/>
    <m/>
  </r>
  <r>
    <s v="GD0343"/>
    <n v="26"/>
    <x v="1"/>
    <x v="0"/>
    <x v="111"/>
    <x v="1"/>
    <x v="4"/>
    <s v="Fortnite"/>
    <s v="Multi-platform"/>
    <n v="5.6"/>
    <m/>
    <s v="Poor"/>
    <s v="Sometimes"/>
    <s v="Failing"/>
    <m/>
    <n v="7"/>
    <s v="Restless"/>
    <s v="Sometimes"/>
    <b v="1"/>
    <b v="0"/>
    <b v="1"/>
    <b v="0"/>
    <b v="0"/>
    <n v="5.6"/>
    <n v="4.3"/>
    <n v="7"/>
    <n v="0.6"/>
    <n v="129.72999999999999"/>
    <m/>
    <n v="5"/>
    <x v="0"/>
    <m/>
    <m/>
    <m/>
    <m/>
  </r>
  <r>
    <s v="GD0344"/>
    <n v="19"/>
    <x v="0"/>
    <x v="0"/>
    <x v="82"/>
    <x v="1"/>
    <x v="2"/>
    <s v="Call of Duty"/>
    <s v="Multi-platform"/>
    <n v="6.1"/>
    <m/>
    <s v="Good"/>
    <s v="Often"/>
    <s v="Poor"/>
    <n v="1.18"/>
    <n v="10"/>
    <s v="Restless"/>
    <s v="Never"/>
    <b v="0"/>
    <b v="0"/>
    <b v="0"/>
    <b v="1"/>
    <b v="0"/>
    <n v="1.5"/>
    <n v="6.3"/>
    <n v="5"/>
    <n v="6"/>
    <n v="116.49"/>
    <m/>
    <n v="6"/>
    <x v="1"/>
    <m/>
    <m/>
    <m/>
    <m/>
  </r>
  <r>
    <s v="GD0345"/>
    <n v="27"/>
    <x v="1"/>
    <x v="1"/>
    <x v="46"/>
    <x v="1"/>
    <x v="3"/>
    <s v="Elden Ring"/>
    <s v="Mobile"/>
    <n v="9"/>
    <m/>
    <s v="Fair"/>
    <s v="Rarely"/>
    <s v="Excellent"/>
    <m/>
    <n v="10"/>
    <s v="Euphoric"/>
    <s v="Sometimes"/>
    <b v="0"/>
    <b v="0"/>
    <b v="0"/>
    <b v="0"/>
    <b v="0"/>
    <n v="0.2"/>
    <n v="9.1"/>
    <n v="1"/>
    <n v="11.7"/>
    <n v="36.67"/>
    <m/>
    <n v="11"/>
    <x v="1"/>
    <m/>
    <m/>
    <m/>
    <m/>
  </r>
  <r>
    <s v="GD0346"/>
    <n v="25"/>
    <x v="1"/>
    <x v="0"/>
    <x v="11"/>
    <x v="1"/>
    <x v="2"/>
    <s v="Valorant"/>
    <s v="Multi-platform"/>
    <n v="6"/>
    <m/>
    <s v="Very Poor"/>
    <s v="Sometimes"/>
    <s v="Below Average"/>
    <m/>
    <n v="7"/>
    <s v="Depressed"/>
    <s v="Often"/>
    <b v="0"/>
    <b v="0"/>
    <b v="0"/>
    <b v="1"/>
    <b v="0"/>
    <n v="0.7"/>
    <n v="9"/>
    <n v="3"/>
    <n v="11.5"/>
    <n v="76.510000000000005"/>
    <m/>
    <n v="10"/>
    <x v="1"/>
    <m/>
    <m/>
    <m/>
    <m/>
  </r>
  <r>
    <s v="GD0347"/>
    <n v="17"/>
    <x v="0"/>
    <x v="0"/>
    <x v="35"/>
    <x v="1"/>
    <x v="6"/>
    <s v="Civilization VI"/>
    <s v="Console"/>
    <n v="6.2"/>
    <m/>
    <s v="Poor"/>
    <s v="Sometimes"/>
    <s v="Average"/>
    <n v="3.36"/>
    <m/>
    <s v="Normal"/>
    <s v="Sometimes"/>
    <b v="0"/>
    <b v="0"/>
    <b v="0"/>
    <b v="0"/>
    <b v="0"/>
    <n v="0.9"/>
    <n v="6.7"/>
    <n v="3"/>
    <n v="7.6"/>
    <n v="10.39"/>
    <m/>
    <n v="3"/>
    <x v="1"/>
    <m/>
    <m/>
    <m/>
    <m/>
  </r>
  <r>
    <s v="GD0348"/>
    <n v="17"/>
    <x v="0"/>
    <x v="1"/>
    <x v="83"/>
    <x v="1"/>
    <x v="6"/>
    <s v="Civilization VI"/>
    <s v="Console"/>
    <n v="3.6"/>
    <m/>
    <s v="Fair"/>
    <s v="Rarely"/>
    <s v="Poor"/>
    <n v="2.62"/>
    <m/>
    <s v="Depressed"/>
    <s v="Sometimes"/>
    <b v="0"/>
    <b v="0"/>
    <b v="0"/>
    <b v="1"/>
    <b v="0"/>
    <n v="1.5"/>
    <n v="3.6"/>
    <n v="6"/>
    <n v="3.8"/>
    <n v="53.97"/>
    <m/>
    <n v="3"/>
    <x v="3"/>
    <m/>
    <m/>
    <m/>
    <m/>
  </r>
  <r>
    <s v="GD0349"/>
    <n v="23"/>
    <x v="1"/>
    <x v="1"/>
    <x v="32"/>
    <x v="1"/>
    <x v="2"/>
    <s v="CS:GO"/>
    <s v="Multi-platform"/>
    <n v="7"/>
    <m/>
    <s v="Very Poor"/>
    <s v="Always"/>
    <s v="Below Average"/>
    <m/>
    <n v="9"/>
    <s v="Irritable"/>
    <s v="Never"/>
    <b v="0"/>
    <b v="0"/>
    <b v="0"/>
    <b v="0"/>
    <b v="0"/>
    <n v="1.1000000000000001"/>
    <n v="9.6"/>
    <n v="3"/>
    <n v="9.6"/>
    <n v="22.6"/>
    <m/>
    <n v="12"/>
    <x v="1"/>
    <m/>
    <m/>
    <m/>
    <m/>
  </r>
  <r>
    <s v="GD0350"/>
    <n v="20"/>
    <x v="1"/>
    <x v="0"/>
    <x v="12"/>
    <x v="1"/>
    <x v="6"/>
    <s v="Age of Empires"/>
    <s v="PC"/>
    <n v="6.8"/>
    <m/>
    <s v="Fair"/>
    <s v="Rarely"/>
    <s v="Average"/>
    <n v="3.2"/>
    <n v="2"/>
    <s v="Anxious"/>
    <s v="Daily"/>
    <b v="0"/>
    <b v="1"/>
    <b v="0"/>
    <b v="1"/>
    <b v="0"/>
    <n v="0.9"/>
    <n v="7.2"/>
    <n v="4"/>
    <n v="10.7"/>
    <n v="131.01"/>
    <m/>
    <n v="9"/>
    <x v="3"/>
    <m/>
    <m/>
    <m/>
    <m/>
  </r>
  <r>
    <s v="GD0351"/>
    <n v="30"/>
    <x v="1"/>
    <x v="0"/>
    <x v="97"/>
    <x v="1"/>
    <x v="4"/>
    <s v="Fortnite"/>
    <s v="Multi-platform"/>
    <n v="4.5999999999999996"/>
    <m/>
    <s v="Fair"/>
    <s v="Sometimes"/>
    <s v="Below Average"/>
    <m/>
    <n v="5"/>
    <s v="Euphoric"/>
    <s v="Never"/>
    <b v="1"/>
    <b v="1"/>
    <b v="1"/>
    <b v="0"/>
    <b v="1"/>
    <n v="2.4"/>
    <n v="4.5"/>
    <n v="5"/>
    <n v="3.5"/>
    <n v="189.93"/>
    <m/>
    <n v="6"/>
    <x v="0"/>
    <m/>
    <m/>
    <m/>
    <m/>
  </r>
  <r>
    <s v="GD0352"/>
    <n v="17"/>
    <x v="0"/>
    <x v="0"/>
    <x v="26"/>
    <x v="1"/>
    <x v="0"/>
    <s v="Candy Crush"/>
    <s v="PC"/>
    <n v="5.9"/>
    <m/>
    <s v="Fair"/>
    <s v="Often"/>
    <s v="Average"/>
    <n v="1.47"/>
    <m/>
    <s v="Restless"/>
    <s v="Sometimes"/>
    <b v="0"/>
    <b v="0"/>
    <b v="0"/>
    <b v="0"/>
    <b v="0"/>
    <n v="2"/>
    <n v="8.8000000000000007"/>
    <n v="3"/>
    <n v="10.5"/>
    <n v="21.16"/>
    <m/>
    <n v="2"/>
    <x v="1"/>
    <m/>
    <m/>
    <m/>
    <m/>
  </r>
  <r>
    <s v="GD0353"/>
    <n v="19"/>
    <x v="0"/>
    <x v="0"/>
    <x v="5"/>
    <x v="1"/>
    <x v="2"/>
    <s v="Overwatch"/>
    <s v="Mobile"/>
    <n v="7.8"/>
    <m/>
    <s v="Good"/>
    <s v="Rarely"/>
    <s v="Below Average"/>
    <n v="2.4700000000000002"/>
    <n v="9"/>
    <s v="Angry"/>
    <s v="Sometimes"/>
    <b v="0"/>
    <b v="0"/>
    <b v="0"/>
    <b v="0"/>
    <b v="0"/>
    <n v="0.8"/>
    <n v="8.8000000000000007"/>
    <n v="1"/>
    <n v="10"/>
    <n v="14.14"/>
    <m/>
    <n v="1"/>
    <x v="1"/>
    <m/>
    <m/>
    <m/>
    <m/>
  </r>
  <r>
    <s v="GD0354"/>
    <n v="20"/>
    <x v="1"/>
    <x v="1"/>
    <x v="19"/>
    <x v="1"/>
    <x v="5"/>
    <s v="Final Fantasy XIV"/>
    <s v="Console"/>
    <n v="6.6"/>
    <m/>
    <s v="Good"/>
    <s v="Rarely"/>
    <s v="Average"/>
    <n v="3.3"/>
    <n v="3"/>
    <s v="Euphoric"/>
    <s v="Rarely"/>
    <b v="0"/>
    <b v="1"/>
    <b v="0"/>
    <b v="1"/>
    <b v="0"/>
    <n v="1.8"/>
    <n v="8.5"/>
    <n v="3"/>
    <n v="7.6"/>
    <n v="12.48"/>
    <m/>
    <n v="5"/>
    <x v="3"/>
    <m/>
    <m/>
    <m/>
    <m/>
  </r>
  <r>
    <s v="GD0355"/>
    <n v="15"/>
    <x v="0"/>
    <x v="0"/>
    <x v="38"/>
    <x v="1"/>
    <x v="4"/>
    <s v="Apex Legends"/>
    <s v="PC"/>
    <n v="6.6"/>
    <m/>
    <s v="Fair"/>
    <s v="Rarely"/>
    <s v="Good"/>
    <n v="1.34"/>
    <m/>
    <s v="Normal"/>
    <s v="Often"/>
    <b v="0"/>
    <b v="0"/>
    <b v="0"/>
    <b v="1"/>
    <b v="0"/>
    <n v="1.1000000000000001"/>
    <n v="6.5"/>
    <n v="3"/>
    <n v="4.9000000000000004"/>
    <n v="132.44"/>
    <m/>
    <n v="4"/>
    <x v="1"/>
    <m/>
    <m/>
    <m/>
    <m/>
  </r>
  <r>
    <s v="GD0356"/>
    <n v="19"/>
    <x v="0"/>
    <x v="1"/>
    <x v="54"/>
    <x v="1"/>
    <x v="4"/>
    <s v="PUBG"/>
    <s v="PC"/>
    <n v="5.4"/>
    <m/>
    <s v="Poor"/>
    <s v="Rarely"/>
    <s v="Average"/>
    <n v="2.59"/>
    <n v="9"/>
    <s v="Irritable"/>
    <s v="Often"/>
    <b v="0"/>
    <b v="0"/>
    <b v="0"/>
    <b v="1"/>
    <b v="0"/>
    <n v="2"/>
    <n v="8.4"/>
    <n v="2"/>
    <n v="8.6999999999999993"/>
    <n v="36.549999999999997"/>
    <m/>
    <n v="4"/>
    <x v="1"/>
    <m/>
    <m/>
    <m/>
    <m/>
  </r>
  <r>
    <s v="GD0357"/>
    <n v="19"/>
    <x v="0"/>
    <x v="0"/>
    <x v="70"/>
    <x v="1"/>
    <x v="1"/>
    <s v="Dota 2"/>
    <s v="Mobile"/>
    <n v="5.2"/>
    <m/>
    <s v="Poor"/>
    <s v="Rarely"/>
    <s v="Average"/>
    <n v="3.78"/>
    <n v="7"/>
    <s v="Irritable"/>
    <s v="Sometimes"/>
    <b v="0"/>
    <b v="1"/>
    <b v="0"/>
    <b v="1"/>
    <b v="1"/>
    <n v="1.6"/>
    <n v="7.4"/>
    <n v="4"/>
    <n v="6.2"/>
    <n v="100.99"/>
    <m/>
    <n v="4"/>
    <x v="3"/>
    <m/>
    <m/>
    <m/>
    <m/>
  </r>
  <r>
    <s v="GD0358"/>
    <n v="21"/>
    <x v="1"/>
    <x v="0"/>
    <x v="43"/>
    <x v="1"/>
    <x v="3"/>
    <s v="Cyberpunk 2077"/>
    <s v="PC"/>
    <n v="7.9"/>
    <m/>
    <s v="Good"/>
    <s v="Often"/>
    <s v="Excellent"/>
    <n v="1.28"/>
    <n v="4"/>
    <s v="Depressed"/>
    <s v="Sometimes"/>
    <b v="0"/>
    <b v="0"/>
    <b v="0"/>
    <b v="0"/>
    <b v="0"/>
    <n v="0.2"/>
    <n v="9.3000000000000007"/>
    <n v="1"/>
    <n v="10.9"/>
    <n v="11.94"/>
    <m/>
    <n v="1"/>
    <x v="1"/>
    <m/>
    <m/>
    <m/>
    <m/>
  </r>
  <r>
    <s v="GD0359"/>
    <n v="23"/>
    <x v="1"/>
    <x v="1"/>
    <x v="29"/>
    <x v="1"/>
    <x v="5"/>
    <s v="World of Warcraft"/>
    <s v="Multi-platform"/>
    <n v="5.9"/>
    <m/>
    <s v="Good"/>
    <s v="Never"/>
    <s v="Failing"/>
    <m/>
    <n v="2"/>
    <s v="Depressed"/>
    <s v="Sometimes"/>
    <b v="0"/>
    <b v="0"/>
    <b v="0"/>
    <b v="1"/>
    <b v="0"/>
    <n v="0.6"/>
    <n v="7.2"/>
    <n v="5"/>
    <n v="11.8"/>
    <n v="90.9"/>
    <m/>
    <n v="7"/>
    <x v="1"/>
    <m/>
    <m/>
    <m/>
    <m/>
  </r>
  <r>
    <s v="GD0360"/>
    <n v="18"/>
    <x v="0"/>
    <x v="0"/>
    <x v="17"/>
    <x v="1"/>
    <x v="3"/>
    <s v="Cyberpunk 2077"/>
    <s v="Console"/>
    <n v="3.2"/>
    <m/>
    <s v="Very Poor"/>
    <s v="Rarely"/>
    <s v="Failing"/>
    <n v="2.7"/>
    <m/>
    <s v="Angry"/>
    <s v="Rarely"/>
    <b v="1"/>
    <b v="0"/>
    <b v="0"/>
    <b v="0"/>
    <b v="0"/>
    <n v="0.9"/>
    <n v="7.6"/>
    <n v="4"/>
    <n v="4.3"/>
    <n v="90.46"/>
    <m/>
    <n v="3"/>
    <x v="3"/>
    <m/>
    <m/>
    <m/>
    <m/>
  </r>
  <r>
    <s v="GD0361"/>
    <n v="19"/>
    <x v="0"/>
    <x v="0"/>
    <x v="28"/>
    <x v="1"/>
    <x v="1"/>
    <s v="Dota 2"/>
    <s v="PC"/>
    <n v="5.8"/>
    <m/>
    <s v="Very Poor"/>
    <s v="Sometimes"/>
    <s v="Average"/>
    <n v="3.91"/>
    <n v="3"/>
    <s v="Depressed"/>
    <s v="Rarely"/>
    <b v="1"/>
    <b v="0"/>
    <b v="0"/>
    <b v="1"/>
    <b v="1"/>
    <n v="0.2"/>
    <n v="8.3000000000000007"/>
    <n v="4"/>
    <n v="5.3"/>
    <n v="111.93"/>
    <m/>
    <n v="7"/>
    <x v="3"/>
    <m/>
    <m/>
    <m/>
    <m/>
  </r>
  <r>
    <s v="GD0362"/>
    <n v="22"/>
    <x v="1"/>
    <x v="0"/>
    <x v="28"/>
    <x v="1"/>
    <x v="1"/>
    <s v="League of Legends"/>
    <s v="Mobile"/>
    <n v="3.9"/>
    <m/>
    <s v="Poor"/>
    <s v="Never"/>
    <s v="Poor"/>
    <n v="1.74"/>
    <n v="9"/>
    <s v="Irritable"/>
    <s v="Rarely"/>
    <b v="1"/>
    <b v="0"/>
    <b v="0"/>
    <b v="1"/>
    <b v="1"/>
    <n v="3.4"/>
    <n v="7.6"/>
    <n v="5"/>
    <n v="6.2"/>
    <n v="22.27"/>
    <m/>
    <n v="10"/>
    <x v="3"/>
    <m/>
    <m/>
    <m/>
    <m/>
  </r>
  <r>
    <s v="GD0363"/>
    <n v="26"/>
    <x v="1"/>
    <x v="0"/>
    <x v="97"/>
    <x v="1"/>
    <x v="5"/>
    <s v="World of Warcraft"/>
    <s v="Console"/>
    <n v="3.1"/>
    <m/>
    <s v="Poor"/>
    <s v="Often"/>
    <s v="Poor"/>
    <m/>
    <n v="3"/>
    <s v="Irritable"/>
    <s v="Sometimes"/>
    <b v="1"/>
    <b v="1"/>
    <b v="0"/>
    <b v="1"/>
    <b v="1"/>
    <n v="0.9"/>
    <n v="7.2"/>
    <n v="7"/>
    <n v="1.6"/>
    <n v="423.75"/>
    <m/>
    <n v="12"/>
    <x v="0"/>
    <m/>
    <m/>
    <m/>
    <m/>
  </r>
  <r>
    <s v="GD0364"/>
    <n v="20"/>
    <x v="1"/>
    <x v="0"/>
    <x v="12"/>
    <x v="1"/>
    <x v="4"/>
    <s v="Warzone"/>
    <s v="Console"/>
    <n v="6.1"/>
    <m/>
    <s v="Poor"/>
    <s v="Rarely"/>
    <s v="Average"/>
    <n v="3.99"/>
    <n v="9"/>
    <s v="Restless"/>
    <s v="Often"/>
    <b v="0"/>
    <b v="0"/>
    <b v="0"/>
    <b v="1"/>
    <b v="1"/>
    <n v="2.1"/>
    <n v="8.1999999999999993"/>
    <n v="4"/>
    <n v="7.4"/>
    <n v="50.13"/>
    <m/>
    <n v="5"/>
    <x v="1"/>
    <m/>
    <m/>
    <m/>
    <m/>
  </r>
  <r>
    <s v="GD0365"/>
    <n v="17"/>
    <x v="0"/>
    <x v="0"/>
    <x v="106"/>
    <x v="1"/>
    <x v="6"/>
    <s v="StarCraft II"/>
    <s v="Multi-platform"/>
    <n v="4.7"/>
    <m/>
    <s v="Poor"/>
    <s v="Never"/>
    <s v="Poor"/>
    <n v="1.4"/>
    <m/>
    <s v="Euphoric"/>
    <s v="Sometimes"/>
    <b v="1"/>
    <b v="0"/>
    <b v="0"/>
    <b v="1"/>
    <b v="1"/>
    <n v="0.7"/>
    <n v="6.4"/>
    <n v="6"/>
    <n v="3.2"/>
    <n v="162.18"/>
    <m/>
    <n v="4"/>
    <x v="2"/>
    <m/>
    <m/>
    <m/>
    <m/>
  </r>
  <r>
    <s v="GD0366"/>
    <n v="15"/>
    <x v="0"/>
    <x v="0"/>
    <x v="65"/>
    <x v="1"/>
    <x v="6"/>
    <s v="Civilization VI"/>
    <s v="Multi-platform"/>
    <n v="3.1"/>
    <m/>
    <s v="Very Poor"/>
    <s v="Often"/>
    <s v="Below Average"/>
    <n v="3.03"/>
    <m/>
    <s v="Restless"/>
    <s v="Daily"/>
    <b v="1"/>
    <b v="0"/>
    <b v="0"/>
    <b v="1"/>
    <b v="1"/>
    <n v="2.5"/>
    <n v="4.9000000000000004"/>
    <n v="7"/>
    <n v="3"/>
    <n v="157.76"/>
    <m/>
    <n v="2"/>
    <x v="2"/>
    <m/>
    <m/>
    <m/>
    <m/>
  </r>
  <r>
    <s v="GD0367"/>
    <n v="22"/>
    <x v="1"/>
    <x v="1"/>
    <x v="37"/>
    <x v="1"/>
    <x v="2"/>
    <s v="CS:GO"/>
    <s v="Mobile"/>
    <n v="6.7"/>
    <m/>
    <s v="Poor"/>
    <s v="Sometimes"/>
    <s v="Average"/>
    <n v="2.0499999999999998"/>
    <n v="1"/>
    <s v="Anxious"/>
    <s v="Sometimes"/>
    <b v="0"/>
    <b v="0"/>
    <b v="0"/>
    <b v="0"/>
    <b v="0"/>
    <n v="1.1000000000000001"/>
    <n v="7.6"/>
    <n v="1"/>
    <n v="7.5"/>
    <n v="7.34"/>
    <m/>
    <n v="1"/>
    <x v="1"/>
    <m/>
    <m/>
    <m/>
    <m/>
  </r>
  <r>
    <s v="GD0368"/>
    <n v="14"/>
    <x v="0"/>
    <x v="1"/>
    <x v="16"/>
    <x v="1"/>
    <x v="1"/>
    <s v="Dota 2"/>
    <s v="Multi-platform"/>
    <n v="4"/>
    <m/>
    <s v="Poor"/>
    <s v="Often"/>
    <s v="Failing"/>
    <n v="3.48"/>
    <m/>
    <s v="Angry"/>
    <s v="Rarely"/>
    <b v="1"/>
    <b v="1"/>
    <b v="0"/>
    <b v="1"/>
    <b v="1"/>
    <n v="3.3"/>
    <n v="6.2"/>
    <n v="5"/>
    <n v="4.8"/>
    <n v="497.21"/>
    <m/>
    <n v="2"/>
    <x v="0"/>
    <m/>
    <m/>
    <m/>
    <m/>
  </r>
  <r>
    <s v="GD0369"/>
    <n v="19"/>
    <x v="0"/>
    <x v="0"/>
    <x v="26"/>
    <x v="1"/>
    <x v="3"/>
    <s v="Skyrim"/>
    <s v="PC"/>
    <n v="6.3"/>
    <m/>
    <s v="Good"/>
    <s v="Never"/>
    <s v="Average"/>
    <n v="2.5"/>
    <n v="3"/>
    <s v="Restless"/>
    <s v="Sometimes"/>
    <b v="0"/>
    <b v="0"/>
    <b v="0"/>
    <b v="1"/>
    <b v="0"/>
    <n v="0.1"/>
    <n v="8.1"/>
    <n v="2"/>
    <n v="8.6999999999999993"/>
    <n v="123.43"/>
    <m/>
    <n v="5"/>
    <x v="1"/>
    <m/>
    <m/>
    <m/>
    <m/>
  </r>
  <r>
    <s v="GD0370"/>
    <n v="21"/>
    <x v="1"/>
    <x v="1"/>
    <x v="15"/>
    <x v="1"/>
    <x v="4"/>
    <s v="PUBG"/>
    <s v="Mobile"/>
    <n v="4.8"/>
    <m/>
    <s v="Poor"/>
    <s v="Rarely"/>
    <s v="Excellent"/>
    <n v="3.34"/>
    <n v="9"/>
    <s v="Depressed"/>
    <s v="Often"/>
    <b v="1"/>
    <b v="0"/>
    <b v="0"/>
    <b v="1"/>
    <b v="0"/>
    <n v="3.1"/>
    <n v="7.5"/>
    <n v="4"/>
    <n v="6.3"/>
    <n v="21.6"/>
    <m/>
    <n v="2"/>
    <x v="3"/>
    <m/>
    <m/>
    <m/>
    <m/>
  </r>
  <r>
    <s v="GD0371"/>
    <n v="20"/>
    <x v="1"/>
    <x v="1"/>
    <x v="5"/>
    <x v="1"/>
    <x v="6"/>
    <s v="StarCraft II"/>
    <s v="PC"/>
    <n v="8.5"/>
    <m/>
    <s v="Good"/>
    <s v="Never"/>
    <s v="Good"/>
    <n v="1.85"/>
    <n v="8"/>
    <s v="Excited"/>
    <s v="Daily"/>
    <b v="0"/>
    <b v="0"/>
    <b v="0"/>
    <b v="0"/>
    <b v="0"/>
    <n v="0.4"/>
    <n v="9.3000000000000007"/>
    <n v="1"/>
    <n v="13"/>
    <n v="5.6"/>
    <m/>
    <n v="2"/>
    <x v="1"/>
    <m/>
    <m/>
    <m/>
    <m/>
  </r>
  <r>
    <s v="GD0372"/>
    <n v="18"/>
    <x v="0"/>
    <x v="1"/>
    <x v="99"/>
    <x v="1"/>
    <x v="4"/>
    <s v="PUBG"/>
    <s v="PC"/>
    <n v="6.6"/>
    <m/>
    <s v="Poor"/>
    <s v="Often"/>
    <s v="Poor"/>
    <n v="3.98"/>
    <m/>
    <s v="Depressed"/>
    <s v="Often"/>
    <b v="0"/>
    <b v="0"/>
    <b v="0"/>
    <b v="0"/>
    <b v="0"/>
    <n v="1"/>
    <n v="9.6"/>
    <n v="3"/>
    <n v="12.5"/>
    <n v="9.84"/>
    <m/>
    <n v="3"/>
    <x v="1"/>
    <m/>
    <m/>
    <m/>
    <m/>
  </r>
  <r>
    <s v="GD0373"/>
    <n v="21"/>
    <x v="1"/>
    <x v="0"/>
    <x v="90"/>
    <x v="1"/>
    <x v="1"/>
    <s v="Mobile Legends"/>
    <s v="Multi-platform"/>
    <n v="4.2"/>
    <m/>
    <s v="Poor"/>
    <s v="Rarely"/>
    <s v="Poor"/>
    <n v="3.19"/>
    <n v="4"/>
    <s v="Normal"/>
    <s v="Sometimes"/>
    <b v="1"/>
    <b v="0"/>
    <b v="1"/>
    <b v="1"/>
    <b v="1"/>
    <n v="4.3"/>
    <n v="5.2"/>
    <n v="7"/>
    <n v="1.6"/>
    <n v="259.23"/>
    <m/>
    <n v="1"/>
    <x v="0"/>
    <m/>
    <m/>
    <m/>
    <m/>
  </r>
  <r>
    <s v="GD0374"/>
    <n v="21"/>
    <x v="1"/>
    <x v="1"/>
    <x v="4"/>
    <x v="1"/>
    <x v="4"/>
    <s v="Fortnite"/>
    <s v="Console"/>
    <n v="3.6"/>
    <m/>
    <s v="Fair"/>
    <s v="Sometimes"/>
    <s v="Poor"/>
    <n v="1.49"/>
    <n v="8"/>
    <s v="Euphoric"/>
    <s v="Rarely"/>
    <b v="1"/>
    <b v="1"/>
    <b v="0"/>
    <b v="1"/>
    <b v="0"/>
    <n v="0.9"/>
    <n v="4.7"/>
    <n v="5"/>
    <n v="5.7"/>
    <n v="113.4"/>
    <m/>
    <n v="1"/>
    <x v="2"/>
    <m/>
    <m/>
    <m/>
    <m/>
  </r>
  <r>
    <s v="GD0375"/>
    <n v="15"/>
    <x v="0"/>
    <x v="0"/>
    <x v="68"/>
    <x v="1"/>
    <x v="6"/>
    <s v="StarCraft II"/>
    <s v="Mobile"/>
    <n v="8.5"/>
    <m/>
    <s v="Fair"/>
    <s v="Never"/>
    <s v="Good"/>
    <n v="3.68"/>
    <m/>
    <s v="Excited"/>
    <s v="Never"/>
    <b v="0"/>
    <b v="0"/>
    <b v="0"/>
    <b v="0"/>
    <b v="0"/>
    <n v="0.6"/>
    <n v="9"/>
    <n v="2"/>
    <n v="13.3"/>
    <n v="34.24"/>
    <m/>
    <n v="5"/>
    <x v="1"/>
    <m/>
    <m/>
    <m/>
    <m/>
  </r>
  <r>
    <s v="GD0376"/>
    <n v="23"/>
    <x v="1"/>
    <x v="0"/>
    <x v="110"/>
    <x v="1"/>
    <x v="0"/>
    <s v="Candy Crush"/>
    <s v="Mobile"/>
    <n v="4.3"/>
    <m/>
    <s v="Insomnia"/>
    <s v="Often"/>
    <s v="Below Average"/>
    <m/>
    <n v="8"/>
    <s v="Anxious"/>
    <s v="Rarely"/>
    <b v="1"/>
    <b v="0"/>
    <b v="0"/>
    <b v="0"/>
    <b v="1"/>
    <n v="3.7"/>
    <n v="5.9"/>
    <n v="2"/>
    <n v="6.5"/>
    <n v="65.5"/>
    <m/>
    <n v="2"/>
    <x v="3"/>
    <m/>
    <m/>
    <m/>
    <m/>
  </r>
  <r>
    <s v="GD0377"/>
    <n v="22"/>
    <x v="1"/>
    <x v="0"/>
    <x v="60"/>
    <x v="1"/>
    <x v="0"/>
    <s v="Genshin Impact"/>
    <s v="Console"/>
    <n v="6.5"/>
    <m/>
    <s v="Good"/>
    <s v="Often"/>
    <s v="Excellent"/>
    <n v="3.49"/>
    <n v="2"/>
    <s v="Restless"/>
    <s v="Rarely"/>
    <b v="0"/>
    <b v="1"/>
    <b v="0"/>
    <b v="0"/>
    <b v="1"/>
    <n v="0.1"/>
    <n v="7.2"/>
    <n v="3"/>
    <n v="5.3"/>
    <n v="138.19"/>
    <m/>
    <n v="2"/>
    <x v="3"/>
    <m/>
    <m/>
    <m/>
    <m/>
  </r>
  <r>
    <s v="GD0378"/>
    <n v="18"/>
    <x v="0"/>
    <x v="0"/>
    <x v="60"/>
    <x v="1"/>
    <x v="3"/>
    <s v="Elden Ring"/>
    <s v="PC"/>
    <n v="6"/>
    <m/>
    <s v="Poor"/>
    <s v="Always"/>
    <s v="Average"/>
    <n v="2.09"/>
    <m/>
    <s v="Euphoric"/>
    <s v="Often"/>
    <b v="0"/>
    <b v="0"/>
    <b v="0"/>
    <b v="0"/>
    <b v="0"/>
    <n v="2.1"/>
    <n v="8.1"/>
    <n v="3"/>
    <n v="7.5"/>
    <n v="122.38"/>
    <m/>
    <n v="4"/>
    <x v="1"/>
    <m/>
    <m/>
    <m/>
    <m/>
  </r>
  <r>
    <s v="GD0379"/>
    <n v="19"/>
    <x v="0"/>
    <x v="1"/>
    <x v="23"/>
    <x v="1"/>
    <x v="3"/>
    <s v="Skyrim"/>
    <s v="Mobile"/>
    <n v="6.3"/>
    <m/>
    <s v="Fair"/>
    <s v="Rarely"/>
    <s v="Average"/>
    <n v="3.28"/>
    <n v="10"/>
    <s v="Normal"/>
    <s v="Daily"/>
    <b v="0"/>
    <b v="0"/>
    <b v="0"/>
    <b v="0"/>
    <b v="1"/>
    <n v="0.5"/>
    <n v="8.8000000000000007"/>
    <n v="3"/>
    <n v="10.199999999999999"/>
    <n v="89.49"/>
    <m/>
    <n v="4"/>
    <x v="1"/>
    <m/>
    <m/>
    <m/>
    <m/>
  </r>
  <r>
    <s v="GD0380"/>
    <n v="18"/>
    <x v="0"/>
    <x v="0"/>
    <x v="17"/>
    <x v="1"/>
    <x v="6"/>
    <s v="StarCraft II"/>
    <s v="Mobile"/>
    <n v="4.5999999999999996"/>
    <m/>
    <s v="Poor"/>
    <s v="Always"/>
    <s v="Failing"/>
    <n v="3.7"/>
    <m/>
    <s v="Angry"/>
    <s v="Sometimes"/>
    <b v="0"/>
    <b v="1"/>
    <b v="0"/>
    <b v="1"/>
    <b v="0"/>
    <n v="3.3"/>
    <n v="8"/>
    <n v="3"/>
    <n v="8.6999999999999993"/>
    <n v="117.74"/>
    <m/>
    <n v="8"/>
    <x v="3"/>
    <m/>
    <m/>
    <m/>
    <m/>
  </r>
  <r>
    <s v="GD0381"/>
    <n v="17"/>
    <x v="0"/>
    <x v="0"/>
    <x v="21"/>
    <x v="1"/>
    <x v="2"/>
    <s v="CS:GO"/>
    <s v="Multi-platform"/>
    <n v="6.4"/>
    <m/>
    <s v="Fair"/>
    <s v="Often"/>
    <s v="Excellent"/>
    <n v="2.2200000000000002"/>
    <m/>
    <s v="Angry"/>
    <s v="Sometimes"/>
    <b v="0"/>
    <b v="0"/>
    <b v="0"/>
    <b v="1"/>
    <b v="0"/>
    <n v="0.9"/>
    <n v="7.8"/>
    <n v="2"/>
    <n v="9.1"/>
    <n v="115.04"/>
    <m/>
    <n v="4"/>
    <x v="1"/>
    <m/>
    <m/>
    <m/>
    <m/>
  </r>
  <r>
    <s v="GD0382"/>
    <n v="17"/>
    <x v="0"/>
    <x v="1"/>
    <x v="20"/>
    <x v="1"/>
    <x v="4"/>
    <s v="Warzone"/>
    <s v="Mobile"/>
    <n v="5.2"/>
    <m/>
    <s v="Insomnia"/>
    <s v="Always"/>
    <s v="Below Average"/>
    <n v="2.4300000000000002"/>
    <m/>
    <s v="Irritable"/>
    <s v="Daily"/>
    <b v="1"/>
    <b v="1"/>
    <b v="1"/>
    <b v="1"/>
    <b v="0"/>
    <n v="0.9"/>
    <n v="4.7"/>
    <n v="5"/>
    <n v="4.5999999999999996"/>
    <n v="206.91"/>
    <m/>
    <n v="6"/>
    <x v="0"/>
    <m/>
    <m/>
    <m/>
    <m/>
  </r>
  <r>
    <s v="GD0383"/>
    <n v="18"/>
    <x v="0"/>
    <x v="0"/>
    <x v="45"/>
    <x v="1"/>
    <x v="6"/>
    <s v="Age of Empires"/>
    <s v="Mobile"/>
    <n v="4.3"/>
    <m/>
    <s v="Poor"/>
    <s v="Often"/>
    <s v="Below Average"/>
    <n v="3.79"/>
    <m/>
    <s v="Irritable"/>
    <s v="Daily"/>
    <b v="1"/>
    <b v="0"/>
    <b v="0"/>
    <b v="1"/>
    <b v="1"/>
    <n v="0.7"/>
    <n v="8.1"/>
    <n v="5"/>
    <n v="7.2"/>
    <n v="70.709999999999994"/>
    <m/>
    <n v="6"/>
    <x v="3"/>
    <m/>
    <m/>
    <m/>
    <m/>
  </r>
  <r>
    <s v="GD0384"/>
    <n v="21"/>
    <x v="1"/>
    <x v="1"/>
    <x v="18"/>
    <x v="1"/>
    <x v="0"/>
    <s v="PUBG Mobile"/>
    <s v="PC"/>
    <n v="5.6"/>
    <m/>
    <s v="Poor"/>
    <s v="Always"/>
    <s v="Good"/>
    <n v="2.35"/>
    <n v="8"/>
    <s v="Normal"/>
    <s v="Daily"/>
    <b v="0"/>
    <b v="1"/>
    <b v="0"/>
    <b v="0"/>
    <b v="1"/>
    <n v="0.9"/>
    <n v="8.1999999999999993"/>
    <n v="4"/>
    <n v="10.7"/>
    <n v="143.21"/>
    <m/>
    <n v="6"/>
    <x v="3"/>
    <m/>
    <m/>
    <m/>
    <m/>
  </r>
  <r>
    <s v="GD0385"/>
    <n v="18"/>
    <x v="0"/>
    <x v="0"/>
    <x v="112"/>
    <x v="1"/>
    <x v="5"/>
    <s v="World of Warcraft"/>
    <s v="PC"/>
    <n v="5"/>
    <m/>
    <s v="Fair"/>
    <s v="Always"/>
    <s v="Average"/>
    <n v="2.29"/>
    <m/>
    <s v="Restless"/>
    <s v="Often"/>
    <b v="0"/>
    <b v="0"/>
    <b v="0"/>
    <b v="0"/>
    <b v="0"/>
    <n v="3.4"/>
    <n v="9.5"/>
    <n v="1"/>
    <n v="11.2"/>
    <n v="2.0699999999999998"/>
    <m/>
    <n v="6"/>
    <x v="1"/>
    <m/>
    <m/>
    <m/>
    <m/>
  </r>
  <r>
    <s v="GD0386"/>
    <n v="19"/>
    <x v="0"/>
    <x v="1"/>
    <x v="28"/>
    <x v="1"/>
    <x v="0"/>
    <s v="Clash of Clans"/>
    <s v="Console"/>
    <n v="4"/>
    <m/>
    <s v="Poor"/>
    <s v="Never"/>
    <s v="Failing"/>
    <n v="3.2"/>
    <n v="6"/>
    <s v="Normal"/>
    <s v="Daily"/>
    <b v="1"/>
    <b v="1"/>
    <b v="0"/>
    <b v="0"/>
    <b v="1"/>
    <n v="1"/>
    <n v="8.1"/>
    <n v="5"/>
    <n v="7.8"/>
    <n v="68.84"/>
    <m/>
    <n v="7"/>
    <x v="2"/>
    <m/>
    <m/>
    <m/>
    <m/>
  </r>
  <r>
    <s v="GD0387"/>
    <n v="19"/>
    <x v="0"/>
    <x v="1"/>
    <x v="4"/>
    <x v="1"/>
    <x v="4"/>
    <s v="Apex Legends"/>
    <s v="Mobile"/>
    <n v="5"/>
    <m/>
    <s v="Very Poor"/>
    <s v="Rarely"/>
    <s v="Failing"/>
    <n v="1.87"/>
    <n v="7"/>
    <s v="Angry"/>
    <s v="Rarely"/>
    <b v="1"/>
    <b v="1"/>
    <b v="0"/>
    <b v="0"/>
    <b v="1"/>
    <n v="1.1000000000000001"/>
    <n v="5.2"/>
    <n v="4"/>
    <n v="7.6"/>
    <n v="20.72"/>
    <m/>
    <n v="3"/>
    <x v="2"/>
    <m/>
    <m/>
    <m/>
    <m/>
  </r>
  <r>
    <s v="GD0388"/>
    <n v="18"/>
    <x v="0"/>
    <x v="0"/>
    <x v="21"/>
    <x v="1"/>
    <x v="1"/>
    <s v="Dota 2"/>
    <s v="Mobile"/>
    <n v="5.7"/>
    <m/>
    <s v="Fair"/>
    <s v="Never"/>
    <s v="Good"/>
    <n v="3.09"/>
    <m/>
    <s v="Irritable"/>
    <s v="Sometimes"/>
    <b v="0"/>
    <b v="0"/>
    <b v="0"/>
    <b v="0"/>
    <b v="0"/>
    <n v="0"/>
    <n v="7.6"/>
    <n v="4"/>
    <n v="11.4"/>
    <n v="67.5"/>
    <m/>
    <n v="5"/>
    <x v="1"/>
    <m/>
    <m/>
    <m/>
    <m/>
  </r>
  <r>
    <s v="GD0389"/>
    <n v="19"/>
    <x v="0"/>
    <x v="1"/>
    <x v="21"/>
    <x v="1"/>
    <x v="1"/>
    <s v="Dota 2"/>
    <s v="Console"/>
    <n v="5.0999999999999996"/>
    <m/>
    <s v="Very Poor"/>
    <s v="Often"/>
    <s v="Failing"/>
    <n v="1.45"/>
    <n v="6"/>
    <s v="Normal"/>
    <s v="Sometimes"/>
    <b v="0"/>
    <b v="0"/>
    <b v="0"/>
    <b v="1"/>
    <b v="0"/>
    <n v="1.7"/>
    <n v="6.9"/>
    <n v="2"/>
    <n v="10.8"/>
    <n v="148.41"/>
    <m/>
    <n v="9"/>
    <x v="1"/>
    <m/>
    <m/>
    <m/>
    <m/>
  </r>
  <r>
    <s v="GD0390"/>
    <n v="22"/>
    <x v="1"/>
    <x v="1"/>
    <x v="107"/>
    <x v="1"/>
    <x v="2"/>
    <s v="CS:GO"/>
    <s v="Console"/>
    <n v="6"/>
    <m/>
    <s v="Fair"/>
    <s v="Sometimes"/>
    <s v="Below Average"/>
    <n v="3.83"/>
    <n v="4"/>
    <s v="Angry"/>
    <s v="Rarely"/>
    <b v="0"/>
    <b v="0"/>
    <b v="0"/>
    <b v="0"/>
    <b v="0"/>
    <n v="1"/>
    <n v="6.7"/>
    <n v="1"/>
    <n v="10.6"/>
    <n v="48.79"/>
    <m/>
    <n v="8"/>
    <x v="1"/>
    <m/>
    <m/>
    <m/>
    <m/>
  </r>
  <r>
    <s v="GD0391"/>
    <n v="14"/>
    <x v="0"/>
    <x v="1"/>
    <x v="12"/>
    <x v="1"/>
    <x v="6"/>
    <s v="StarCraft II"/>
    <s v="PC"/>
    <n v="5.9"/>
    <m/>
    <s v="Poor"/>
    <s v="Often"/>
    <s v="Average"/>
    <n v="2.4"/>
    <m/>
    <s v="Restless"/>
    <s v="Sometimes"/>
    <b v="0"/>
    <b v="0"/>
    <b v="0"/>
    <b v="0"/>
    <b v="1"/>
    <n v="2.7"/>
    <n v="8.5"/>
    <n v="5"/>
    <n v="9.4"/>
    <n v="86.15"/>
    <m/>
    <n v="4"/>
    <x v="1"/>
    <m/>
    <m/>
    <m/>
    <m/>
  </r>
  <r>
    <s v="GD0392"/>
    <n v="26"/>
    <x v="1"/>
    <x v="0"/>
    <x v="110"/>
    <x v="1"/>
    <x v="1"/>
    <s v="Mobile Legends"/>
    <s v="Mobile"/>
    <n v="4.0999999999999996"/>
    <m/>
    <s v="Poor"/>
    <s v="Sometimes"/>
    <s v="Below Average"/>
    <m/>
    <n v="7"/>
    <s v="Euphoric"/>
    <s v="Daily"/>
    <b v="1"/>
    <b v="1"/>
    <b v="0"/>
    <b v="1"/>
    <b v="1"/>
    <n v="1.8"/>
    <n v="8.4"/>
    <n v="3"/>
    <n v="8.5"/>
    <n v="61.67"/>
    <m/>
    <n v="16"/>
    <x v="2"/>
    <m/>
    <m/>
    <m/>
    <m/>
  </r>
  <r>
    <s v="GD0393"/>
    <n v="19"/>
    <x v="0"/>
    <x v="0"/>
    <x v="59"/>
    <x v="1"/>
    <x v="2"/>
    <s v="Overwatch"/>
    <s v="Multi-platform"/>
    <n v="3"/>
    <m/>
    <s v="Poor"/>
    <s v="Always"/>
    <s v="Poor"/>
    <n v="1.42"/>
    <n v="8"/>
    <s v="Depressed"/>
    <s v="Sometimes"/>
    <b v="0"/>
    <b v="0"/>
    <b v="0"/>
    <b v="1"/>
    <b v="1"/>
    <n v="4.5"/>
    <n v="7.2"/>
    <n v="5"/>
    <n v="2.4"/>
    <n v="232.19"/>
    <m/>
    <n v="8"/>
    <x v="3"/>
    <m/>
    <m/>
    <m/>
    <m/>
  </r>
  <r>
    <s v="GD0394"/>
    <n v="19"/>
    <x v="0"/>
    <x v="1"/>
    <x v="23"/>
    <x v="1"/>
    <x v="4"/>
    <s v="PUBG"/>
    <s v="Multi-platform"/>
    <n v="6.4"/>
    <m/>
    <s v="Fair"/>
    <s v="Rarely"/>
    <s v="Below Average"/>
    <n v="2.4700000000000002"/>
    <n v="7"/>
    <s v="Restless"/>
    <s v="Often"/>
    <b v="0"/>
    <b v="1"/>
    <b v="0"/>
    <b v="1"/>
    <b v="0"/>
    <n v="0.9"/>
    <n v="5.3"/>
    <n v="5"/>
    <n v="6.5"/>
    <n v="120.38"/>
    <m/>
    <n v="7"/>
    <x v="3"/>
    <m/>
    <m/>
    <m/>
    <m/>
  </r>
  <r>
    <s v="GD0395"/>
    <n v="26"/>
    <x v="1"/>
    <x v="1"/>
    <x v="113"/>
    <x v="1"/>
    <x v="0"/>
    <s v="Clash of Clans"/>
    <s v="Console"/>
    <n v="4.5"/>
    <m/>
    <s v="Poor"/>
    <s v="Often"/>
    <s v="Poor"/>
    <m/>
    <n v="5"/>
    <s v="Irritable"/>
    <s v="Sometimes"/>
    <b v="1"/>
    <b v="1"/>
    <b v="0"/>
    <b v="1"/>
    <b v="0"/>
    <n v="2.9"/>
    <n v="4.9000000000000004"/>
    <n v="10"/>
    <n v="0"/>
    <n v="247.18"/>
    <m/>
    <n v="13"/>
    <x v="0"/>
    <m/>
    <m/>
    <m/>
    <m/>
  </r>
  <r>
    <s v="GD0396"/>
    <n v="19"/>
    <x v="0"/>
    <x v="0"/>
    <x v="12"/>
    <x v="1"/>
    <x v="0"/>
    <s v="Genshin Impact"/>
    <s v="Mobile"/>
    <n v="5.7"/>
    <m/>
    <s v="Fair"/>
    <s v="Always"/>
    <s v="Average"/>
    <n v="2.61"/>
    <n v="5"/>
    <s v="Anxious"/>
    <s v="Sometimes"/>
    <b v="0"/>
    <b v="1"/>
    <b v="0"/>
    <b v="1"/>
    <b v="1"/>
    <n v="0.5"/>
    <n v="6.5"/>
    <n v="4"/>
    <n v="5"/>
    <n v="96.56"/>
    <m/>
    <n v="5"/>
    <x v="3"/>
    <m/>
    <m/>
    <m/>
    <m/>
  </r>
  <r>
    <s v="GD0397"/>
    <n v="13"/>
    <x v="0"/>
    <x v="0"/>
    <x v="60"/>
    <x v="1"/>
    <x v="5"/>
    <s v="World of Warcraft"/>
    <s v="Multi-platform"/>
    <n v="5.5"/>
    <m/>
    <s v="Good"/>
    <s v="Sometimes"/>
    <s v="Average"/>
    <n v="3.75"/>
    <m/>
    <s v="Irritable"/>
    <s v="Often"/>
    <b v="0"/>
    <b v="1"/>
    <b v="0"/>
    <b v="0"/>
    <b v="1"/>
    <n v="0.3"/>
    <n v="5.3"/>
    <n v="4"/>
    <n v="5.0999999999999996"/>
    <n v="65.67"/>
    <m/>
    <n v="2"/>
    <x v="3"/>
    <m/>
    <m/>
    <m/>
    <m/>
  </r>
  <r>
    <s v="GD0398"/>
    <n v="21"/>
    <x v="1"/>
    <x v="0"/>
    <x v="103"/>
    <x v="1"/>
    <x v="6"/>
    <s v="StarCraft II"/>
    <s v="Mobile"/>
    <n v="5.7"/>
    <m/>
    <s v="Very Poor"/>
    <s v="Rarely"/>
    <s v="Below Average"/>
    <n v="3.67"/>
    <n v="1"/>
    <s v="Anxious"/>
    <s v="Rarely"/>
    <b v="1"/>
    <b v="0"/>
    <b v="0"/>
    <b v="1"/>
    <b v="1"/>
    <n v="1.9"/>
    <n v="4.0999999999999996"/>
    <n v="9"/>
    <n v="0"/>
    <n v="242.51"/>
    <m/>
    <n v="10"/>
    <x v="2"/>
    <m/>
    <m/>
    <m/>
    <m/>
  </r>
  <r>
    <s v="GD0399"/>
    <n v="23"/>
    <x v="1"/>
    <x v="0"/>
    <x v="20"/>
    <x v="1"/>
    <x v="6"/>
    <s v="StarCraft II"/>
    <s v="Multi-platform"/>
    <n v="3.5"/>
    <m/>
    <s v="Poor"/>
    <s v="Always"/>
    <s v="Poor"/>
    <m/>
    <n v="1"/>
    <s v="Anxious"/>
    <s v="Never"/>
    <b v="0"/>
    <b v="0"/>
    <b v="1"/>
    <b v="0"/>
    <b v="1"/>
    <n v="0"/>
    <n v="6.7"/>
    <n v="5"/>
    <n v="6.7"/>
    <n v="277.77999999999997"/>
    <m/>
    <n v="3"/>
    <x v="2"/>
    <m/>
    <m/>
    <m/>
    <m/>
  </r>
  <r>
    <s v="GD0400"/>
    <n v="26"/>
    <x v="1"/>
    <x v="1"/>
    <x v="24"/>
    <x v="1"/>
    <x v="6"/>
    <s v="Civilization VI"/>
    <s v="Console"/>
    <n v="3.9"/>
    <m/>
    <s v="Poor"/>
    <s v="Often"/>
    <s v="Average"/>
    <m/>
    <n v="1"/>
    <s v="Normal"/>
    <s v="Rarely"/>
    <b v="1"/>
    <b v="0"/>
    <b v="0"/>
    <b v="0"/>
    <b v="1"/>
    <n v="2.9"/>
    <n v="5.2"/>
    <n v="5"/>
    <n v="5.5"/>
    <n v="44.07"/>
    <m/>
    <n v="10"/>
    <x v="3"/>
    <m/>
    <m/>
    <m/>
    <m/>
  </r>
  <r>
    <s v="GD0401"/>
    <n v="20"/>
    <x v="1"/>
    <x v="0"/>
    <x v="76"/>
    <x v="1"/>
    <x v="1"/>
    <s v="League of Legends"/>
    <s v="Mobile"/>
    <n v="4.7"/>
    <m/>
    <s v="Very Poor"/>
    <s v="Always"/>
    <s v="Failing"/>
    <n v="2.46"/>
    <n v="7"/>
    <s v="Restless"/>
    <s v="Often"/>
    <b v="0"/>
    <b v="1"/>
    <b v="1"/>
    <b v="1"/>
    <b v="0"/>
    <n v="2.5"/>
    <n v="4.9000000000000004"/>
    <n v="3"/>
    <n v="3"/>
    <n v="65.22"/>
    <m/>
    <n v="2"/>
    <x v="2"/>
    <m/>
    <m/>
    <m/>
    <m/>
  </r>
  <r>
    <s v="GD0402"/>
    <n v="21"/>
    <x v="1"/>
    <x v="1"/>
    <x v="25"/>
    <x v="1"/>
    <x v="1"/>
    <s v="Dota 2"/>
    <s v="Mobile"/>
    <n v="7.2"/>
    <m/>
    <s v="Good"/>
    <s v="Never"/>
    <s v="Excellent"/>
    <n v="3.52"/>
    <n v="5"/>
    <s v="Normal"/>
    <s v="Rarely"/>
    <b v="0"/>
    <b v="0"/>
    <b v="0"/>
    <b v="0"/>
    <b v="0"/>
    <n v="0.3"/>
    <n v="11.2"/>
    <n v="1"/>
    <n v="15.2"/>
    <n v="41.12"/>
    <m/>
    <n v="10"/>
    <x v="1"/>
    <m/>
    <m/>
    <m/>
    <m/>
  </r>
  <r>
    <s v="GD0403"/>
    <n v="19"/>
    <x v="0"/>
    <x v="0"/>
    <x v="29"/>
    <x v="1"/>
    <x v="6"/>
    <s v="Civilization VI"/>
    <s v="Console"/>
    <n v="5.9"/>
    <m/>
    <s v="Fair"/>
    <s v="Always"/>
    <s v="Good"/>
    <n v="2.3199999999999998"/>
    <n v="9"/>
    <s v="Euphoric"/>
    <s v="Never"/>
    <b v="0"/>
    <b v="0"/>
    <b v="0"/>
    <b v="1"/>
    <b v="0"/>
    <n v="2.4"/>
    <n v="6.3"/>
    <n v="3"/>
    <n v="7.6"/>
    <n v="18.38"/>
    <m/>
    <n v="6"/>
    <x v="1"/>
    <m/>
    <m/>
    <m/>
    <m/>
  </r>
  <r>
    <s v="GD0404"/>
    <n v="23"/>
    <x v="1"/>
    <x v="0"/>
    <x v="60"/>
    <x v="1"/>
    <x v="5"/>
    <s v="World of Warcraft"/>
    <s v="PC"/>
    <n v="6.7"/>
    <m/>
    <s v="Poor"/>
    <s v="Sometimes"/>
    <s v="Poor"/>
    <m/>
    <n v="4"/>
    <s v="Irritable"/>
    <s v="Sometimes"/>
    <b v="0"/>
    <b v="0"/>
    <b v="0"/>
    <b v="1"/>
    <b v="1"/>
    <n v="2.7"/>
    <n v="5.5"/>
    <n v="3"/>
    <n v="7.9"/>
    <n v="22.81"/>
    <m/>
    <n v="7"/>
    <x v="1"/>
    <m/>
    <m/>
    <m/>
    <m/>
  </r>
  <r>
    <s v="GD0405"/>
    <n v="15"/>
    <x v="0"/>
    <x v="0"/>
    <x v="77"/>
    <x v="1"/>
    <x v="4"/>
    <s v="Fortnite"/>
    <s v="PC"/>
    <n v="3.8"/>
    <m/>
    <s v="Very Poor"/>
    <s v="Often"/>
    <s v="Average"/>
    <n v="1.3"/>
    <m/>
    <s v="Anxious"/>
    <s v="Rarely"/>
    <b v="1"/>
    <b v="1"/>
    <b v="0"/>
    <b v="1"/>
    <b v="1"/>
    <n v="3.2"/>
    <n v="5.7"/>
    <n v="5"/>
    <n v="5.9"/>
    <n v="226.85"/>
    <m/>
    <n v="5"/>
    <x v="0"/>
    <m/>
    <m/>
    <m/>
    <m/>
  </r>
  <r>
    <s v="GD0406"/>
    <n v="20"/>
    <x v="1"/>
    <x v="0"/>
    <x v="114"/>
    <x v="1"/>
    <x v="5"/>
    <s v="Final Fantasy XIV"/>
    <s v="Console"/>
    <n v="5"/>
    <m/>
    <s v="Poor"/>
    <s v="Never"/>
    <s v="Poor"/>
    <n v="1.1100000000000001"/>
    <n v="2"/>
    <s v="Irritable"/>
    <s v="Daily"/>
    <b v="1"/>
    <b v="0"/>
    <b v="0"/>
    <b v="1"/>
    <b v="1"/>
    <n v="2.8"/>
    <n v="3.8"/>
    <n v="8"/>
    <n v="0.6"/>
    <n v="434.02"/>
    <m/>
    <n v="4"/>
    <x v="2"/>
    <m/>
    <m/>
    <m/>
    <m/>
  </r>
  <r>
    <s v="GD0407"/>
    <n v="18"/>
    <x v="0"/>
    <x v="0"/>
    <x v="65"/>
    <x v="1"/>
    <x v="3"/>
    <s v="Elden Ring"/>
    <s v="Mobile"/>
    <n v="4.7"/>
    <m/>
    <s v="Very Poor"/>
    <s v="Often"/>
    <s v="Below Average"/>
    <n v="3.15"/>
    <m/>
    <s v="Anxious"/>
    <s v="Never"/>
    <b v="1"/>
    <b v="0"/>
    <b v="1"/>
    <b v="1"/>
    <b v="1"/>
    <n v="0.3"/>
    <n v="6"/>
    <n v="8"/>
    <n v="0.1"/>
    <n v="246.69"/>
    <m/>
    <n v="8"/>
    <x v="0"/>
    <m/>
    <m/>
    <m/>
    <m/>
  </r>
  <r>
    <s v="GD0408"/>
    <n v="31"/>
    <x v="2"/>
    <x v="1"/>
    <x v="71"/>
    <x v="1"/>
    <x v="1"/>
    <s v="League of Legends"/>
    <s v="Mobile"/>
    <n v="6.3"/>
    <m/>
    <s v="Good"/>
    <s v="Rarely"/>
    <s v="Average"/>
    <m/>
    <n v="2"/>
    <s v="Depressed"/>
    <s v="Never"/>
    <b v="0"/>
    <b v="0"/>
    <b v="0"/>
    <b v="0"/>
    <b v="0"/>
    <n v="0.3"/>
    <n v="8.1999999999999993"/>
    <n v="1"/>
    <n v="12.4"/>
    <n v="23.15"/>
    <m/>
    <n v="5"/>
    <x v="1"/>
    <m/>
    <m/>
    <m/>
    <m/>
  </r>
  <r>
    <s v="GD0409"/>
    <n v="17"/>
    <x v="0"/>
    <x v="1"/>
    <x v="115"/>
    <x v="1"/>
    <x v="4"/>
    <s v="PUBG"/>
    <s v="Console"/>
    <n v="8.3000000000000007"/>
    <m/>
    <s v="Good"/>
    <s v="Rarely"/>
    <s v="Excellent"/>
    <n v="1.48"/>
    <m/>
    <s v="Anxious"/>
    <s v="Daily"/>
    <b v="0"/>
    <b v="0"/>
    <b v="0"/>
    <b v="0"/>
    <b v="0"/>
    <n v="0.1"/>
    <n v="7.1"/>
    <n v="1"/>
    <n v="11.9"/>
    <n v="7.58"/>
    <m/>
    <n v="6"/>
    <x v="1"/>
    <m/>
    <m/>
    <m/>
    <m/>
  </r>
  <r>
    <s v="GD0410"/>
    <n v="35"/>
    <x v="2"/>
    <x v="1"/>
    <x v="33"/>
    <x v="1"/>
    <x v="4"/>
    <s v="Warzone"/>
    <s v="Mobile"/>
    <n v="7.1"/>
    <m/>
    <s v="Fair"/>
    <s v="Sometimes"/>
    <s v="Average"/>
    <m/>
    <n v="8"/>
    <s v="Excited"/>
    <s v="Rarely"/>
    <b v="0"/>
    <b v="0"/>
    <b v="0"/>
    <b v="0"/>
    <b v="0"/>
    <n v="1.1000000000000001"/>
    <n v="7.1"/>
    <n v="2"/>
    <n v="9.1"/>
    <n v="45.22"/>
    <m/>
    <n v="15"/>
    <x v="1"/>
    <m/>
    <m/>
    <m/>
    <m/>
  </r>
  <r>
    <s v="GD0411"/>
    <n v="22"/>
    <x v="1"/>
    <x v="1"/>
    <x v="44"/>
    <x v="1"/>
    <x v="3"/>
    <s v="Cyberpunk 2077"/>
    <s v="Console"/>
    <n v="6.4"/>
    <m/>
    <s v="Poor"/>
    <s v="Rarely"/>
    <s v="Poor"/>
    <n v="2.99"/>
    <n v="9"/>
    <s v="Normal"/>
    <s v="Sometimes"/>
    <b v="0"/>
    <b v="1"/>
    <b v="0"/>
    <b v="1"/>
    <b v="0"/>
    <n v="2.5"/>
    <n v="6.1"/>
    <n v="3"/>
    <n v="5.5"/>
    <n v="109.8"/>
    <m/>
    <n v="8"/>
    <x v="3"/>
    <m/>
    <m/>
    <m/>
    <m/>
  </r>
  <r>
    <s v="GD0412"/>
    <n v="25"/>
    <x v="1"/>
    <x v="1"/>
    <x v="7"/>
    <x v="1"/>
    <x v="4"/>
    <s v="Apex Legends"/>
    <s v="Console"/>
    <n v="4.8"/>
    <m/>
    <s v="Poor"/>
    <s v="Never"/>
    <s v="Average"/>
    <m/>
    <n v="3"/>
    <s v="Euphoric"/>
    <s v="Never"/>
    <b v="1"/>
    <b v="1"/>
    <b v="1"/>
    <b v="0"/>
    <b v="1"/>
    <n v="0.7"/>
    <n v="3.5"/>
    <n v="6"/>
    <n v="5.8"/>
    <n v="348.04"/>
    <m/>
    <n v="7"/>
    <x v="0"/>
    <m/>
    <m/>
    <m/>
    <m/>
  </r>
  <r>
    <s v="GD0413"/>
    <n v="16"/>
    <x v="0"/>
    <x v="0"/>
    <x v="51"/>
    <x v="1"/>
    <x v="2"/>
    <s v="Call of Duty"/>
    <s v="PC"/>
    <n v="6.8"/>
    <m/>
    <s v="Fair"/>
    <s v="Sometimes"/>
    <s v="Below Average"/>
    <n v="2.17"/>
    <m/>
    <s v="Normal"/>
    <s v="Daily"/>
    <b v="0"/>
    <b v="0"/>
    <b v="0"/>
    <b v="0"/>
    <b v="0"/>
    <n v="2"/>
    <n v="6.5"/>
    <n v="5"/>
    <n v="11.4"/>
    <n v="101.85"/>
    <m/>
    <n v="4"/>
    <x v="1"/>
    <m/>
    <m/>
    <m/>
    <m/>
  </r>
  <r>
    <s v="GD0414"/>
    <n v="19"/>
    <x v="0"/>
    <x v="1"/>
    <x v="29"/>
    <x v="1"/>
    <x v="2"/>
    <s v="CS:GO"/>
    <s v="PC"/>
    <n v="6.5"/>
    <m/>
    <s v="Good"/>
    <s v="Never"/>
    <s v="Average"/>
    <n v="2.46"/>
    <n v="1"/>
    <s v="Anxious"/>
    <s v="Often"/>
    <b v="0"/>
    <b v="0"/>
    <b v="0"/>
    <b v="1"/>
    <b v="0"/>
    <n v="1.8"/>
    <n v="8.5"/>
    <n v="5"/>
    <n v="9.5"/>
    <n v="83.38"/>
    <m/>
    <n v="5"/>
    <x v="1"/>
    <m/>
    <m/>
    <m/>
    <m/>
  </r>
  <r>
    <s v="GD0415"/>
    <n v="18"/>
    <x v="0"/>
    <x v="1"/>
    <x v="13"/>
    <x v="1"/>
    <x v="0"/>
    <s v="Clash of Clans"/>
    <s v="Mobile"/>
    <n v="5.8"/>
    <m/>
    <s v="Poor"/>
    <s v="Always"/>
    <s v="Good"/>
    <n v="2.13"/>
    <m/>
    <s v="Anxious"/>
    <s v="Rarely"/>
    <b v="0"/>
    <b v="1"/>
    <b v="0"/>
    <b v="0"/>
    <b v="1"/>
    <n v="3.6"/>
    <n v="6.6"/>
    <n v="4"/>
    <n v="7.4"/>
    <n v="31.02"/>
    <m/>
    <n v="5"/>
    <x v="3"/>
    <m/>
    <m/>
    <m/>
    <m/>
  </r>
  <r>
    <s v="GD0416"/>
    <n v="17"/>
    <x v="0"/>
    <x v="0"/>
    <x v="62"/>
    <x v="1"/>
    <x v="2"/>
    <s v="Valorant"/>
    <s v="PC"/>
    <n v="5"/>
    <m/>
    <s v="Poor"/>
    <s v="Rarely"/>
    <s v="Poor"/>
    <n v="1.24"/>
    <m/>
    <s v="Restless"/>
    <s v="Rarely"/>
    <b v="0"/>
    <b v="1"/>
    <b v="0"/>
    <b v="1"/>
    <b v="0"/>
    <n v="1.1000000000000001"/>
    <n v="6.9"/>
    <n v="2"/>
    <n v="6.7"/>
    <n v="135.83000000000001"/>
    <m/>
    <n v="2"/>
    <x v="3"/>
    <m/>
    <m/>
    <m/>
    <m/>
  </r>
  <r>
    <s v="GD0417"/>
    <n v="17"/>
    <x v="0"/>
    <x v="0"/>
    <x v="38"/>
    <x v="1"/>
    <x v="1"/>
    <s v="League of Legends"/>
    <s v="Multi-platform"/>
    <n v="5.5"/>
    <m/>
    <s v="Good"/>
    <s v="Never"/>
    <s v="Below Average"/>
    <n v="1.68"/>
    <m/>
    <s v="Depressed"/>
    <s v="Never"/>
    <b v="0"/>
    <b v="0"/>
    <b v="0"/>
    <b v="0"/>
    <b v="1"/>
    <n v="1.7"/>
    <n v="7.6"/>
    <n v="4"/>
    <n v="9"/>
    <n v="145.5"/>
    <m/>
    <n v="3"/>
    <x v="1"/>
    <m/>
    <m/>
    <m/>
    <m/>
  </r>
  <r>
    <s v="GD0418"/>
    <n v="16"/>
    <x v="0"/>
    <x v="0"/>
    <x v="56"/>
    <x v="1"/>
    <x v="1"/>
    <s v="Dota 2"/>
    <s v="Console"/>
    <n v="5.5"/>
    <m/>
    <s v="Poor"/>
    <s v="Sometimes"/>
    <s v="Poor"/>
    <n v="2.2400000000000002"/>
    <m/>
    <s v="Anxious"/>
    <s v="Often"/>
    <b v="0"/>
    <b v="1"/>
    <b v="1"/>
    <b v="1"/>
    <b v="1"/>
    <n v="2"/>
    <n v="6.9"/>
    <n v="4"/>
    <n v="8"/>
    <n v="14.14"/>
    <m/>
    <n v="1"/>
    <x v="2"/>
    <m/>
    <m/>
    <m/>
    <m/>
  </r>
  <r>
    <s v="GD0419"/>
    <n v="31"/>
    <x v="2"/>
    <x v="1"/>
    <x v="76"/>
    <x v="1"/>
    <x v="3"/>
    <s v="Elden Ring"/>
    <s v="Multi-platform"/>
    <n v="3.4"/>
    <m/>
    <s v="Poor"/>
    <s v="Rarely"/>
    <s v="Below Average"/>
    <m/>
    <n v="8"/>
    <s v="Anxious"/>
    <s v="Sometimes"/>
    <b v="1"/>
    <b v="1"/>
    <b v="1"/>
    <b v="1"/>
    <b v="0"/>
    <n v="2.8"/>
    <n v="6.4"/>
    <n v="5"/>
    <n v="3.2"/>
    <n v="38.14"/>
    <m/>
    <n v="1"/>
    <x v="0"/>
    <m/>
    <m/>
    <m/>
    <m/>
  </r>
  <r>
    <s v="GD0420"/>
    <n v="16"/>
    <x v="0"/>
    <x v="0"/>
    <x v="53"/>
    <x v="1"/>
    <x v="5"/>
    <s v="World of Warcraft"/>
    <s v="Multi-platform"/>
    <n v="6.4"/>
    <m/>
    <s v="Good"/>
    <s v="Never"/>
    <s v="Excellent"/>
    <n v="2.79"/>
    <m/>
    <s v="Euphoric"/>
    <s v="Often"/>
    <b v="0"/>
    <b v="0"/>
    <b v="0"/>
    <b v="0"/>
    <b v="0"/>
    <n v="1.7"/>
    <n v="6.5"/>
    <n v="3"/>
    <n v="10"/>
    <n v="37.75"/>
    <m/>
    <n v="5"/>
    <x v="1"/>
    <m/>
    <m/>
    <m/>
    <m/>
  </r>
  <r>
    <s v="GD0421"/>
    <n v="19"/>
    <x v="0"/>
    <x v="0"/>
    <x v="87"/>
    <x v="1"/>
    <x v="6"/>
    <s v="Age of Empires"/>
    <s v="PC"/>
    <n v="8.1999999999999993"/>
    <m/>
    <s v="Fair"/>
    <s v="Never"/>
    <s v="Excellent"/>
    <n v="2.8"/>
    <n v="2"/>
    <s v="Withdrawn"/>
    <s v="Often"/>
    <b v="0"/>
    <b v="0"/>
    <b v="0"/>
    <b v="0"/>
    <b v="0"/>
    <n v="0.1"/>
    <n v="9.4"/>
    <n v="1"/>
    <n v="15.9"/>
    <n v="18.98"/>
    <m/>
    <n v="5"/>
    <x v="1"/>
    <m/>
    <m/>
    <m/>
    <m/>
  </r>
  <r>
    <s v="GD0422"/>
    <n v="23"/>
    <x v="1"/>
    <x v="0"/>
    <x v="108"/>
    <x v="1"/>
    <x v="0"/>
    <s v="PUBG Mobile"/>
    <s v="Multi-platform"/>
    <n v="5.7"/>
    <m/>
    <s v="Poor"/>
    <s v="Never"/>
    <s v="Average"/>
    <m/>
    <n v="5"/>
    <s v="Angry"/>
    <s v="Never"/>
    <b v="1"/>
    <b v="0"/>
    <b v="1"/>
    <b v="1"/>
    <b v="0"/>
    <n v="4.9000000000000004"/>
    <n v="7.2"/>
    <n v="5"/>
    <n v="3.4"/>
    <n v="96.61"/>
    <m/>
    <n v="9"/>
    <x v="0"/>
    <m/>
    <m/>
    <m/>
    <m/>
  </r>
  <r>
    <s v="GD0423"/>
    <n v="21"/>
    <x v="1"/>
    <x v="2"/>
    <x v="21"/>
    <x v="1"/>
    <x v="5"/>
    <s v="World of Warcraft"/>
    <s v="Mobile"/>
    <n v="6.9"/>
    <m/>
    <s v="Fair"/>
    <s v="Always"/>
    <s v="Below Average"/>
    <n v="1.46"/>
    <n v="6"/>
    <s v="Restless"/>
    <s v="Never"/>
    <b v="0"/>
    <b v="0"/>
    <b v="0"/>
    <b v="1"/>
    <b v="0"/>
    <n v="0.3"/>
    <n v="7"/>
    <n v="3"/>
    <n v="8.6999999999999993"/>
    <n v="144.76"/>
    <m/>
    <n v="2"/>
    <x v="1"/>
    <m/>
    <m/>
    <m/>
    <m/>
  </r>
  <r>
    <s v="GD0424"/>
    <n v="16"/>
    <x v="0"/>
    <x v="1"/>
    <x v="26"/>
    <x v="1"/>
    <x v="1"/>
    <s v="Mobile Legends"/>
    <s v="Multi-platform"/>
    <n v="5.7"/>
    <m/>
    <s v="Fair"/>
    <s v="Rarely"/>
    <s v="Poor"/>
    <n v="1.93"/>
    <m/>
    <s v="Irritable"/>
    <s v="Rarely"/>
    <b v="0"/>
    <b v="0"/>
    <b v="0"/>
    <b v="1"/>
    <b v="0"/>
    <n v="0.9"/>
    <n v="9.3000000000000007"/>
    <n v="3"/>
    <n v="10.1"/>
    <n v="36.450000000000003"/>
    <m/>
    <n v="1"/>
    <x v="1"/>
    <m/>
    <m/>
    <m/>
    <m/>
  </r>
  <r>
    <s v="GD0425"/>
    <n v="20"/>
    <x v="1"/>
    <x v="0"/>
    <x v="13"/>
    <x v="1"/>
    <x v="5"/>
    <s v="Elder Scrolls Online"/>
    <s v="Multi-platform"/>
    <n v="3.1"/>
    <m/>
    <s v="Very Poor"/>
    <s v="Sometimes"/>
    <s v="Poor"/>
    <n v="3.71"/>
    <n v="6"/>
    <s v="Irritable"/>
    <s v="Daily"/>
    <b v="0"/>
    <b v="1"/>
    <b v="0"/>
    <b v="1"/>
    <b v="0"/>
    <n v="0.7"/>
    <n v="5.5"/>
    <n v="4"/>
    <n v="4.9000000000000004"/>
    <n v="30.38"/>
    <m/>
    <n v="2"/>
    <x v="3"/>
    <m/>
    <m/>
    <m/>
    <m/>
  </r>
  <r>
    <s v="GD0426"/>
    <n v="17"/>
    <x v="0"/>
    <x v="1"/>
    <x v="80"/>
    <x v="1"/>
    <x v="1"/>
    <s v="League of Legends"/>
    <s v="Mobile"/>
    <n v="5.3"/>
    <m/>
    <s v="Good"/>
    <s v="Sometimes"/>
    <s v="Poor"/>
    <n v="3.91"/>
    <m/>
    <s v="Restless"/>
    <s v="Rarely"/>
    <b v="0"/>
    <b v="1"/>
    <b v="1"/>
    <b v="0"/>
    <b v="0"/>
    <n v="3"/>
    <n v="3.6"/>
    <n v="5"/>
    <n v="2.2999999999999998"/>
    <n v="263.64"/>
    <m/>
    <n v="1"/>
    <x v="0"/>
    <m/>
    <m/>
    <m/>
    <m/>
  </r>
  <r>
    <s v="GD0427"/>
    <n v="29"/>
    <x v="1"/>
    <x v="0"/>
    <x v="35"/>
    <x v="1"/>
    <x v="2"/>
    <s v="Call of Duty"/>
    <s v="Console"/>
    <n v="6.6"/>
    <m/>
    <s v="Good"/>
    <s v="Often"/>
    <s v="Good"/>
    <m/>
    <n v="3"/>
    <s v="Depressed"/>
    <s v="Never"/>
    <b v="0"/>
    <b v="0"/>
    <b v="0"/>
    <b v="0"/>
    <b v="0"/>
    <n v="0.7"/>
    <n v="8.6"/>
    <n v="1"/>
    <n v="7.5"/>
    <n v="28.17"/>
    <m/>
    <n v="8"/>
    <x v="1"/>
    <m/>
    <m/>
    <m/>
    <m/>
  </r>
  <r>
    <s v="GD0428"/>
    <n v="22"/>
    <x v="1"/>
    <x v="0"/>
    <x v="116"/>
    <x v="1"/>
    <x v="1"/>
    <s v="League of Legends"/>
    <s v="PC"/>
    <n v="7.4"/>
    <m/>
    <s v="Good"/>
    <s v="Never"/>
    <s v="Excellent"/>
    <n v="1.17"/>
    <n v="1"/>
    <s v="Euphoric"/>
    <s v="Often"/>
    <b v="0"/>
    <b v="0"/>
    <b v="0"/>
    <b v="0"/>
    <b v="0"/>
    <n v="2"/>
    <n v="10.4"/>
    <n v="3"/>
    <n v="12.8"/>
    <n v="40.43"/>
    <m/>
    <n v="12"/>
    <x v="1"/>
    <m/>
    <m/>
    <m/>
    <m/>
  </r>
  <r>
    <s v="GD0429"/>
    <n v="26"/>
    <x v="1"/>
    <x v="1"/>
    <x v="11"/>
    <x v="1"/>
    <x v="5"/>
    <s v="World of Warcraft"/>
    <s v="Mobile"/>
    <n v="5.9"/>
    <m/>
    <s v="Very Poor"/>
    <s v="Always"/>
    <s v="Average"/>
    <m/>
    <n v="6"/>
    <s v="Normal"/>
    <s v="Daily"/>
    <b v="0"/>
    <b v="0"/>
    <b v="0"/>
    <b v="1"/>
    <b v="0"/>
    <n v="0.4"/>
    <n v="6.9"/>
    <n v="2"/>
    <n v="7.1"/>
    <n v="33.99"/>
    <m/>
    <n v="8"/>
    <x v="1"/>
    <m/>
    <m/>
    <m/>
    <m/>
  </r>
  <r>
    <s v="GD0430"/>
    <n v="29"/>
    <x v="1"/>
    <x v="0"/>
    <x v="44"/>
    <x v="1"/>
    <x v="0"/>
    <s v="Genshin Impact"/>
    <s v="PC"/>
    <n v="6.5"/>
    <m/>
    <s v="Good"/>
    <s v="Never"/>
    <s v="Below Average"/>
    <m/>
    <n v="1"/>
    <s v="Euphoric"/>
    <s v="Often"/>
    <b v="0"/>
    <b v="0"/>
    <b v="0"/>
    <b v="1"/>
    <b v="0"/>
    <n v="0.5"/>
    <n v="6"/>
    <n v="1"/>
    <n v="5.8"/>
    <n v="109.61"/>
    <m/>
    <n v="16"/>
    <x v="1"/>
    <m/>
    <m/>
    <m/>
    <m/>
  </r>
  <r>
    <s v="GD0431"/>
    <n v="22"/>
    <x v="1"/>
    <x v="0"/>
    <x v="54"/>
    <x v="1"/>
    <x v="0"/>
    <s v="Genshin Impact"/>
    <s v="Console"/>
    <n v="5.8"/>
    <m/>
    <s v="Fair"/>
    <s v="Never"/>
    <s v="Average"/>
    <n v="3.16"/>
    <n v="4"/>
    <s v="Restless"/>
    <s v="Rarely"/>
    <b v="0"/>
    <b v="0"/>
    <b v="0"/>
    <b v="0"/>
    <b v="0"/>
    <n v="0.1"/>
    <n v="6"/>
    <n v="4"/>
    <n v="9"/>
    <n v="89.73"/>
    <m/>
    <n v="5"/>
    <x v="1"/>
    <m/>
    <m/>
    <m/>
    <m/>
  </r>
  <r>
    <s v="GD0432"/>
    <n v="20"/>
    <x v="1"/>
    <x v="1"/>
    <x v="37"/>
    <x v="1"/>
    <x v="0"/>
    <s v="Candy Crush"/>
    <s v="Console"/>
    <n v="5.3"/>
    <m/>
    <s v="Good"/>
    <s v="Rarely"/>
    <s v="Average"/>
    <n v="3.17"/>
    <n v="7"/>
    <s v="Depressed"/>
    <s v="Often"/>
    <b v="0"/>
    <b v="0"/>
    <b v="0"/>
    <b v="0"/>
    <b v="0"/>
    <n v="0.4"/>
    <n v="7.4"/>
    <n v="2"/>
    <n v="10.8"/>
    <n v="49.48"/>
    <m/>
    <n v="7"/>
    <x v="1"/>
    <m/>
    <m/>
    <m/>
    <m/>
  </r>
  <r>
    <s v="GD0433"/>
    <n v="20"/>
    <x v="1"/>
    <x v="0"/>
    <x v="112"/>
    <x v="1"/>
    <x v="2"/>
    <s v="CS:GO"/>
    <s v="PC"/>
    <n v="5.8"/>
    <m/>
    <s v="Fair"/>
    <s v="Often"/>
    <s v="Excellent"/>
    <n v="3.73"/>
    <n v="9"/>
    <s v="Normal"/>
    <s v="Daily"/>
    <b v="0"/>
    <b v="0"/>
    <b v="0"/>
    <b v="1"/>
    <b v="0"/>
    <n v="0.8"/>
    <n v="7.2"/>
    <n v="5"/>
    <n v="6.3"/>
    <n v="135.01"/>
    <m/>
    <n v="6"/>
    <x v="1"/>
    <m/>
    <m/>
    <m/>
    <m/>
  </r>
  <r>
    <s v="GD0434"/>
    <n v="18"/>
    <x v="0"/>
    <x v="0"/>
    <x v="107"/>
    <x v="1"/>
    <x v="0"/>
    <s v="Clash of Clans"/>
    <s v="Mobile"/>
    <n v="5.2"/>
    <m/>
    <s v="Fair"/>
    <s v="Often"/>
    <s v="Average"/>
    <n v="3.04"/>
    <m/>
    <s v="Restless"/>
    <s v="Daily"/>
    <b v="0"/>
    <b v="0"/>
    <b v="0"/>
    <b v="0"/>
    <b v="0"/>
    <n v="1.1000000000000001"/>
    <n v="9.9"/>
    <n v="2"/>
    <n v="8"/>
    <n v="21.62"/>
    <m/>
    <n v="6"/>
    <x v="1"/>
    <m/>
    <m/>
    <m/>
    <m/>
  </r>
  <r>
    <s v="GD0435"/>
    <n v="17"/>
    <x v="0"/>
    <x v="0"/>
    <x v="100"/>
    <x v="1"/>
    <x v="0"/>
    <s v="PUBG Mobile"/>
    <s v="Mobile"/>
    <n v="5.7"/>
    <m/>
    <s v="Insomnia"/>
    <s v="Never"/>
    <s v="Below Average"/>
    <n v="2.5299999999999998"/>
    <m/>
    <s v="Normal"/>
    <s v="Often"/>
    <b v="1"/>
    <b v="0"/>
    <b v="1"/>
    <b v="1"/>
    <b v="1"/>
    <n v="0.9"/>
    <n v="6.2"/>
    <n v="6"/>
    <n v="4.5"/>
    <n v="147.19999999999999"/>
    <m/>
    <n v="4"/>
    <x v="2"/>
    <m/>
    <m/>
    <m/>
    <m/>
  </r>
  <r>
    <s v="GD0436"/>
    <n v="20"/>
    <x v="1"/>
    <x v="0"/>
    <x v="82"/>
    <x v="1"/>
    <x v="2"/>
    <s v="Overwatch"/>
    <s v="Mobile"/>
    <n v="6.9"/>
    <m/>
    <s v="Fair"/>
    <s v="Never"/>
    <s v="Good"/>
    <n v="3.49"/>
    <n v="5"/>
    <s v="Normal"/>
    <s v="Sometimes"/>
    <b v="0"/>
    <b v="0"/>
    <b v="0"/>
    <b v="1"/>
    <b v="0"/>
    <n v="1.7"/>
    <n v="5.6"/>
    <n v="3"/>
    <n v="9.6"/>
    <n v="97.04"/>
    <m/>
    <n v="7"/>
    <x v="1"/>
    <m/>
    <m/>
    <m/>
    <m/>
  </r>
  <r>
    <s v="GD0437"/>
    <n v="23"/>
    <x v="1"/>
    <x v="0"/>
    <x v="29"/>
    <x v="1"/>
    <x v="1"/>
    <s v="League of Legends"/>
    <s v="Multi-platform"/>
    <n v="5.4"/>
    <m/>
    <s v="Fair"/>
    <s v="Never"/>
    <s v="Good"/>
    <m/>
    <n v="5"/>
    <s v="Restless"/>
    <s v="Never"/>
    <b v="0"/>
    <b v="0"/>
    <b v="0"/>
    <b v="1"/>
    <b v="0"/>
    <n v="6.5"/>
    <n v="9"/>
    <n v="4"/>
    <n v="9.6999999999999993"/>
    <n v="74.83"/>
    <m/>
    <n v="7"/>
    <x v="1"/>
    <m/>
    <m/>
    <m/>
    <m/>
  </r>
  <r>
    <s v="GD0438"/>
    <n v="22"/>
    <x v="1"/>
    <x v="0"/>
    <x v="96"/>
    <x v="1"/>
    <x v="4"/>
    <s v="PUBG"/>
    <s v="PC"/>
    <n v="5.3"/>
    <m/>
    <s v="Good"/>
    <s v="Always"/>
    <s v="Average"/>
    <n v="2.31"/>
    <n v="9"/>
    <s v="Anxious"/>
    <s v="Sometimes"/>
    <b v="0"/>
    <b v="0"/>
    <b v="0"/>
    <b v="0"/>
    <b v="0"/>
    <n v="2.5"/>
    <n v="7.1"/>
    <n v="1"/>
    <n v="12.2"/>
    <n v="13.27"/>
    <m/>
    <n v="2"/>
    <x v="1"/>
    <m/>
    <m/>
    <m/>
    <m/>
  </r>
  <r>
    <s v="GD0439"/>
    <n v="17"/>
    <x v="0"/>
    <x v="1"/>
    <x v="37"/>
    <x v="1"/>
    <x v="4"/>
    <s v="Fortnite"/>
    <s v="PC"/>
    <n v="6"/>
    <m/>
    <s v="Fair"/>
    <s v="Never"/>
    <s v="Good"/>
    <n v="1.67"/>
    <m/>
    <s v="Restless"/>
    <s v="Daily"/>
    <b v="0"/>
    <b v="0"/>
    <b v="0"/>
    <b v="0"/>
    <b v="0"/>
    <n v="0.1"/>
    <n v="6.1"/>
    <n v="2"/>
    <n v="12.5"/>
    <n v="34.03"/>
    <m/>
    <n v="7"/>
    <x v="1"/>
    <m/>
    <m/>
    <m/>
    <m/>
  </r>
  <r>
    <s v="GD0440"/>
    <n v="32"/>
    <x v="2"/>
    <x v="1"/>
    <x v="27"/>
    <x v="1"/>
    <x v="2"/>
    <s v="CS:GO"/>
    <s v="Mobile"/>
    <n v="7.4"/>
    <m/>
    <s v="Good"/>
    <s v="Sometimes"/>
    <s v="Below Average"/>
    <m/>
    <n v="9"/>
    <s v="Normal"/>
    <s v="Daily"/>
    <b v="0"/>
    <b v="0"/>
    <b v="0"/>
    <b v="0"/>
    <b v="0"/>
    <n v="0.2"/>
    <n v="8"/>
    <n v="1"/>
    <n v="14.3"/>
    <n v="49.46"/>
    <m/>
    <n v="3"/>
    <x v="1"/>
    <m/>
    <m/>
    <m/>
    <m/>
  </r>
  <r>
    <s v="GD0441"/>
    <n v="18"/>
    <x v="0"/>
    <x v="1"/>
    <x v="29"/>
    <x v="1"/>
    <x v="6"/>
    <s v="StarCraft II"/>
    <s v="Multi-platform"/>
    <n v="6.9"/>
    <m/>
    <s v="Fair"/>
    <s v="Sometimes"/>
    <s v="Average"/>
    <n v="1.05"/>
    <m/>
    <s v="Angry"/>
    <s v="Never"/>
    <b v="0"/>
    <b v="0"/>
    <b v="0"/>
    <b v="0"/>
    <b v="0"/>
    <n v="0.4"/>
    <n v="8.1999999999999993"/>
    <n v="2"/>
    <n v="6.2"/>
    <n v="100.04"/>
    <m/>
    <n v="2"/>
    <x v="1"/>
    <m/>
    <m/>
    <m/>
    <m/>
  </r>
  <r>
    <s v="GD0442"/>
    <n v="17"/>
    <x v="0"/>
    <x v="1"/>
    <x v="12"/>
    <x v="1"/>
    <x v="4"/>
    <s v="PUBG"/>
    <s v="PC"/>
    <n v="6.4"/>
    <m/>
    <s v="Fair"/>
    <s v="Always"/>
    <s v="Good"/>
    <n v="3.6"/>
    <m/>
    <s v="Angry"/>
    <s v="Often"/>
    <b v="0"/>
    <b v="0"/>
    <b v="0"/>
    <b v="1"/>
    <b v="0"/>
    <n v="3.6"/>
    <n v="6.4"/>
    <n v="4"/>
    <n v="7"/>
    <n v="87.25"/>
    <m/>
    <n v="5"/>
    <x v="1"/>
    <m/>
    <m/>
    <m/>
    <m/>
  </r>
  <r>
    <s v="GD0443"/>
    <n v="14"/>
    <x v="0"/>
    <x v="0"/>
    <x v="41"/>
    <x v="1"/>
    <x v="2"/>
    <s v="Call of Duty"/>
    <s v="Multi-platform"/>
    <n v="4.8"/>
    <m/>
    <s v="Very Poor"/>
    <s v="Sometimes"/>
    <s v="Failing"/>
    <n v="2.61"/>
    <m/>
    <s v="Euphoric"/>
    <s v="Daily"/>
    <b v="0"/>
    <b v="1"/>
    <b v="0"/>
    <b v="1"/>
    <b v="1"/>
    <n v="5.3"/>
    <n v="3.2"/>
    <n v="6"/>
    <n v="3.2"/>
    <n v="237.13"/>
    <m/>
    <n v="3"/>
    <x v="2"/>
    <m/>
    <m/>
    <m/>
    <m/>
  </r>
  <r>
    <s v="GD0444"/>
    <n v="17"/>
    <x v="0"/>
    <x v="0"/>
    <x v="116"/>
    <x v="1"/>
    <x v="2"/>
    <s v="Overwatch"/>
    <s v="Mobile"/>
    <n v="8.4"/>
    <m/>
    <s v="Fair"/>
    <s v="Rarely"/>
    <s v="Excellent"/>
    <n v="2.61"/>
    <m/>
    <s v="Normal"/>
    <s v="Often"/>
    <b v="0"/>
    <b v="0"/>
    <b v="0"/>
    <b v="0"/>
    <b v="0"/>
    <n v="0.5"/>
    <n v="8.6999999999999993"/>
    <n v="1"/>
    <n v="9.9"/>
    <n v="14.02"/>
    <m/>
    <n v="6"/>
    <x v="1"/>
    <m/>
    <m/>
    <m/>
    <m/>
  </r>
  <r>
    <s v="GD0445"/>
    <n v="25"/>
    <x v="1"/>
    <x v="1"/>
    <x v="21"/>
    <x v="1"/>
    <x v="4"/>
    <s v="Fortnite"/>
    <s v="Mobile"/>
    <n v="6"/>
    <m/>
    <s v="Fair"/>
    <s v="Always"/>
    <s v="Excellent"/>
    <m/>
    <n v="4"/>
    <s v="Angry"/>
    <s v="Never"/>
    <b v="0"/>
    <b v="0"/>
    <b v="0"/>
    <b v="1"/>
    <b v="0"/>
    <n v="1.5"/>
    <n v="8.1"/>
    <n v="3"/>
    <n v="10.4"/>
    <n v="54.39"/>
    <m/>
    <n v="1"/>
    <x v="1"/>
    <m/>
    <m/>
    <m/>
    <m/>
  </r>
  <r>
    <s v="GD0446"/>
    <n v="18"/>
    <x v="0"/>
    <x v="0"/>
    <x v="63"/>
    <x v="1"/>
    <x v="0"/>
    <s v="Genshin Impact"/>
    <s v="Multi-platform"/>
    <n v="4.2"/>
    <m/>
    <s v="Poor"/>
    <s v="Always"/>
    <s v="Below Average"/>
    <n v="3.21"/>
    <m/>
    <s v="Angry"/>
    <s v="Daily"/>
    <b v="1"/>
    <b v="1"/>
    <b v="0"/>
    <b v="0"/>
    <b v="0"/>
    <n v="0.8"/>
    <n v="4.8"/>
    <n v="4"/>
    <n v="6.1"/>
    <n v="67.44"/>
    <m/>
    <n v="6"/>
    <x v="2"/>
    <m/>
    <m/>
    <m/>
    <m/>
  </r>
  <r>
    <s v="GD0447"/>
    <n v="18"/>
    <x v="0"/>
    <x v="1"/>
    <x v="115"/>
    <x v="1"/>
    <x v="3"/>
    <s v="Elden Ring"/>
    <s v="Mobile"/>
    <n v="7"/>
    <m/>
    <s v="Good"/>
    <s v="Often"/>
    <s v="Average"/>
    <n v="3.63"/>
    <m/>
    <s v="Normal"/>
    <s v="Often"/>
    <b v="0"/>
    <b v="0"/>
    <b v="0"/>
    <b v="0"/>
    <b v="0"/>
    <n v="0.1"/>
    <n v="9.5"/>
    <n v="1"/>
    <n v="13"/>
    <n v="9.19"/>
    <m/>
    <n v="8"/>
    <x v="1"/>
    <m/>
    <m/>
    <m/>
    <m/>
  </r>
  <r>
    <s v="GD0448"/>
    <n v="19"/>
    <x v="0"/>
    <x v="1"/>
    <x v="5"/>
    <x v="1"/>
    <x v="5"/>
    <s v="Elder Scrolls Online"/>
    <s v="PC"/>
    <n v="8.9"/>
    <m/>
    <s v="Good"/>
    <s v="Always"/>
    <s v="Good"/>
    <n v="1.32"/>
    <n v="10"/>
    <s v="Normal"/>
    <s v="Rarely"/>
    <b v="0"/>
    <b v="0"/>
    <b v="0"/>
    <b v="0"/>
    <b v="0"/>
    <n v="0.1"/>
    <n v="7.6"/>
    <n v="2"/>
    <n v="14.5"/>
    <n v="33.11"/>
    <m/>
    <n v="5"/>
    <x v="1"/>
    <m/>
    <m/>
    <m/>
    <m/>
  </r>
  <r>
    <s v="GD0449"/>
    <n v="21"/>
    <x v="1"/>
    <x v="0"/>
    <x v="88"/>
    <x v="1"/>
    <x v="6"/>
    <s v="Age of Empires"/>
    <s v="Multi-platform"/>
    <n v="5.3"/>
    <m/>
    <s v="Very Poor"/>
    <s v="Never"/>
    <s v="Poor"/>
    <n v="1.88"/>
    <n v="4"/>
    <s v="Anxious"/>
    <s v="Daily"/>
    <b v="0"/>
    <b v="1"/>
    <b v="1"/>
    <b v="1"/>
    <b v="1"/>
    <n v="1.5"/>
    <n v="3.8"/>
    <n v="4"/>
    <n v="7.1"/>
    <n v="493.27"/>
    <m/>
    <n v="11"/>
    <x v="0"/>
    <m/>
    <m/>
    <m/>
    <m/>
  </r>
  <r>
    <s v="GD0450"/>
    <n v="20"/>
    <x v="1"/>
    <x v="1"/>
    <x v="99"/>
    <x v="1"/>
    <x v="1"/>
    <s v="Mobile Legends"/>
    <s v="PC"/>
    <n v="6.9"/>
    <m/>
    <s v="Poor"/>
    <s v="Always"/>
    <s v="Excellent"/>
    <n v="2.52"/>
    <n v="4"/>
    <s v="Euphoric"/>
    <s v="Often"/>
    <b v="0"/>
    <b v="0"/>
    <b v="0"/>
    <b v="0"/>
    <b v="0"/>
    <n v="0"/>
    <n v="8.5"/>
    <n v="2"/>
    <n v="7.8"/>
    <n v="38.82"/>
    <m/>
    <n v="2"/>
    <x v="1"/>
    <m/>
    <m/>
    <m/>
    <m/>
  </r>
  <r>
    <s v="GD0451"/>
    <n v="15"/>
    <x v="0"/>
    <x v="1"/>
    <x v="10"/>
    <x v="1"/>
    <x v="5"/>
    <s v="Final Fantasy XIV"/>
    <s v="Multi-platform"/>
    <n v="3.8"/>
    <m/>
    <s v="Very Poor"/>
    <s v="Rarely"/>
    <s v="Below Average"/>
    <n v="3.53"/>
    <m/>
    <s v="Angry"/>
    <s v="Rarely"/>
    <b v="0"/>
    <b v="1"/>
    <b v="1"/>
    <b v="1"/>
    <b v="1"/>
    <n v="1.5"/>
    <n v="3.7"/>
    <n v="5"/>
    <n v="5.8"/>
    <n v="229.59"/>
    <m/>
    <n v="1"/>
    <x v="0"/>
    <m/>
    <m/>
    <m/>
    <m/>
  </r>
  <r>
    <s v="GD0452"/>
    <n v="21"/>
    <x v="1"/>
    <x v="0"/>
    <x v="54"/>
    <x v="1"/>
    <x v="6"/>
    <s v="Age of Empires"/>
    <s v="PC"/>
    <n v="6.6"/>
    <m/>
    <s v="Good"/>
    <s v="Rarely"/>
    <s v="Good"/>
    <n v="1.65"/>
    <n v="8"/>
    <s v="Depressed"/>
    <s v="Never"/>
    <b v="0"/>
    <b v="0"/>
    <b v="0"/>
    <b v="0"/>
    <b v="0"/>
    <n v="1.4"/>
    <n v="8.8000000000000007"/>
    <n v="3"/>
    <n v="6.8"/>
    <n v="25.71"/>
    <m/>
    <n v="1"/>
    <x v="1"/>
    <m/>
    <m/>
    <m/>
    <m/>
  </r>
  <r>
    <s v="GD0453"/>
    <n v="15"/>
    <x v="0"/>
    <x v="0"/>
    <x v="96"/>
    <x v="1"/>
    <x v="1"/>
    <s v="League of Legends"/>
    <s v="PC"/>
    <n v="6.6"/>
    <m/>
    <s v="Very Poor"/>
    <s v="Rarely"/>
    <s v="Good"/>
    <n v="1.51"/>
    <m/>
    <s v="Restless"/>
    <s v="Often"/>
    <b v="0"/>
    <b v="0"/>
    <b v="0"/>
    <b v="0"/>
    <b v="0"/>
    <n v="0.2"/>
    <n v="7.1"/>
    <n v="2"/>
    <n v="10.3"/>
    <n v="19.239999999999998"/>
    <m/>
    <n v="1"/>
    <x v="1"/>
    <m/>
    <m/>
    <m/>
    <m/>
  </r>
  <r>
    <s v="GD0454"/>
    <n v="20"/>
    <x v="1"/>
    <x v="1"/>
    <x v="38"/>
    <x v="1"/>
    <x v="0"/>
    <s v="Clash of Clans"/>
    <s v="Console"/>
    <n v="5.3"/>
    <m/>
    <s v="Poor"/>
    <s v="Often"/>
    <s v="Good"/>
    <n v="1.95"/>
    <n v="10"/>
    <s v="Euphoric"/>
    <s v="Sometimes"/>
    <b v="0"/>
    <b v="1"/>
    <b v="0"/>
    <b v="1"/>
    <b v="1"/>
    <n v="1.1000000000000001"/>
    <n v="8.4"/>
    <n v="4"/>
    <n v="7.8"/>
    <n v="47.33"/>
    <m/>
    <n v="3"/>
    <x v="3"/>
    <m/>
    <m/>
    <m/>
    <m/>
  </r>
  <r>
    <s v="GD0455"/>
    <n v="26"/>
    <x v="1"/>
    <x v="0"/>
    <x v="66"/>
    <x v="1"/>
    <x v="3"/>
    <s v="Elden Ring"/>
    <s v="Console"/>
    <n v="5.7"/>
    <m/>
    <s v="Poor"/>
    <s v="Rarely"/>
    <s v="Average"/>
    <m/>
    <n v="2"/>
    <s v="Restless"/>
    <s v="Often"/>
    <b v="0"/>
    <b v="0"/>
    <b v="0"/>
    <b v="0"/>
    <b v="0"/>
    <n v="0.6"/>
    <n v="9.1"/>
    <n v="3"/>
    <n v="11.4"/>
    <n v="118.39"/>
    <m/>
    <n v="12"/>
    <x v="1"/>
    <m/>
    <m/>
    <m/>
    <m/>
  </r>
  <r>
    <s v="GD0456"/>
    <n v="15"/>
    <x v="0"/>
    <x v="0"/>
    <x v="4"/>
    <x v="1"/>
    <x v="1"/>
    <s v="Dota 2"/>
    <s v="PC"/>
    <n v="4.5"/>
    <m/>
    <s v="Poor"/>
    <s v="Often"/>
    <s v="Poor"/>
    <n v="1.93"/>
    <m/>
    <s v="Irritable"/>
    <s v="Often"/>
    <b v="0"/>
    <b v="0"/>
    <b v="0"/>
    <b v="1"/>
    <b v="0"/>
    <n v="1.4"/>
    <n v="6.3"/>
    <n v="4"/>
    <n v="8.5"/>
    <n v="25.24"/>
    <m/>
    <n v="5"/>
    <x v="1"/>
    <m/>
    <m/>
    <m/>
    <m/>
  </r>
  <r>
    <s v="GD0457"/>
    <n v="20"/>
    <x v="1"/>
    <x v="0"/>
    <x v="99"/>
    <x v="1"/>
    <x v="6"/>
    <s v="Age of Empires"/>
    <s v="Multi-platform"/>
    <n v="5.3"/>
    <m/>
    <s v="Fair"/>
    <s v="Rarely"/>
    <s v="Average"/>
    <n v="1.04"/>
    <n v="2"/>
    <s v="Angry"/>
    <s v="Daily"/>
    <b v="0"/>
    <b v="0"/>
    <b v="0"/>
    <b v="0"/>
    <b v="0"/>
    <n v="2"/>
    <n v="7.2"/>
    <n v="1"/>
    <n v="9.1"/>
    <n v="39.06"/>
    <m/>
    <n v="3"/>
    <x v="1"/>
    <m/>
    <m/>
    <m/>
    <m/>
  </r>
  <r>
    <s v="GD0458"/>
    <n v="30"/>
    <x v="1"/>
    <x v="0"/>
    <x v="23"/>
    <x v="1"/>
    <x v="0"/>
    <s v="PUBG Mobile"/>
    <s v="PC"/>
    <n v="5.3"/>
    <m/>
    <s v="Good"/>
    <s v="Always"/>
    <s v="Average"/>
    <m/>
    <n v="1"/>
    <s v="Irritable"/>
    <s v="Never"/>
    <b v="0"/>
    <b v="0"/>
    <b v="0"/>
    <b v="1"/>
    <b v="0"/>
    <n v="0.3"/>
    <n v="6.1"/>
    <n v="4"/>
    <n v="9.5"/>
    <n v="32.6"/>
    <m/>
    <n v="8"/>
    <x v="1"/>
    <m/>
    <m/>
    <m/>
    <m/>
  </r>
  <r>
    <s v="GD0459"/>
    <n v="16"/>
    <x v="0"/>
    <x v="0"/>
    <x v="117"/>
    <x v="1"/>
    <x v="4"/>
    <s v="Fortnite"/>
    <s v="Mobile"/>
    <n v="3.3"/>
    <m/>
    <s v="Poor"/>
    <s v="Never"/>
    <s v="Average"/>
    <n v="1.52"/>
    <m/>
    <s v="Angry"/>
    <s v="Sometimes"/>
    <b v="0"/>
    <b v="0"/>
    <b v="1"/>
    <b v="1"/>
    <b v="1"/>
    <n v="0.9"/>
    <n v="5.8"/>
    <n v="5"/>
    <n v="7.4"/>
    <n v="97.89"/>
    <m/>
    <n v="3"/>
    <x v="3"/>
    <m/>
    <m/>
    <m/>
    <m/>
  </r>
  <r>
    <s v="GD0460"/>
    <n v="21"/>
    <x v="1"/>
    <x v="0"/>
    <x v="76"/>
    <x v="1"/>
    <x v="3"/>
    <s v="Elden Ring"/>
    <s v="PC"/>
    <n v="3.3"/>
    <m/>
    <s v="Very Poor"/>
    <s v="Often"/>
    <s v="Below Average"/>
    <n v="2.2799999999999998"/>
    <n v="9"/>
    <s v="Anxious"/>
    <s v="Often"/>
    <b v="1"/>
    <b v="1"/>
    <b v="0"/>
    <b v="1"/>
    <b v="1"/>
    <n v="1.2"/>
    <n v="4.4000000000000004"/>
    <n v="5"/>
    <n v="3.3"/>
    <n v="93.4"/>
    <m/>
    <n v="8"/>
    <x v="2"/>
    <m/>
    <m/>
    <m/>
    <m/>
  </r>
  <r>
    <s v="GD0461"/>
    <n v="16"/>
    <x v="0"/>
    <x v="0"/>
    <x v="44"/>
    <x v="1"/>
    <x v="3"/>
    <s v="Elden Ring"/>
    <s v="PC"/>
    <n v="6.6"/>
    <m/>
    <s v="Good"/>
    <s v="Rarely"/>
    <s v="Average"/>
    <n v="3.61"/>
    <m/>
    <s v="Restless"/>
    <s v="Sometimes"/>
    <b v="0"/>
    <b v="0"/>
    <b v="0"/>
    <b v="1"/>
    <b v="1"/>
    <n v="1.6"/>
    <n v="6"/>
    <n v="3"/>
    <n v="8.6999999999999993"/>
    <n v="35.94"/>
    <m/>
    <n v="4"/>
    <x v="1"/>
    <m/>
    <m/>
    <m/>
    <m/>
  </r>
  <r>
    <s v="GD0462"/>
    <n v="21"/>
    <x v="1"/>
    <x v="0"/>
    <x v="70"/>
    <x v="1"/>
    <x v="5"/>
    <s v="Final Fantasy XIV"/>
    <s v="Console"/>
    <n v="5.5"/>
    <m/>
    <s v="Good"/>
    <s v="Always"/>
    <s v="Poor"/>
    <n v="1.07"/>
    <n v="3"/>
    <s v="Restless"/>
    <s v="Sometimes"/>
    <b v="0"/>
    <b v="1"/>
    <b v="0"/>
    <b v="1"/>
    <b v="0"/>
    <n v="2.4"/>
    <n v="6.7"/>
    <n v="3"/>
    <n v="7.8"/>
    <n v="96.1"/>
    <m/>
    <n v="2"/>
    <x v="3"/>
    <m/>
    <m/>
    <m/>
    <m/>
  </r>
  <r>
    <s v="GD0463"/>
    <n v="21"/>
    <x v="1"/>
    <x v="1"/>
    <x v="44"/>
    <x v="1"/>
    <x v="5"/>
    <s v="World of Warcraft"/>
    <s v="Mobile"/>
    <n v="5.3"/>
    <m/>
    <s v="Poor"/>
    <s v="Never"/>
    <s v="Good"/>
    <n v="1.82"/>
    <n v="1"/>
    <s v="Angry"/>
    <s v="Never"/>
    <b v="0"/>
    <b v="1"/>
    <b v="0"/>
    <b v="1"/>
    <b v="0"/>
    <n v="0.9"/>
    <n v="7.3"/>
    <n v="5"/>
    <n v="5"/>
    <n v="27.43"/>
    <m/>
    <n v="7"/>
    <x v="3"/>
    <m/>
    <m/>
    <m/>
    <m/>
  </r>
  <r>
    <s v="GD0464"/>
    <n v="25"/>
    <x v="1"/>
    <x v="1"/>
    <x v="118"/>
    <x v="1"/>
    <x v="1"/>
    <s v="Mobile Legends"/>
    <s v="Mobile"/>
    <n v="3.5"/>
    <m/>
    <s v="Fair"/>
    <s v="Never"/>
    <s v="Failing"/>
    <m/>
    <n v="6"/>
    <s v="Restless"/>
    <s v="Daily"/>
    <b v="1"/>
    <b v="0"/>
    <b v="0"/>
    <b v="1"/>
    <b v="0"/>
    <n v="1.1000000000000001"/>
    <n v="3.8"/>
    <n v="10"/>
    <n v="0"/>
    <n v="120.1"/>
    <m/>
    <n v="1"/>
    <x v="2"/>
    <m/>
    <m/>
    <m/>
    <m/>
  </r>
  <r>
    <s v="GD0465"/>
    <n v="14"/>
    <x v="0"/>
    <x v="1"/>
    <x v="119"/>
    <x v="1"/>
    <x v="5"/>
    <s v="Elder Scrolls Online"/>
    <s v="Multi-platform"/>
    <n v="4.3"/>
    <m/>
    <s v="Poor"/>
    <s v="Sometimes"/>
    <s v="Failing"/>
    <n v="3.22"/>
    <m/>
    <s v="Depressed"/>
    <s v="Never"/>
    <b v="0"/>
    <b v="1"/>
    <b v="1"/>
    <b v="1"/>
    <b v="1"/>
    <n v="1.5"/>
    <n v="2.5"/>
    <n v="7"/>
    <n v="0"/>
    <n v="339.9"/>
    <m/>
    <n v="4"/>
    <x v="0"/>
    <m/>
    <m/>
    <m/>
    <m/>
  </r>
  <r>
    <s v="GD0466"/>
    <n v="18"/>
    <x v="0"/>
    <x v="0"/>
    <x v="55"/>
    <x v="1"/>
    <x v="6"/>
    <s v="StarCraft II"/>
    <s v="Mobile"/>
    <n v="6.9"/>
    <m/>
    <s v="Fair"/>
    <s v="Always"/>
    <s v="Below Average"/>
    <n v="1.87"/>
    <m/>
    <s v="Irritable"/>
    <s v="Sometimes"/>
    <b v="0"/>
    <b v="1"/>
    <b v="0"/>
    <b v="1"/>
    <b v="1"/>
    <n v="0.7"/>
    <n v="7.1"/>
    <n v="4"/>
    <n v="6.4"/>
    <n v="30.5"/>
    <m/>
    <n v="4"/>
    <x v="3"/>
    <m/>
    <m/>
    <m/>
    <m/>
  </r>
  <r>
    <s v="GD0467"/>
    <n v="17"/>
    <x v="0"/>
    <x v="1"/>
    <x v="44"/>
    <x v="1"/>
    <x v="1"/>
    <s v="Dota 2"/>
    <s v="Multi-platform"/>
    <n v="5.2"/>
    <m/>
    <s v="Very Poor"/>
    <s v="Sometimes"/>
    <s v="Average"/>
    <n v="1.28"/>
    <m/>
    <s v="Restless"/>
    <s v="Daily"/>
    <b v="0"/>
    <b v="1"/>
    <b v="0"/>
    <b v="1"/>
    <b v="1"/>
    <n v="1"/>
    <n v="5.5"/>
    <n v="2"/>
    <n v="7.4"/>
    <n v="32.229999999999997"/>
    <m/>
    <n v="2"/>
    <x v="3"/>
    <m/>
    <m/>
    <m/>
    <m/>
  </r>
  <r>
    <s v="GD0468"/>
    <n v="14"/>
    <x v="0"/>
    <x v="0"/>
    <x v="68"/>
    <x v="1"/>
    <x v="1"/>
    <s v="Mobile Legends"/>
    <s v="Mobile"/>
    <n v="8.8000000000000007"/>
    <m/>
    <s v="Poor"/>
    <s v="Sometimes"/>
    <s v="Good"/>
    <n v="3.59"/>
    <m/>
    <s v="Normal"/>
    <s v="Daily"/>
    <b v="0"/>
    <b v="0"/>
    <b v="0"/>
    <b v="0"/>
    <b v="0"/>
    <n v="1"/>
    <n v="8.9"/>
    <n v="1"/>
    <n v="11.7"/>
    <n v="36.590000000000003"/>
    <m/>
    <n v="4"/>
    <x v="1"/>
    <m/>
    <m/>
    <m/>
    <m/>
  </r>
  <r>
    <s v="GD0469"/>
    <n v="14"/>
    <x v="0"/>
    <x v="0"/>
    <x v="81"/>
    <x v="1"/>
    <x v="0"/>
    <s v="Candy Crush"/>
    <s v="Multi-platform"/>
    <n v="3.6"/>
    <m/>
    <s v="Very Poor"/>
    <s v="Rarely"/>
    <s v="Poor"/>
    <n v="3.53"/>
    <m/>
    <s v="Irritable"/>
    <s v="Sometimes"/>
    <b v="0"/>
    <b v="0"/>
    <b v="0"/>
    <b v="1"/>
    <b v="1"/>
    <n v="1.4"/>
    <n v="5.4"/>
    <n v="6"/>
    <n v="2.8"/>
    <n v="302.88"/>
    <m/>
    <n v="3"/>
    <x v="3"/>
    <m/>
    <m/>
    <m/>
    <m/>
  </r>
  <r>
    <s v="GD0470"/>
    <n v="16"/>
    <x v="0"/>
    <x v="0"/>
    <x v="104"/>
    <x v="1"/>
    <x v="3"/>
    <s v="Elden Ring"/>
    <s v="Console"/>
    <n v="7.5"/>
    <m/>
    <s v="Good"/>
    <s v="Rarely"/>
    <s v="Excellent"/>
    <n v="3.01"/>
    <m/>
    <s v="Normal"/>
    <s v="Sometimes"/>
    <b v="0"/>
    <b v="0"/>
    <b v="0"/>
    <b v="0"/>
    <b v="0"/>
    <n v="0.1"/>
    <n v="7"/>
    <n v="1"/>
    <n v="11.5"/>
    <n v="28.1"/>
    <m/>
    <n v="6"/>
    <x v="1"/>
    <m/>
    <m/>
    <m/>
    <m/>
  </r>
  <r>
    <s v="GD0471"/>
    <n v="27"/>
    <x v="1"/>
    <x v="1"/>
    <x v="101"/>
    <x v="1"/>
    <x v="5"/>
    <s v="Final Fantasy XIV"/>
    <s v="Mobile"/>
    <n v="8.4"/>
    <m/>
    <s v="Poor"/>
    <s v="Always"/>
    <s v="Good"/>
    <m/>
    <n v="10"/>
    <s v="Euphoric"/>
    <s v="Daily"/>
    <b v="0"/>
    <b v="0"/>
    <b v="0"/>
    <b v="0"/>
    <b v="0"/>
    <n v="0.3"/>
    <n v="8.3000000000000007"/>
    <n v="1"/>
    <n v="16.5"/>
    <n v="16.399999999999999"/>
    <m/>
    <n v="12"/>
    <x v="1"/>
    <m/>
    <m/>
    <m/>
    <m/>
  </r>
  <r>
    <s v="GD0472"/>
    <n v="14"/>
    <x v="0"/>
    <x v="0"/>
    <x v="70"/>
    <x v="1"/>
    <x v="4"/>
    <s v="Warzone"/>
    <s v="Mobile"/>
    <n v="5.4"/>
    <m/>
    <s v="Fair"/>
    <s v="Rarely"/>
    <s v="Average"/>
    <n v="2.44"/>
    <m/>
    <s v="Anxious"/>
    <s v="Never"/>
    <b v="0"/>
    <b v="1"/>
    <b v="0"/>
    <b v="1"/>
    <b v="0"/>
    <n v="2.4"/>
    <n v="7"/>
    <n v="4"/>
    <n v="7.5"/>
    <n v="57.54"/>
    <m/>
    <n v="2"/>
    <x v="3"/>
    <m/>
    <m/>
    <m/>
    <m/>
  </r>
  <r>
    <s v="GD0473"/>
    <n v="26"/>
    <x v="1"/>
    <x v="0"/>
    <x v="27"/>
    <x v="1"/>
    <x v="3"/>
    <s v="Cyberpunk 2077"/>
    <s v="Mobile"/>
    <n v="8.9"/>
    <m/>
    <s v="Good"/>
    <s v="Sometimes"/>
    <s v="Good"/>
    <m/>
    <n v="8"/>
    <s v="Normal"/>
    <s v="Never"/>
    <b v="0"/>
    <b v="0"/>
    <b v="0"/>
    <b v="0"/>
    <b v="0"/>
    <n v="0.3"/>
    <n v="8.3000000000000007"/>
    <n v="1"/>
    <n v="13.8"/>
    <n v="1.31"/>
    <m/>
    <n v="8"/>
    <x v="1"/>
    <m/>
    <m/>
    <m/>
    <m/>
  </r>
  <r>
    <s v="GD0474"/>
    <n v="20"/>
    <x v="1"/>
    <x v="0"/>
    <x v="59"/>
    <x v="1"/>
    <x v="1"/>
    <s v="Dota 2"/>
    <s v="Multi-platform"/>
    <n v="5.3"/>
    <m/>
    <s v="Insomnia"/>
    <s v="Always"/>
    <s v="Poor"/>
    <n v="1.8"/>
    <n v="10"/>
    <s v="Restless"/>
    <s v="Often"/>
    <b v="1"/>
    <b v="1"/>
    <b v="1"/>
    <b v="1"/>
    <b v="0"/>
    <n v="4.0999999999999996"/>
    <n v="5.9"/>
    <n v="6"/>
    <n v="1.9"/>
    <n v="323.47000000000003"/>
    <m/>
    <n v="1"/>
    <x v="0"/>
    <m/>
    <m/>
    <m/>
    <m/>
  </r>
  <r>
    <s v="GD0475"/>
    <n v="30"/>
    <x v="1"/>
    <x v="0"/>
    <x v="120"/>
    <x v="1"/>
    <x v="5"/>
    <s v="Elder Scrolls Online"/>
    <s v="PC"/>
    <n v="4.5"/>
    <m/>
    <s v="Insomnia"/>
    <s v="Sometimes"/>
    <s v="Average"/>
    <m/>
    <n v="3"/>
    <s v="Anxious"/>
    <s v="Daily"/>
    <b v="1"/>
    <b v="1"/>
    <b v="0"/>
    <b v="1"/>
    <b v="0"/>
    <n v="5.4"/>
    <n v="2.6"/>
    <n v="7"/>
    <n v="2.5"/>
    <n v="317.18"/>
    <m/>
    <n v="10"/>
    <x v="0"/>
    <m/>
    <m/>
    <m/>
    <m/>
  </r>
  <r>
    <s v="GD0476"/>
    <n v="21"/>
    <x v="1"/>
    <x v="1"/>
    <x v="51"/>
    <x v="1"/>
    <x v="1"/>
    <s v="Dota 2"/>
    <s v="Multi-platform"/>
    <n v="5.0999999999999996"/>
    <m/>
    <s v="Poor"/>
    <s v="Sometimes"/>
    <s v="Good"/>
    <n v="1.4"/>
    <n v="4"/>
    <s v="Euphoric"/>
    <s v="Daily"/>
    <b v="0"/>
    <b v="0"/>
    <b v="0"/>
    <b v="1"/>
    <b v="0"/>
    <n v="2.5"/>
    <n v="9"/>
    <n v="3"/>
    <n v="8.1999999999999993"/>
    <n v="46.29"/>
    <m/>
    <n v="4"/>
    <x v="1"/>
    <m/>
    <m/>
    <m/>
    <m/>
  </r>
  <r>
    <s v="GD0477"/>
    <n v="25"/>
    <x v="1"/>
    <x v="0"/>
    <x v="61"/>
    <x v="1"/>
    <x v="5"/>
    <s v="Elder Scrolls Online"/>
    <s v="Multi-platform"/>
    <n v="8"/>
    <m/>
    <s v="Good"/>
    <s v="Never"/>
    <s v="Excellent"/>
    <m/>
    <n v="6"/>
    <s v="Excited"/>
    <s v="Sometimes"/>
    <b v="0"/>
    <b v="0"/>
    <b v="0"/>
    <b v="0"/>
    <b v="0"/>
    <n v="0.2"/>
    <n v="7.7"/>
    <n v="1"/>
    <n v="12.2"/>
    <n v="47.51"/>
    <m/>
    <n v="4"/>
    <x v="1"/>
    <m/>
    <m/>
    <m/>
    <m/>
  </r>
  <r>
    <s v="GD0478"/>
    <n v="19"/>
    <x v="0"/>
    <x v="0"/>
    <x v="53"/>
    <x v="1"/>
    <x v="5"/>
    <s v="World of Warcraft"/>
    <s v="Mobile"/>
    <n v="6.7"/>
    <m/>
    <s v="Fair"/>
    <s v="Sometimes"/>
    <s v="Average"/>
    <n v="2.89"/>
    <n v="10"/>
    <s v="Anxious"/>
    <s v="Daily"/>
    <b v="0"/>
    <b v="0"/>
    <b v="0"/>
    <b v="0"/>
    <b v="0"/>
    <n v="0.2"/>
    <n v="7"/>
    <n v="2"/>
    <n v="10.5"/>
    <n v="8.23"/>
    <m/>
    <n v="7"/>
    <x v="1"/>
    <m/>
    <m/>
    <m/>
    <m/>
  </r>
  <r>
    <s v="GD0479"/>
    <n v="23"/>
    <x v="1"/>
    <x v="0"/>
    <x v="53"/>
    <x v="1"/>
    <x v="2"/>
    <s v="Valorant"/>
    <s v="Mobile"/>
    <n v="5.6"/>
    <m/>
    <s v="Poor"/>
    <s v="Never"/>
    <s v="Good"/>
    <m/>
    <n v="5"/>
    <s v="Euphoric"/>
    <s v="Sometimes"/>
    <b v="0"/>
    <b v="0"/>
    <b v="0"/>
    <b v="0"/>
    <b v="0"/>
    <n v="1.6"/>
    <n v="7.1"/>
    <n v="2"/>
    <n v="12.3"/>
    <n v="41.19"/>
    <m/>
    <n v="7"/>
    <x v="1"/>
    <m/>
    <m/>
    <m/>
    <m/>
  </r>
  <r>
    <s v="GD0480"/>
    <n v="17"/>
    <x v="0"/>
    <x v="1"/>
    <x v="13"/>
    <x v="1"/>
    <x v="1"/>
    <s v="League of Legends"/>
    <s v="PC"/>
    <n v="3.4"/>
    <m/>
    <s v="Very Poor"/>
    <s v="Never"/>
    <s v="Average"/>
    <n v="3.36"/>
    <m/>
    <s v="Restless"/>
    <s v="Rarely"/>
    <b v="1"/>
    <b v="1"/>
    <b v="0"/>
    <b v="1"/>
    <b v="1"/>
    <n v="1.5"/>
    <n v="5.5"/>
    <n v="2"/>
    <n v="4.5999999999999996"/>
    <n v="95.15"/>
    <m/>
    <n v="7"/>
    <x v="2"/>
    <m/>
    <m/>
    <m/>
    <m/>
  </r>
  <r>
    <s v="GD0481"/>
    <n v="22"/>
    <x v="1"/>
    <x v="1"/>
    <x v="106"/>
    <x v="1"/>
    <x v="3"/>
    <s v="Skyrim"/>
    <s v="Mobile"/>
    <n v="3.7"/>
    <m/>
    <s v="Poor"/>
    <s v="Sometimes"/>
    <s v="Below Average"/>
    <n v="1.67"/>
    <n v="6"/>
    <s v="Irritable"/>
    <s v="Sometimes"/>
    <b v="1"/>
    <b v="0"/>
    <b v="1"/>
    <b v="1"/>
    <b v="1"/>
    <n v="0.6"/>
    <n v="4.5999999999999996"/>
    <n v="6"/>
    <n v="5.9"/>
    <n v="426.59"/>
    <m/>
    <n v="6"/>
    <x v="0"/>
    <m/>
    <m/>
    <m/>
    <m/>
  </r>
  <r>
    <s v="GD0482"/>
    <n v="24"/>
    <x v="1"/>
    <x v="0"/>
    <x v="5"/>
    <x v="1"/>
    <x v="1"/>
    <s v="Mobile Legends"/>
    <s v="PC"/>
    <n v="9"/>
    <m/>
    <s v="Fair"/>
    <s v="Often"/>
    <s v="Good"/>
    <m/>
    <n v="10"/>
    <s v="Irritable"/>
    <s v="Sometimes"/>
    <b v="0"/>
    <b v="0"/>
    <b v="0"/>
    <b v="0"/>
    <b v="0"/>
    <n v="0.5"/>
    <n v="7.4"/>
    <n v="1"/>
    <n v="12"/>
    <n v="48.98"/>
    <m/>
    <n v="9"/>
    <x v="1"/>
    <m/>
    <m/>
    <m/>
    <m/>
  </r>
  <r>
    <s v="GD0483"/>
    <n v="22"/>
    <x v="1"/>
    <x v="0"/>
    <x v="105"/>
    <x v="1"/>
    <x v="3"/>
    <s v="Cyberpunk 2077"/>
    <s v="Multi-platform"/>
    <n v="7.5"/>
    <m/>
    <s v="Fair"/>
    <s v="Never"/>
    <s v="Good"/>
    <n v="3.3"/>
    <n v="10"/>
    <s v="Normal"/>
    <s v="Often"/>
    <b v="0"/>
    <b v="0"/>
    <b v="0"/>
    <b v="0"/>
    <b v="0"/>
    <n v="0.1"/>
    <n v="9.4"/>
    <n v="1"/>
    <n v="15"/>
    <n v="15.91"/>
    <m/>
    <n v="7"/>
    <x v="1"/>
    <m/>
    <m/>
    <m/>
    <m/>
  </r>
  <r>
    <s v="GD0484"/>
    <n v="22"/>
    <x v="1"/>
    <x v="0"/>
    <x v="63"/>
    <x v="1"/>
    <x v="2"/>
    <s v="Call of Duty"/>
    <s v="Multi-platform"/>
    <n v="5.5"/>
    <m/>
    <s v="Fair"/>
    <s v="Never"/>
    <s v="Below Average"/>
    <n v="3.18"/>
    <n v="4"/>
    <s v="Angry"/>
    <s v="Never"/>
    <b v="0"/>
    <b v="1"/>
    <b v="0"/>
    <b v="1"/>
    <b v="1"/>
    <n v="1"/>
    <n v="4.8"/>
    <n v="5"/>
    <n v="5.8"/>
    <n v="121.33"/>
    <m/>
    <n v="10"/>
    <x v="3"/>
    <m/>
    <m/>
    <m/>
    <m/>
  </r>
  <r>
    <s v="GD0485"/>
    <n v="15"/>
    <x v="0"/>
    <x v="0"/>
    <x v="94"/>
    <x v="1"/>
    <x v="4"/>
    <s v="Fortnite"/>
    <s v="Console"/>
    <n v="3.9"/>
    <m/>
    <s v="Poor"/>
    <s v="Never"/>
    <s v="Below Average"/>
    <n v="3.62"/>
    <m/>
    <s v="Restless"/>
    <s v="Never"/>
    <b v="1"/>
    <b v="1"/>
    <b v="1"/>
    <b v="1"/>
    <b v="1"/>
    <n v="1.1000000000000001"/>
    <n v="3.6"/>
    <n v="6"/>
    <n v="1.1000000000000001"/>
    <n v="352.98"/>
    <m/>
    <n v="5"/>
    <x v="0"/>
    <m/>
    <m/>
    <m/>
    <m/>
  </r>
  <r>
    <s v="GD0486"/>
    <n v="21"/>
    <x v="1"/>
    <x v="0"/>
    <x v="120"/>
    <x v="1"/>
    <x v="5"/>
    <s v="Final Fantasy XIV"/>
    <s v="Mobile"/>
    <n v="5.4"/>
    <m/>
    <s v="Very Poor"/>
    <s v="Always"/>
    <s v="Poor"/>
    <n v="2.57"/>
    <n v="3"/>
    <s v="Anxious"/>
    <s v="Never"/>
    <b v="1"/>
    <b v="0"/>
    <b v="0"/>
    <b v="0"/>
    <b v="0"/>
    <n v="3.5"/>
    <n v="3.8"/>
    <n v="10"/>
    <n v="0"/>
    <n v="426.48"/>
    <m/>
    <n v="3"/>
    <x v="2"/>
    <m/>
    <m/>
    <m/>
    <m/>
  </r>
  <r>
    <s v="GD0487"/>
    <n v="30"/>
    <x v="1"/>
    <x v="0"/>
    <x v="48"/>
    <x v="1"/>
    <x v="6"/>
    <s v="Civilization VI"/>
    <s v="Console"/>
    <n v="5.3"/>
    <m/>
    <s v="Very Poor"/>
    <s v="Rarely"/>
    <s v="Average"/>
    <m/>
    <n v="4"/>
    <s v="Restless"/>
    <s v="Sometimes"/>
    <b v="1"/>
    <b v="1"/>
    <b v="0"/>
    <b v="0"/>
    <b v="1"/>
    <n v="2.1"/>
    <n v="4.7"/>
    <n v="9"/>
    <n v="0"/>
    <n v="238.32"/>
    <m/>
    <n v="3"/>
    <x v="0"/>
    <m/>
    <m/>
    <m/>
    <m/>
  </r>
  <r>
    <s v="GD0488"/>
    <n v="14"/>
    <x v="0"/>
    <x v="1"/>
    <x v="37"/>
    <x v="1"/>
    <x v="5"/>
    <s v="Final Fantasy XIV"/>
    <s v="Multi-platform"/>
    <n v="5.2"/>
    <m/>
    <s v="Poor"/>
    <s v="Rarely"/>
    <s v="Good"/>
    <n v="3.55"/>
    <m/>
    <s v="Anxious"/>
    <s v="Never"/>
    <b v="0"/>
    <b v="0"/>
    <b v="0"/>
    <b v="0"/>
    <b v="0"/>
    <n v="1.3"/>
    <n v="9.3000000000000007"/>
    <n v="5"/>
    <n v="8"/>
    <n v="38.56"/>
    <m/>
    <n v="2"/>
    <x v="1"/>
    <m/>
    <m/>
    <m/>
    <m/>
  </r>
  <r>
    <s v="GD0489"/>
    <n v="16"/>
    <x v="0"/>
    <x v="1"/>
    <x v="70"/>
    <x v="1"/>
    <x v="4"/>
    <s v="PUBG"/>
    <s v="Multi-platform"/>
    <n v="6.6"/>
    <m/>
    <s v="Poor"/>
    <s v="Never"/>
    <s v="Average"/>
    <n v="3.16"/>
    <m/>
    <s v="Depressed"/>
    <s v="Daily"/>
    <b v="0"/>
    <b v="1"/>
    <b v="0"/>
    <b v="1"/>
    <b v="1"/>
    <n v="2.4"/>
    <n v="7.3"/>
    <n v="3"/>
    <n v="5.3"/>
    <n v="128.87"/>
    <m/>
    <n v="4"/>
    <x v="3"/>
    <m/>
    <m/>
    <m/>
    <m/>
  </r>
  <r>
    <s v="GD0490"/>
    <n v="28"/>
    <x v="1"/>
    <x v="0"/>
    <x v="74"/>
    <x v="1"/>
    <x v="4"/>
    <s v="Fortnite"/>
    <s v="Multi-platform"/>
    <n v="8.4"/>
    <m/>
    <s v="Good"/>
    <s v="Rarely"/>
    <s v="Average"/>
    <m/>
    <n v="2"/>
    <s v="Euphoric"/>
    <s v="Often"/>
    <b v="0"/>
    <b v="0"/>
    <b v="0"/>
    <b v="0"/>
    <b v="0"/>
    <n v="0.6"/>
    <n v="7.9"/>
    <n v="1"/>
    <n v="12"/>
    <n v="7.57"/>
    <m/>
    <n v="8"/>
    <x v="1"/>
    <m/>
    <m/>
    <m/>
    <m/>
  </r>
  <r>
    <s v="GD0491"/>
    <n v="20"/>
    <x v="1"/>
    <x v="1"/>
    <x v="55"/>
    <x v="1"/>
    <x v="4"/>
    <s v="Fortnite"/>
    <s v="Mobile"/>
    <n v="5.5"/>
    <m/>
    <s v="Good"/>
    <s v="Always"/>
    <s v="Good"/>
    <n v="1.53"/>
    <n v="5"/>
    <s v="Angry"/>
    <s v="Rarely"/>
    <b v="0"/>
    <b v="0"/>
    <b v="0"/>
    <b v="0"/>
    <b v="1"/>
    <n v="1.9"/>
    <n v="5.4"/>
    <n v="5"/>
    <n v="4.9000000000000004"/>
    <n v="75.19"/>
    <m/>
    <n v="8"/>
    <x v="1"/>
    <m/>
    <m/>
    <m/>
    <m/>
  </r>
  <r>
    <s v="GD0492"/>
    <n v="24"/>
    <x v="1"/>
    <x v="0"/>
    <x v="121"/>
    <x v="1"/>
    <x v="4"/>
    <s v="Fortnite"/>
    <s v="Multi-platform"/>
    <n v="3.9"/>
    <m/>
    <s v="Insomnia"/>
    <s v="Often"/>
    <s v="Below Average"/>
    <m/>
    <n v="2"/>
    <s v="Anxious"/>
    <s v="Often"/>
    <b v="1"/>
    <b v="1"/>
    <b v="1"/>
    <b v="1"/>
    <b v="1"/>
    <n v="2.2000000000000002"/>
    <n v="4.8"/>
    <n v="10"/>
    <n v="0"/>
    <n v="394.74"/>
    <m/>
    <n v="14"/>
    <x v="0"/>
    <m/>
    <m/>
    <m/>
    <m/>
  </r>
  <r>
    <s v="GD0493"/>
    <n v="19"/>
    <x v="0"/>
    <x v="1"/>
    <x v="12"/>
    <x v="1"/>
    <x v="1"/>
    <s v="League of Legends"/>
    <s v="PC"/>
    <n v="6.8"/>
    <m/>
    <s v="Good"/>
    <s v="Never"/>
    <s v="Average"/>
    <n v="2.4300000000000002"/>
    <n v="6"/>
    <s v="Euphoric"/>
    <s v="Daily"/>
    <b v="0"/>
    <b v="1"/>
    <b v="0"/>
    <b v="0"/>
    <b v="0"/>
    <n v="2.6"/>
    <n v="6.9"/>
    <n v="4"/>
    <n v="10.4"/>
    <n v="70.73"/>
    <m/>
    <n v="2"/>
    <x v="3"/>
    <m/>
    <m/>
    <m/>
    <m/>
  </r>
  <r>
    <s v="GD0494"/>
    <n v="20"/>
    <x v="1"/>
    <x v="0"/>
    <x v="44"/>
    <x v="1"/>
    <x v="2"/>
    <s v="CS:GO"/>
    <s v="Console"/>
    <n v="6.5"/>
    <m/>
    <s v="Very Poor"/>
    <s v="Often"/>
    <s v="Below Average"/>
    <n v="3.43"/>
    <n v="9"/>
    <s v="Angry"/>
    <s v="Rarely"/>
    <b v="0"/>
    <b v="1"/>
    <b v="0"/>
    <b v="1"/>
    <b v="0"/>
    <n v="1.2"/>
    <n v="6.4"/>
    <n v="5"/>
    <n v="10.7"/>
    <n v="95.85"/>
    <m/>
    <n v="10"/>
    <x v="3"/>
    <m/>
    <m/>
    <m/>
    <m/>
  </r>
  <r>
    <s v="GD0495"/>
    <n v="20"/>
    <x v="1"/>
    <x v="1"/>
    <x v="107"/>
    <x v="1"/>
    <x v="4"/>
    <s v="PUBG"/>
    <s v="Console"/>
    <n v="6"/>
    <m/>
    <s v="Fair"/>
    <s v="Sometimes"/>
    <s v="Excellent"/>
    <n v="3.16"/>
    <n v="2"/>
    <s v="Irritable"/>
    <s v="Often"/>
    <b v="0"/>
    <b v="0"/>
    <b v="0"/>
    <b v="0"/>
    <b v="0"/>
    <n v="2.2000000000000002"/>
    <n v="9.1999999999999993"/>
    <n v="4"/>
    <n v="8.6999999999999993"/>
    <n v="9.48"/>
    <m/>
    <n v="1"/>
    <x v="1"/>
    <m/>
    <m/>
    <m/>
    <m/>
  </r>
  <r>
    <s v="GD0496"/>
    <n v="16"/>
    <x v="0"/>
    <x v="0"/>
    <x v="36"/>
    <x v="1"/>
    <x v="5"/>
    <s v="World of Warcraft"/>
    <s v="PC"/>
    <n v="5.0999999999999996"/>
    <m/>
    <s v="Fair"/>
    <s v="Often"/>
    <s v="Average"/>
    <n v="3.47"/>
    <m/>
    <s v="Irritable"/>
    <s v="Rarely"/>
    <b v="0"/>
    <b v="1"/>
    <b v="0"/>
    <b v="0"/>
    <b v="1"/>
    <n v="3"/>
    <n v="7.8"/>
    <n v="5"/>
    <n v="5.5"/>
    <n v="136.26"/>
    <m/>
    <n v="4"/>
    <x v="3"/>
    <m/>
    <m/>
    <m/>
    <m/>
  </r>
  <r>
    <s v="GD0497"/>
    <n v="27"/>
    <x v="1"/>
    <x v="0"/>
    <x v="88"/>
    <x v="1"/>
    <x v="5"/>
    <s v="Final Fantasy XIV"/>
    <s v="PC"/>
    <n v="5.9"/>
    <m/>
    <s v="Very Poor"/>
    <s v="Never"/>
    <s v="Failing"/>
    <m/>
    <n v="8"/>
    <s v="Anxious"/>
    <s v="Rarely"/>
    <b v="1"/>
    <b v="0"/>
    <b v="0"/>
    <b v="1"/>
    <b v="1"/>
    <n v="0.2"/>
    <n v="6.4"/>
    <n v="6"/>
    <n v="5.0999999999999996"/>
    <n v="224.46"/>
    <m/>
    <n v="5"/>
    <x v="2"/>
    <m/>
    <m/>
    <m/>
    <m/>
  </r>
  <r>
    <s v="GD0498"/>
    <n v="22"/>
    <x v="1"/>
    <x v="0"/>
    <x v="10"/>
    <x v="1"/>
    <x v="4"/>
    <s v="Fortnite"/>
    <s v="PC"/>
    <n v="3.7"/>
    <m/>
    <s v="Fair"/>
    <s v="Always"/>
    <s v="Average"/>
    <n v="1.1399999999999999"/>
    <n v="4"/>
    <s v="Angry"/>
    <s v="Rarely"/>
    <b v="0"/>
    <b v="1"/>
    <b v="0"/>
    <b v="1"/>
    <b v="1"/>
    <n v="2.2000000000000002"/>
    <n v="5.7"/>
    <n v="6"/>
    <n v="3.3"/>
    <n v="207.65"/>
    <m/>
    <n v="4"/>
    <x v="2"/>
    <m/>
    <m/>
    <m/>
    <m/>
  </r>
  <r>
    <s v="GD0499"/>
    <n v="20"/>
    <x v="1"/>
    <x v="0"/>
    <x v="23"/>
    <x v="1"/>
    <x v="4"/>
    <s v="PUBG"/>
    <s v="Multi-platform"/>
    <n v="6.7"/>
    <m/>
    <s v="Good"/>
    <s v="Always"/>
    <s v="Average"/>
    <n v="2.14"/>
    <n v="8"/>
    <s v="Restless"/>
    <s v="Often"/>
    <b v="0"/>
    <b v="0"/>
    <b v="0"/>
    <b v="0"/>
    <b v="1"/>
    <n v="0.3"/>
    <n v="5.4"/>
    <n v="3"/>
    <n v="10.7"/>
    <n v="131.69999999999999"/>
    <m/>
    <n v="6"/>
    <x v="1"/>
    <m/>
    <m/>
    <m/>
    <m/>
  </r>
  <r>
    <s v="GD0500"/>
    <n v="20"/>
    <x v="1"/>
    <x v="1"/>
    <x v="45"/>
    <x v="1"/>
    <x v="4"/>
    <s v="Fortnite"/>
    <s v="Console"/>
    <n v="4.7"/>
    <m/>
    <s v="Poor"/>
    <s v="Sometimes"/>
    <s v="Below Average"/>
    <n v="1.02"/>
    <n v="3"/>
    <s v="Irritable"/>
    <s v="Sometimes"/>
    <b v="1"/>
    <b v="1"/>
    <b v="0"/>
    <b v="1"/>
    <b v="1"/>
    <n v="3.6"/>
    <n v="5.5"/>
    <n v="3"/>
    <n v="5"/>
    <n v="142.02000000000001"/>
    <m/>
    <n v="3"/>
    <x v="2"/>
    <m/>
    <m/>
    <m/>
    <m/>
  </r>
  <r>
    <s v="GD0501"/>
    <n v="18"/>
    <x v="0"/>
    <x v="0"/>
    <x v="122"/>
    <x v="1"/>
    <x v="4"/>
    <s v="Apex Legends"/>
    <s v="Multi-platform"/>
    <n v="3.7"/>
    <m/>
    <s v="Very Poor"/>
    <s v="Always"/>
    <s v="Poor"/>
    <n v="3.97"/>
    <m/>
    <s v="Restless"/>
    <s v="Rarely"/>
    <b v="0"/>
    <b v="0"/>
    <b v="0"/>
    <b v="1"/>
    <b v="1"/>
    <n v="6.7"/>
    <n v="5.6"/>
    <n v="6"/>
    <n v="2.2999999999999998"/>
    <n v="82.52"/>
    <m/>
    <n v="4"/>
    <x v="3"/>
    <m/>
    <m/>
    <m/>
    <m/>
  </r>
  <r>
    <s v="GD0502"/>
    <n v="23"/>
    <x v="1"/>
    <x v="1"/>
    <x v="99"/>
    <x v="1"/>
    <x v="3"/>
    <s v="Skyrim"/>
    <s v="Mobile"/>
    <n v="5.6"/>
    <m/>
    <s v="Poor"/>
    <s v="Rarely"/>
    <s v="Below Average"/>
    <m/>
    <n v="1"/>
    <s v="Normal"/>
    <s v="Rarely"/>
    <b v="0"/>
    <b v="0"/>
    <b v="0"/>
    <b v="0"/>
    <b v="0"/>
    <n v="2.5"/>
    <n v="6.6"/>
    <n v="2"/>
    <n v="11.9"/>
    <n v="34.53"/>
    <m/>
    <n v="8"/>
    <x v="1"/>
    <m/>
    <m/>
    <m/>
    <m/>
  </r>
  <r>
    <s v="GD0503"/>
    <n v="19"/>
    <x v="0"/>
    <x v="0"/>
    <x v="62"/>
    <x v="1"/>
    <x v="3"/>
    <s v="Skyrim"/>
    <s v="PC"/>
    <n v="3.3"/>
    <m/>
    <s v="Insomnia"/>
    <s v="Sometimes"/>
    <s v="Average"/>
    <n v="1.78"/>
    <n v="4"/>
    <s v="Depressed"/>
    <s v="Daily"/>
    <b v="0"/>
    <b v="0"/>
    <b v="0"/>
    <b v="0"/>
    <b v="0"/>
    <n v="1"/>
    <n v="8"/>
    <n v="5"/>
    <n v="7.3"/>
    <n v="70.7"/>
    <m/>
    <n v="5"/>
    <x v="1"/>
    <m/>
    <m/>
    <m/>
    <m/>
  </r>
  <r>
    <s v="GD0504"/>
    <n v="14"/>
    <x v="0"/>
    <x v="0"/>
    <x v="40"/>
    <x v="1"/>
    <x v="5"/>
    <s v="Elder Scrolls Online"/>
    <s v="Multi-platform"/>
    <n v="7.9"/>
    <m/>
    <s v="Poor"/>
    <s v="Never"/>
    <s v="Good"/>
    <n v="2.4500000000000002"/>
    <m/>
    <s v="Restless"/>
    <s v="Rarely"/>
    <b v="0"/>
    <b v="0"/>
    <b v="0"/>
    <b v="0"/>
    <b v="0"/>
    <n v="1.1000000000000001"/>
    <n v="7.9"/>
    <n v="3"/>
    <n v="11.2"/>
    <n v="10.74"/>
    <m/>
    <n v="2"/>
    <x v="1"/>
    <m/>
    <m/>
    <m/>
    <m/>
  </r>
  <r>
    <s v="GD0505"/>
    <n v="27"/>
    <x v="1"/>
    <x v="1"/>
    <x v="109"/>
    <x v="1"/>
    <x v="3"/>
    <s v="Cyberpunk 2077"/>
    <s v="Multi-platform"/>
    <n v="8.1999999999999993"/>
    <m/>
    <s v="Good"/>
    <s v="Often"/>
    <s v="Good"/>
    <m/>
    <n v="6"/>
    <s v="Anxious"/>
    <s v="Often"/>
    <b v="0"/>
    <b v="0"/>
    <b v="0"/>
    <b v="0"/>
    <b v="0"/>
    <n v="0.2"/>
    <n v="10.5"/>
    <n v="1"/>
    <n v="14.3"/>
    <n v="27.33"/>
    <m/>
    <n v="17"/>
    <x v="1"/>
    <m/>
    <m/>
    <m/>
    <m/>
  </r>
  <r>
    <s v="GD0506"/>
    <n v="18"/>
    <x v="0"/>
    <x v="1"/>
    <x v="16"/>
    <x v="1"/>
    <x v="5"/>
    <s v="Elder Scrolls Online"/>
    <s v="Mobile"/>
    <n v="3.6"/>
    <m/>
    <s v="Very Poor"/>
    <s v="Rarely"/>
    <s v="Below Average"/>
    <n v="3.04"/>
    <m/>
    <s v="Irritable"/>
    <s v="Daily"/>
    <b v="0"/>
    <b v="0"/>
    <b v="1"/>
    <b v="0"/>
    <b v="0"/>
    <n v="4.7"/>
    <n v="7.1"/>
    <n v="4"/>
    <n v="5.3"/>
    <n v="470.19"/>
    <m/>
    <n v="2"/>
    <x v="2"/>
    <m/>
    <m/>
    <m/>
    <m/>
  </r>
  <r>
    <s v="GD0507"/>
    <n v="21"/>
    <x v="1"/>
    <x v="0"/>
    <x v="70"/>
    <x v="1"/>
    <x v="2"/>
    <s v="Valorant"/>
    <s v="Multi-platform"/>
    <n v="6.3"/>
    <m/>
    <s v="Fair"/>
    <s v="Sometimes"/>
    <s v="Below Average"/>
    <n v="3.86"/>
    <n v="4"/>
    <s v="Irritable"/>
    <s v="Often"/>
    <b v="0"/>
    <b v="0"/>
    <b v="0"/>
    <b v="1"/>
    <b v="0"/>
    <n v="1.6"/>
    <n v="9.1"/>
    <n v="3"/>
    <n v="6"/>
    <n v="91.49"/>
    <m/>
    <n v="11"/>
    <x v="1"/>
    <m/>
    <m/>
    <m/>
    <m/>
  </r>
  <r>
    <s v="GD0508"/>
    <n v="18"/>
    <x v="0"/>
    <x v="0"/>
    <x v="29"/>
    <x v="1"/>
    <x v="2"/>
    <s v="Overwatch"/>
    <s v="PC"/>
    <n v="6.8"/>
    <m/>
    <s v="Good"/>
    <s v="Always"/>
    <s v="Poor"/>
    <n v="3.77"/>
    <m/>
    <s v="Angry"/>
    <s v="Sometimes"/>
    <b v="0"/>
    <b v="0"/>
    <b v="0"/>
    <b v="1"/>
    <b v="0"/>
    <n v="2.4"/>
    <n v="8.5"/>
    <n v="2"/>
    <n v="7.1"/>
    <n v="96.69"/>
    <m/>
    <n v="7"/>
    <x v="1"/>
    <m/>
    <m/>
    <m/>
    <m/>
  </r>
  <r>
    <s v="GD0509"/>
    <n v="18"/>
    <x v="0"/>
    <x v="0"/>
    <x v="40"/>
    <x v="1"/>
    <x v="2"/>
    <s v="Overwatch"/>
    <s v="Multi-platform"/>
    <n v="8.4"/>
    <m/>
    <s v="Good"/>
    <s v="Never"/>
    <s v="Good"/>
    <n v="3.76"/>
    <m/>
    <s v="Excited"/>
    <s v="Rarely"/>
    <b v="0"/>
    <b v="0"/>
    <b v="0"/>
    <b v="0"/>
    <b v="0"/>
    <n v="1"/>
    <n v="10"/>
    <n v="1"/>
    <n v="12.8"/>
    <n v="38.67"/>
    <m/>
    <n v="6"/>
    <x v="1"/>
    <m/>
    <m/>
    <m/>
    <m/>
  </r>
  <r>
    <s v="GD0510"/>
    <n v="19"/>
    <x v="0"/>
    <x v="0"/>
    <x v="55"/>
    <x v="1"/>
    <x v="4"/>
    <s v="Warzone"/>
    <s v="PC"/>
    <n v="6.4"/>
    <m/>
    <s v="Good"/>
    <s v="Always"/>
    <s v="Below Average"/>
    <n v="2.06"/>
    <n v="7"/>
    <s v="Euphoric"/>
    <s v="Daily"/>
    <b v="0"/>
    <b v="1"/>
    <b v="0"/>
    <b v="1"/>
    <b v="1"/>
    <n v="4.3"/>
    <n v="6.6"/>
    <n v="6"/>
    <n v="10"/>
    <n v="89.3"/>
    <m/>
    <n v="6"/>
    <x v="3"/>
    <m/>
    <m/>
    <m/>
    <m/>
  </r>
  <r>
    <s v="GD0511"/>
    <n v="22"/>
    <x v="1"/>
    <x v="0"/>
    <x v="27"/>
    <x v="1"/>
    <x v="6"/>
    <s v="Age of Empires"/>
    <s v="Console"/>
    <n v="8"/>
    <m/>
    <s v="Fair"/>
    <s v="Sometimes"/>
    <s v="Good"/>
    <n v="3.87"/>
    <n v="9"/>
    <s v="Anxious"/>
    <s v="Daily"/>
    <b v="0"/>
    <b v="0"/>
    <b v="0"/>
    <b v="0"/>
    <b v="0"/>
    <n v="0.1"/>
    <n v="11.3"/>
    <n v="1"/>
    <n v="14.9"/>
    <n v="7.33"/>
    <m/>
    <n v="6"/>
    <x v="1"/>
    <m/>
    <m/>
    <m/>
    <m/>
  </r>
  <r>
    <s v="GD0512"/>
    <n v="19"/>
    <x v="0"/>
    <x v="1"/>
    <x v="84"/>
    <x v="1"/>
    <x v="0"/>
    <s v="PUBG Mobile"/>
    <s v="Console"/>
    <n v="3.1"/>
    <m/>
    <s v="Fair"/>
    <s v="Never"/>
    <s v="Below Average"/>
    <n v="2.79"/>
    <n v="9"/>
    <s v="Euphoric"/>
    <s v="Never"/>
    <b v="0"/>
    <b v="0"/>
    <b v="0"/>
    <b v="0"/>
    <b v="1"/>
    <n v="1.2"/>
    <n v="8.1999999999999993"/>
    <n v="2"/>
    <n v="5"/>
    <n v="103.77"/>
    <m/>
    <n v="5"/>
    <x v="1"/>
    <m/>
    <m/>
    <m/>
    <m/>
  </r>
  <r>
    <s v="GD0513"/>
    <n v="14"/>
    <x v="0"/>
    <x v="0"/>
    <x v="5"/>
    <x v="1"/>
    <x v="1"/>
    <s v="Dota 2"/>
    <s v="Console"/>
    <n v="7.3"/>
    <m/>
    <s v="Fair"/>
    <s v="Sometimes"/>
    <s v="Excellent"/>
    <n v="3.63"/>
    <m/>
    <s v="Normal"/>
    <s v="Daily"/>
    <b v="0"/>
    <b v="0"/>
    <b v="0"/>
    <b v="0"/>
    <b v="0"/>
    <n v="0.5"/>
    <n v="8.1999999999999993"/>
    <n v="3"/>
    <n v="12.1"/>
    <n v="41.89"/>
    <m/>
    <n v="3"/>
    <x v="1"/>
    <m/>
    <m/>
    <m/>
    <m/>
  </r>
  <r>
    <s v="GD0514"/>
    <n v="24"/>
    <x v="1"/>
    <x v="1"/>
    <x v="96"/>
    <x v="1"/>
    <x v="6"/>
    <s v="Civilization VI"/>
    <s v="Mobile"/>
    <n v="6.1"/>
    <m/>
    <s v="Good"/>
    <s v="Often"/>
    <s v="Good"/>
    <m/>
    <n v="1"/>
    <s v="Restless"/>
    <s v="Never"/>
    <b v="0"/>
    <b v="0"/>
    <b v="0"/>
    <b v="0"/>
    <b v="0"/>
    <n v="2.1"/>
    <n v="6.1"/>
    <n v="3"/>
    <n v="10.8"/>
    <n v="7.4"/>
    <m/>
    <n v="3"/>
    <x v="1"/>
    <m/>
    <m/>
    <m/>
    <m/>
  </r>
  <r>
    <s v="GD0515"/>
    <n v="15"/>
    <x v="0"/>
    <x v="0"/>
    <x v="94"/>
    <x v="1"/>
    <x v="6"/>
    <s v="StarCraft II"/>
    <s v="Multi-platform"/>
    <n v="3.4"/>
    <m/>
    <s v="Very Poor"/>
    <s v="Sometimes"/>
    <s v="Below Average"/>
    <n v="2.41"/>
    <m/>
    <s v="Irritable"/>
    <s v="Never"/>
    <b v="1"/>
    <b v="0"/>
    <b v="0"/>
    <b v="0"/>
    <b v="0"/>
    <n v="3"/>
    <n v="4.5999999999999996"/>
    <n v="8"/>
    <n v="0.6"/>
    <n v="436.35"/>
    <m/>
    <n v="5"/>
    <x v="2"/>
    <m/>
    <m/>
    <m/>
    <m/>
  </r>
  <r>
    <s v="GD0516"/>
    <n v="17"/>
    <x v="0"/>
    <x v="0"/>
    <x v="19"/>
    <x v="1"/>
    <x v="4"/>
    <s v="Warzone"/>
    <s v="Multi-platform"/>
    <n v="6.2"/>
    <m/>
    <s v="Poor"/>
    <s v="Often"/>
    <s v="Average"/>
    <n v="2.2000000000000002"/>
    <m/>
    <s v="Normal"/>
    <s v="Rarely"/>
    <b v="0"/>
    <b v="1"/>
    <b v="0"/>
    <b v="0"/>
    <b v="1"/>
    <n v="0.1"/>
    <n v="7.1"/>
    <n v="4"/>
    <n v="9.9"/>
    <n v="85.83"/>
    <m/>
    <n v="3"/>
    <x v="3"/>
    <m/>
    <m/>
    <m/>
    <m/>
  </r>
  <r>
    <s v="GD0517"/>
    <n v="20"/>
    <x v="1"/>
    <x v="0"/>
    <x v="86"/>
    <x v="1"/>
    <x v="4"/>
    <s v="Apex Legends"/>
    <s v="Console"/>
    <n v="5.3"/>
    <m/>
    <s v="Very Poor"/>
    <s v="Rarely"/>
    <s v="Below Average"/>
    <n v="3.3"/>
    <n v="9"/>
    <s v="Irritable"/>
    <s v="Daily"/>
    <b v="1"/>
    <b v="0"/>
    <b v="0"/>
    <b v="1"/>
    <b v="1"/>
    <n v="1.2"/>
    <n v="4.0999999999999996"/>
    <n v="7"/>
    <n v="0.5"/>
    <n v="343.9"/>
    <m/>
    <n v="8"/>
    <x v="2"/>
    <m/>
    <m/>
    <m/>
    <m/>
  </r>
  <r>
    <s v="GD0518"/>
    <n v="20"/>
    <x v="1"/>
    <x v="0"/>
    <x v="66"/>
    <x v="1"/>
    <x v="5"/>
    <s v="Final Fantasy XIV"/>
    <s v="Mobile"/>
    <n v="5.9"/>
    <m/>
    <s v="Very Poor"/>
    <s v="Often"/>
    <s v="Poor"/>
    <n v="1.63"/>
    <n v="10"/>
    <s v="Anxious"/>
    <s v="Never"/>
    <b v="0"/>
    <b v="0"/>
    <b v="0"/>
    <b v="1"/>
    <b v="0"/>
    <n v="0.2"/>
    <n v="6.9"/>
    <n v="3"/>
    <n v="9.9"/>
    <n v="114.75"/>
    <m/>
    <n v="9"/>
    <x v="1"/>
    <m/>
    <m/>
    <m/>
    <m/>
  </r>
  <r>
    <s v="GD0519"/>
    <n v="16"/>
    <x v="0"/>
    <x v="0"/>
    <x v="100"/>
    <x v="1"/>
    <x v="1"/>
    <s v="Mobile Legends"/>
    <s v="Mobile"/>
    <n v="3.1"/>
    <m/>
    <s v="Fair"/>
    <s v="Never"/>
    <s v="Good"/>
    <n v="1.33"/>
    <m/>
    <s v="Irritable"/>
    <s v="Often"/>
    <b v="1"/>
    <b v="0"/>
    <b v="1"/>
    <b v="1"/>
    <b v="1"/>
    <n v="0.5"/>
    <n v="4.5"/>
    <n v="5"/>
    <n v="6"/>
    <n v="50.64"/>
    <m/>
    <n v="2"/>
    <x v="2"/>
    <m/>
    <m/>
    <m/>
    <m/>
  </r>
  <r>
    <s v="GD0520"/>
    <n v="21"/>
    <x v="1"/>
    <x v="0"/>
    <x v="33"/>
    <x v="1"/>
    <x v="0"/>
    <s v="Clash of Clans"/>
    <s v="Console"/>
    <n v="8.6999999999999993"/>
    <m/>
    <s v="Poor"/>
    <s v="Often"/>
    <s v="Average"/>
    <n v="3.87"/>
    <n v="1"/>
    <s v="Normal"/>
    <s v="Daily"/>
    <b v="0"/>
    <b v="0"/>
    <b v="0"/>
    <b v="0"/>
    <b v="0"/>
    <n v="0.5"/>
    <n v="7"/>
    <n v="1"/>
    <n v="11.2"/>
    <n v="1.5"/>
    <m/>
    <n v="8"/>
    <x v="1"/>
    <m/>
    <m/>
    <m/>
    <m/>
  </r>
  <r>
    <s v="GD0521"/>
    <n v="24"/>
    <x v="1"/>
    <x v="0"/>
    <x v="24"/>
    <x v="1"/>
    <x v="6"/>
    <s v="StarCraft II"/>
    <s v="Multi-platform"/>
    <n v="3.6"/>
    <m/>
    <s v="Fair"/>
    <s v="Sometimes"/>
    <s v="Poor"/>
    <m/>
    <n v="10"/>
    <s v="Angry"/>
    <s v="Rarely"/>
    <b v="0"/>
    <b v="0"/>
    <b v="1"/>
    <b v="1"/>
    <b v="1"/>
    <n v="2.1"/>
    <n v="4.0999999999999996"/>
    <n v="6"/>
    <n v="5.9"/>
    <n v="29"/>
    <m/>
    <n v="2"/>
    <x v="3"/>
    <m/>
    <m/>
    <m/>
    <m/>
  </r>
  <r>
    <s v="GD0522"/>
    <n v="20"/>
    <x v="1"/>
    <x v="0"/>
    <x v="28"/>
    <x v="1"/>
    <x v="5"/>
    <s v="Final Fantasy XIV"/>
    <s v="Console"/>
    <n v="4.9000000000000004"/>
    <m/>
    <s v="Poor"/>
    <s v="Always"/>
    <s v="Below Average"/>
    <n v="2.86"/>
    <n v="1"/>
    <s v="Normal"/>
    <s v="Rarely"/>
    <b v="1"/>
    <b v="1"/>
    <b v="0"/>
    <b v="1"/>
    <b v="0"/>
    <n v="2.5"/>
    <n v="6.8"/>
    <n v="5"/>
    <n v="6.9"/>
    <n v="35.07"/>
    <m/>
    <n v="6"/>
    <x v="2"/>
    <m/>
    <m/>
    <m/>
    <m/>
  </r>
  <r>
    <s v="GD0523"/>
    <n v="21"/>
    <x v="1"/>
    <x v="1"/>
    <x v="88"/>
    <x v="1"/>
    <x v="1"/>
    <s v="League of Legends"/>
    <s v="Mobile"/>
    <n v="4.7"/>
    <m/>
    <s v="Poor"/>
    <s v="Never"/>
    <s v="Poor"/>
    <n v="3.33"/>
    <n v="5"/>
    <s v="Anxious"/>
    <s v="Often"/>
    <b v="0"/>
    <b v="0"/>
    <b v="1"/>
    <b v="0"/>
    <b v="1"/>
    <n v="0.3"/>
    <n v="4.3"/>
    <n v="6"/>
    <n v="4.0999999999999996"/>
    <n v="479.29"/>
    <m/>
    <n v="7"/>
    <x v="2"/>
    <m/>
    <m/>
    <m/>
    <m/>
  </r>
  <r>
    <s v="GD0524"/>
    <n v="17"/>
    <x v="0"/>
    <x v="0"/>
    <x v="29"/>
    <x v="1"/>
    <x v="2"/>
    <s v="Valorant"/>
    <s v="Multi-platform"/>
    <n v="6.2"/>
    <m/>
    <s v="Good"/>
    <s v="Sometimes"/>
    <s v="Average"/>
    <n v="1.61"/>
    <m/>
    <s v="Restless"/>
    <s v="Never"/>
    <b v="0"/>
    <b v="0"/>
    <b v="0"/>
    <b v="0"/>
    <b v="0"/>
    <n v="2.5"/>
    <n v="9.1"/>
    <n v="6"/>
    <n v="8.6"/>
    <n v="40.53"/>
    <m/>
    <n v="4"/>
    <x v="1"/>
    <m/>
    <m/>
    <m/>
    <m/>
  </r>
  <r>
    <s v="GD0525"/>
    <n v="19"/>
    <x v="0"/>
    <x v="0"/>
    <x v="13"/>
    <x v="1"/>
    <x v="6"/>
    <s v="Civilization VI"/>
    <s v="Console"/>
    <n v="3.2"/>
    <m/>
    <s v="Fair"/>
    <s v="Rarely"/>
    <s v="Poor"/>
    <n v="3.31"/>
    <n v="3"/>
    <s v="Anxious"/>
    <s v="Daily"/>
    <b v="1"/>
    <b v="1"/>
    <b v="0"/>
    <b v="1"/>
    <b v="1"/>
    <n v="1.4"/>
    <n v="5.3"/>
    <n v="4"/>
    <n v="7.1"/>
    <n v="84.52"/>
    <m/>
    <n v="4"/>
    <x v="2"/>
    <m/>
    <m/>
    <m/>
    <m/>
  </r>
  <r>
    <s v="GD0526"/>
    <n v="16"/>
    <x v="0"/>
    <x v="0"/>
    <x v="43"/>
    <x v="1"/>
    <x v="2"/>
    <s v="Valorant"/>
    <s v="Multi-platform"/>
    <n v="8.1999999999999993"/>
    <m/>
    <s v="Poor"/>
    <s v="Sometimes"/>
    <s v="Excellent"/>
    <n v="3.03"/>
    <m/>
    <s v="Excited"/>
    <s v="Rarely"/>
    <b v="0"/>
    <b v="0"/>
    <b v="0"/>
    <b v="0"/>
    <b v="0"/>
    <n v="0.8"/>
    <n v="7.6"/>
    <n v="1"/>
    <n v="9.6999999999999993"/>
    <n v="12.32"/>
    <m/>
    <n v="4"/>
    <x v="1"/>
    <m/>
    <m/>
    <m/>
    <m/>
  </r>
  <r>
    <s v="GD0527"/>
    <n v="18"/>
    <x v="0"/>
    <x v="0"/>
    <x v="78"/>
    <x v="1"/>
    <x v="2"/>
    <s v="Overwatch"/>
    <s v="Console"/>
    <n v="6.9"/>
    <m/>
    <s v="Fair"/>
    <s v="Sometimes"/>
    <s v="Below Average"/>
    <n v="3.2"/>
    <m/>
    <s v="Euphoric"/>
    <s v="Sometimes"/>
    <b v="0"/>
    <b v="0"/>
    <b v="0"/>
    <b v="0"/>
    <b v="0"/>
    <n v="0"/>
    <n v="9.5"/>
    <n v="4"/>
    <n v="9"/>
    <n v="32.71"/>
    <m/>
    <n v="5"/>
    <x v="1"/>
    <m/>
    <m/>
    <m/>
    <m/>
  </r>
  <r>
    <s v="GD0528"/>
    <n v="21"/>
    <x v="1"/>
    <x v="0"/>
    <x v="87"/>
    <x v="1"/>
    <x v="2"/>
    <s v="Overwatch"/>
    <s v="Multi-platform"/>
    <n v="8.5"/>
    <m/>
    <s v="Fair"/>
    <s v="Often"/>
    <s v="Average"/>
    <n v="3.92"/>
    <n v="8"/>
    <s v="Excited"/>
    <s v="Never"/>
    <b v="0"/>
    <b v="0"/>
    <b v="0"/>
    <b v="0"/>
    <b v="0"/>
    <n v="0.1"/>
    <n v="9.1999999999999993"/>
    <n v="1"/>
    <n v="12.2"/>
    <n v="44.99"/>
    <m/>
    <n v="11"/>
    <x v="1"/>
    <m/>
    <m/>
    <m/>
    <m/>
  </r>
  <r>
    <s v="GD0529"/>
    <n v="25"/>
    <x v="1"/>
    <x v="0"/>
    <x v="65"/>
    <x v="1"/>
    <x v="5"/>
    <s v="World of Warcraft"/>
    <s v="Console"/>
    <n v="4.3"/>
    <m/>
    <s v="Fair"/>
    <s v="Often"/>
    <s v="Poor"/>
    <m/>
    <n v="3"/>
    <s v="Restless"/>
    <s v="Sometimes"/>
    <b v="1"/>
    <b v="1"/>
    <b v="0"/>
    <b v="1"/>
    <b v="0"/>
    <n v="5"/>
    <n v="6.4"/>
    <n v="5"/>
    <n v="0.6"/>
    <n v="61.9"/>
    <m/>
    <n v="11"/>
    <x v="0"/>
    <m/>
    <m/>
    <m/>
    <m/>
  </r>
  <r>
    <s v="GD0530"/>
    <n v="20"/>
    <x v="1"/>
    <x v="1"/>
    <x v="89"/>
    <x v="1"/>
    <x v="1"/>
    <s v="Dota 2"/>
    <s v="Mobile"/>
    <n v="5.7"/>
    <m/>
    <s v="Very Poor"/>
    <s v="Always"/>
    <s v="Below Average"/>
    <n v="2.09"/>
    <n v="1"/>
    <s v="Depressed"/>
    <s v="Often"/>
    <b v="1"/>
    <b v="1"/>
    <b v="1"/>
    <b v="1"/>
    <b v="1"/>
    <n v="8.9"/>
    <n v="3.6"/>
    <n v="8"/>
    <n v="5.2"/>
    <n v="350.42"/>
    <m/>
    <n v="6"/>
    <x v="0"/>
    <m/>
    <m/>
    <m/>
    <m/>
  </r>
  <r>
    <s v="GD0531"/>
    <n v="20"/>
    <x v="1"/>
    <x v="1"/>
    <x v="12"/>
    <x v="1"/>
    <x v="0"/>
    <s v="Genshin Impact"/>
    <s v="Console"/>
    <n v="6.3"/>
    <m/>
    <s v="Very Poor"/>
    <s v="Rarely"/>
    <s v="Average"/>
    <n v="1.63"/>
    <n v="3"/>
    <s v="Euphoric"/>
    <s v="Daily"/>
    <b v="0"/>
    <b v="0"/>
    <b v="0"/>
    <b v="0"/>
    <b v="0"/>
    <n v="2.4"/>
    <n v="8.8000000000000007"/>
    <n v="5"/>
    <n v="7.8"/>
    <n v="124.29"/>
    <m/>
    <n v="7"/>
    <x v="1"/>
    <m/>
    <m/>
    <m/>
    <m/>
  </r>
  <r>
    <s v="GD0532"/>
    <n v="18"/>
    <x v="0"/>
    <x v="0"/>
    <x v="116"/>
    <x v="1"/>
    <x v="0"/>
    <s v="Clash of Clans"/>
    <s v="Mobile"/>
    <n v="8.9"/>
    <m/>
    <s v="Good"/>
    <s v="Often"/>
    <s v="Average"/>
    <n v="1.57"/>
    <m/>
    <s v="Normal"/>
    <s v="Daily"/>
    <b v="0"/>
    <b v="0"/>
    <b v="0"/>
    <b v="0"/>
    <b v="0"/>
    <n v="0.5"/>
    <n v="10.4"/>
    <n v="1"/>
    <n v="12.3"/>
    <n v="30.97"/>
    <m/>
    <n v="5"/>
    <x v="1"/>
    <m/>
    <m/>
    <m/>
    <m/>
  </r>
  <r>
    <s v="GD0533"/>
    <n v="18"/>
    <x v="0"/>
    <x v="0"/>
    <x v="52"/>
    <x v="1"/>
    <x v="5"/>
    <s v="Final Fantasy XIV"/>
    <s v="Mobile"/>
    <n v="8.8000000000000007"/>
    <m/>
    <s v="Good"/>
    <s v="Never"/>
    <s v="Excellent"/>
    <n v="2.58"/>
    <m/>
    <s v="Normal"/>
    <s v="Never"/>
    <b v="0"/>
    <b v="0"/>
    <b v="0"/>
    <b v="0"/>
    <b v="0"/>
    <n v="0.2"/>
    <n v="10.1"/>
    <n v="2"/>
    <n v="12.4"/>
    <n v="26.71"/>
    <m/>
    <n v="7"/>
    <x v="1"/>
    <m/>
    <m/>
    <m/>
    <m/>
  </r>
  <r>
    <s v="GD0534"/>
    <n v="19"/>
    <x v="0"/>
    <x v="0"/>
    <x v="80"/>
    <x v="1"/>
    <x v="1"/>
    <s v="League of Legends"/>
    <s v="PC"/>
    <n v="3.3"/>
    <m/>
    <s v="Very Poor"/>
    <s v="Rarely"/>
    <s v="Failing"/>
    <n v="3.44"/>
    <n v="10"/>
    <s v="Euphoric"/>
    <s v="Daily"/>
    <b v="1"/>
    <b v="0"/>
    <b v="0"/>
    <b v="0"/>
    <b v="0"/>
    <n v="0.8"/>
    <n v="6.9"/>
    <n v="7"/>
    <n v="3"/>
    <n v="207.43"/>
    <m/>
    <n v="1"/>
    <x v="2"/>
    <m/>
    <m/>
    <m/>
    <m/>
  </r>
  <r>
    <s v="GD0535"/>
    <n v="14"/>
    <x v="0"/>
    <x v="0"/>
    <x v="12"/>
    <x v="1"/>
    <x v="2"/>
    <s v="CS:GO"/>
    <s v="Console"/>
    <n v="6.2"/>
    <m/>
    <s v="Fair"/>
    <s v="Never"/>
    <s v="Poor"/>
    <n v="2.69"/>
    <m/>
    <s v="Restless"/>
    <s v="Never"/>
    <b v="0"/>
    <b v="1"/>
    <b v="0"/>
    <b v="1"/>
    <b v="1"/>
    <n v="0.4"/>
    <n v="7.1"/>
    <n v="4"/>
    <n v="9.4"/>
    <n v="88.33"/>
    <m/>
    <n v="1"/>
    <x v="3"/>
    <m/>
    <m/>
    <m/>
    <m/>
  </r>
  <r>
    <s v="GD0536"/>
    <n v="17"/>
    <x v="0"/>
    <x v="1"/>
    <x v="104"/>
    <x v="1"/>
    <x v="5"/>
    <s v="Final Fantasy XIV"/>
    <s v="PC"/>
    <n v="7.1"/>
    <m/>
    <s v="Good"/>
    <s v="Always"/>
    <s v="Average"/>
    <n v="1.78"/>
    <m/>
    <s v="Withdrawn"/>
    <s v="Rarely"/>
    <b v="0"/>
    <b v="0"/>
    <b v="0"/>
    <b v="0"/>
    <b v="0"/>
    <n v="0.1"/>
    <n v="10.9"/>
    <n v="1"/>
    <n v="11.5"/>
    <n v="23.78"/>
    <m/>
    <n v="6"/>
    <x v="1"/>
    <m/>
    <m/>
    <m/>
    <m/>
  </r>
  <r>
    <s v="GD0537"/>
    <n v="18"/>
    <x v="0"/>
    <x v="0"/>
    <x v="34"/>
    <x v="1"/>
    <x v="3"/>
    <s v="Elden Ring"/>
    <s v="PC"/>
    <n v="5"/>
    <m/>
    <s v="Poor"/>
    <s v="Never"/>
    <s v="Poor"/>
    <n v="3.81"/>
    <m/>
    <s v="Angry"/>
    <s v="Rarely"/>
    <b v="0"/>
    <b v="1"/>
    <b v="1"/>
    <b v="1"/>
    <b v="1"/>
    <n v="0.1"/>
    <n v="7.7"/>
    <n v="5"/>
    <n v="5.3"/>
    <n v="85.28"/>
    <m/>
    <n v="4"/>
    <x v="2"/>
    <m/>
    <m/>
    <m/>
    <m/>
  </r>
  <r>
    <s v="GD0538"/>
    <n v="18"/>
    <x v="0"/>
    <x v="0"/>
    <x v="22"/>
    <x v="1"/>
    <x v="5"/>
    <s v="Elder Scrolls Online"/>
    <s v="Multi-platform"/>
    <n v="7.4"/>
    <m/>
    <s v="Poor"/>
    <s v="Never"/>
    <s v="Average"/>
    <n v="2.15"/>
    <m/>
    <s v="Normal"/>
    <s v="Daily"/>
    <b v="0"/>
    <b v="0"/>
    <b v="0"/>
    <b v="0"/>
    <b v="0"/>
    <n v="0.3"/>
    <n v="9"/>
    <n v="1"/>
    <n v="9.6"/>
    <n v="30.22"/>
    <m/>
    <n v="4"/>
    <x v="1"/>
    <m/>
    <m/>
    <m/>
    <m/>
  </r>
  <r>
    <s v="GD0539"/>
    <n v="24"/>
    <x v="1"/>
    <x v="0"/>
    <x v="25"/>
    <x v="1"/>
    <x v="6"/>
    <s v="Age of Empires"/>
    <s v="PC"/>
    <n v="7.6"/>
    <m/>
    <s v="Fair"/>
    <s v="Often"/>
    <s v="Average"/>
    <m/>
    <n v="1"/>
    <s v="Irritable"/>
    <s v="Sometimes"/>
    <b v="0"/>
    <b v="0"/>
    <b v="0"/>
    <b v="0"/>
    <b v="0"/>
    <n v="0.3"/>
    <n v="8.6"/>
    <n v="1"/>
    <n v="14.2"/>
    <n v="32.340000000000003"/>
    <m/>
    <n v="10"/>
    <x v="1"/>
    <m/>
    <m/>
    <m/>
    <m/>
  </r>
  <r>
    <s v="GD0540"/>
    <n v="19"/>
    <x v="0"/>
    <x v="0"/>
    <x v="78"/>
    <x v="1"/>
    <x v="5"/>
    <s v="Elder Scrolls Online"/>
    <s v="PC"/>
    <n v="6.3"/>
    <m/>
    <s v="Good"/>
    <s v="Rarely"/>
    <s v="Below Average"/>
    <n v="2.46"/>
    <n v="10"/>
    <s v="Restless"/>
    <s v="Sometimes"/>
    <b v="0"/>
    <b v="0"/>
    <b v="0"/>
    <b v="0"/>
    <b v="0"/>
    <n v="0.7"/>
    <n v="9.1999999999999993"/>
    <n v="3"/>
    <n v="11.9"/>
    <n v="43.72"/>
    <m/>
    <n v="4"/>
    <x v="1"/>
    <m/>
    <m/>
    <m/>
    <m/>
  </r>
  <r>
    <s v="GD0541"/>
    <n v="18"/>
    <x v="0"/>
    <x v="0"/>
    <x v="111"/>
    <x v="1"/>
    <x v="4"/>
    <s v="Apex Legends"/>
    <s v="Mobile"/>
    <n v="5.3"/>
    <m/>
    <s v="Fair"/>
    <s v="Never"/>
    <s v="Below Average"/>
    <n v="3.11"/>
    <m/>
    <s v="Depressed"/>
    <s v="Sometimes"/>
    <b v="1"/>
    <b v="1"/>
    <b v="1"/>
    <b v="1"/>
    <b v="1"/>
    <n v="4.8"/>
    <n v="4.3"/>
    <n v="7"/>
    <n v="4.3"/>
    <n v="115.6"/>
    <m/>
    <n v="1"/>
    <x v="0"/>
    <m/>
    <m/>
    <m/>
    <m/>
  </r>
  <r>
    <s v="GD0542"/>
    <n v="27"/>
    <x v="1"/>
    <x v="0"/>
    <x v="123"/>
    <x v="1"/>
    <x v="4"/>
    <s v="PUBG"/>
    <s v="Console"/>
    <n v="8.9"/>
    <m/>
    <s v="Poor"/>
    <s v="Often"/>
    <s v="Below Average"/>
    <m/>
    <n v="6"/>
    <s v="Anxious"/>
    <s v="Sometimes"/>
    <b v="0"/>
    <b v="0"/>
    <b v="0"/>
    <b v="0"/>
    <b v="0"/>
    <n v="0.4"/>
    <n v="9.3000000000000007"/>
    <n v="3"/>
    <n v="9"/>
    <n v="11.66"/>
    <m/>
    <n v="15"/>
    <x v="1"/>
    <m/>
    <m/>
    <m/>
    <m/>
  </r>
  <r>
    <s v="GD0543"/>
    <n v="31"/>
    <x v="2"/>
    <x v="0"/>
    <x v="65"/>
    <x v="1"/>
    <x v="6"/>
    <s v="Civilization VI"/>
    <s v="Console"/>
    <n v="3.2"/>
    <m/>
    <s v="Poor"/>
    <s v="Sometimes"/>
    <s v="Average"/>
    <m/>
    <n v="10"/>
    <s v="Normal"/>
    <s v="Often"/>
    <b v="0"/>
    <b v="1"/>
    <b v="1"/>
    <b v="0"/>
    <b v="0"/>
    <n v="4.0999999999999996"/>
    <n v="7"/>
    <n v="7"/>
    <n v="1.8"/>
    <n v="339.48"/>
    <m/>
    <n v="7"/>
    <x v="0"/>
    <m/>
    <m/>
    <m/>
    <m/>
  </r>
  <r>
    <s v="GD0544"/>
    <n v="22"/>
    <x v="1"/>
    <x v="1"/>
    <x v="84"/>
    <x v="1"/>
    <x v="0"/>
    <s v="Candy Crush"/>
    <s v="PC"/>
    <n v="4.5999999999999996"/>
    <m/>
    <s v="Poor"/>
    <s v="Rarely"/>
    <s v="Poor"/>
    <n v="1.18"/>
    <n v="5"/>
    <s v="Angry"/>
    <s v="Sometimes"/>
    <b v="1"/>
    <b v="1"/>
    <b v="0"/>
    <b v="1"/>
    <b v="1"/>
    <n v="1.4"/>
    <n v="6.5"/>
    <n v="5"/>
    <n v="6.5"/>
    <n v="37"/>
    <m/>
    <n v="4"/>
    <x v="2"/>
    <m/>
    <m/>
    <m/>
    <m/>
  </r>
  <r>
    <s v="GD0545"/>
    <n v="16"/>
    <x v="0"/>
    <x v="0"/>
    <x v="19"/>
    <x v="1"/>
    <x v="5"/>
    <s v="Elder Scrolls Online"/>
    <s v="Mobile"/>
    <n v="5.0999999999999996"/>
    <m/>
    <s v="Poor"/>
    <s v="Sometimes"/>
    <s v="Excellent"/>
    <n v="1.91"/>
    <m/>
    <s v="Irritable"/>
    <s v="Daily"/>
    <b v="0"/>
    <b v="0"/>
    <b v="0"/>
    <b v="0"/>
    <b v="0"/>
    <n v="0.8"/>
    <n v="7.7"/>
    <n v="3"/>
    <n v="4.8"/>
    <n v="33.58"/>
    <m/>
    <n v="4"/>
    <x v="1"/>
    <m/>
    <m/>
    <m/>
    <m/>
  </r>
  <r>
    <s v="GD0546"/>
    <n v="19"/>
    <x v="0"/>
    <x v="0"/>
    <x v="38"/>
    <x v="1"/>
    <x v="5"/>
    <s v="World of Warcraft"/>
    <s v="Mobile"/>
    <n v="6.7"/>
    <m/>
    <s v="Fair"/>
    <s v="Often"/>
    <s v="Average"/>
    <n v="3.56"/>
    <n v="6"/>
    <s v="Depressed"/>
    <s v="Rarely"/>
    <b v="0"/>
    <b v="1"/>
    <b v="0"/>
    <b v="1"/>
    <b v="0"/>
    <n v="3.6"/>
    <n v="5.9"/>
    <n v="3"/>
    <n v="7.4"/>
    <n v="138.86000000000001"/>
    <m/>
    <n v="6"/>
    <x v="3"/>
    <m/>
    <m/>
    <m/>
    <m/>
  </r>
  <r>
    <s v="GD0547"/>
    <n v="22"/>
    <x v="1"/>
    <x v="0"/>
    <x v="64"/>
    <x v="1"/>
    <x v="5"/>
    <s v="World of Warcraft"/>
    <s v="Multi-platform"/>
    <n v="8.6999999999999993"/>
    <m/>
    <s v="Poor"/>
    <s v="Sometimes"/>
    <s v="Average"/>
    <n v="3.82"/>
    <n v="6"/>
    <s v="Withdrawn"/>
    <s v="Sometimes"/>
    <b v="0"/>
    <b v="0"/>
    <b v="0"/>
    <b v="0"/>
    <b v="0"/>
    <n v="0.6"/>
    <n v="8.4"/>
    <n v="4"/>
    <n v="8.6999999999999993"/>
    <n v="42.64"/>
    <m/>
    <n v="3"/>
    <x v="1"/>
    <m/>
    <m/>
    <m/>
    <m/>
  </r>
  <r>
    <s v="GD0548"/>
    <n v="24"/>
    <x v="1"/>
    <x v="0"/>
    <x v="45"/>
    <x v="1"/>
    <x v="2"/>
    <s v="Call of Duty"/>
    <s v="Console"/>
    <n v="3.8"/>
    <m/>
    <s v="Good"/>
    <s v="Never"/>
    <s v="Below Average"/>
    <m/>
    <n v="8"/>
    <s v="Depressed"/>
    <s v="Daily"/>
    <b v="1"/>
    <b v="1"/>
    <b v="0"/>
    <b v="0"/>
    <b v="0"/>
    <n v="2.2000000000000002"/>
    <n v="6"/>
    <n v="5"/>
    <n v="4.9000000000000004"/>
    <n v="96.9"/>
    <m/>
    <n v="13"/>
    <x v="2"/>
    <m/>
    <m/>
    <m/>
    <m/>
  </r>
  <r>
    <s v="GD0549"/>
    <n v="18"/>
    <x v="0"/>
    <x v="0"/>
    <x v="15"/>
    <x v="1"/>
    <x v="1"/>
    <s v="Dota 2"/>
    <s v="Mobile"/>
    <n v="5.2"/>
    <m/>
    <s v="Poor"/>
    <s v="Rarely"/>
    <s v="Poor"/>
    <n v="3.2"/>
    <m/>
    <s v="Restless"/>
    <s v="Sometimes"/>
    <b v="0"/>
    <b v="0"/>
    <b v="0"/>
    <b v="1"/>
    <b v="1"/>
    <n v="0.7"/>
    <n v="4.7"/>
    <n v="5"/>
    <n v="7.2"/>
    <n v="73.02"/>
    <m/>
    <n v="1"/>
    <x v="1"/>
    <m/>
    <m/>
    <m/>
    <m/>
  </r>
  <r>
    <s v="GD0550"/>
    <n v="21"/>
    <x v="1"/>
    <x v="1"/>
    <x v="3"/>
    <x v="1"/>
    <x v="4"/>
    <s v="Fortnite"/>
    <s v="PC"/>
    <n v="5.9"/>
    <m/>
    <s v="Fair"/>
    <s v="Never"/>
    <s v="Excellent"/>
    <n v="1.41"/>
    <n v="2"/>
    <s v="Irritable"/>
    <s v="Sometimes"/>
    <b v="1"/>
    <b v="0"/>
    <b v="0"/>
    <b v="1"/>
    <b v="1"/>
    <n v="0.6"/>
    <n v="6.2"/>
    <n v="4"/>
    <n v="5"/>
    <n v="99.01"/>
    <m/>
    <n v="9"/>
    <x v="3"/>
    <m/>
    <m/>
    <m/>
    <m/>
  </r>
  <r>
    <s v="GD0551"/>
    <n v="19"/>
    <x v="0"/>
    <x v="0"/>
    <x v="10"/>
    <x v="1"/>
    <x v="6"/>
    <s v="Age of Empires"/>
    <s v="Multi-platform"/>
    <n v="3.2"/>
    <m/>
    <s v="Poor"/>
    <s v="Always"/>
    <s v="Excellent"/>
    <n v="1.94"/>
    <n v="5"/>
    <s v="Irritable"/>
    <s v="Daily"/>
    <b v="1"/>
    <b v="1"/>
    <b v="1"/>
    <b v="1"/>
    <b v="0"/>
    <n v="0.6"/>
    <n v="4.5999999999999996"/>
    <n v="6"/>
    <n v="2.4"/>
    <n v="90.31"/>
    <m/>
    <n v="6"/>
    <x v="0"/>
    <m/>
    <m/>
    <m/>
    <m/>
  </r>
  <r>
    <s v="GD0552"/>
    <n v="19"/>
    <x v="0"/>
    <x v="0"/>
    <x v="44"/>
    <x v="1"/>
    <x v="0"/>
    <s v="PUBG Mobile"/>
    <s v="Console"/>
    <n v="5.3"/>
    <m/>
    <s v="Fair"/>
    <s v="Rarely"/>
    <s v="Average"/>
    <n v="1.42"/>
    <n v="9"/>
    <s v="Restless"/>
    <s v="Daily"/>
    <b v="0"/>
    <b v="0"/>
    <b v="0"/>
    <b v="0"/>
    <b v="0"/>
    <n v="3.5"/>
    <n v="5.4"/>
    <n v="4"/>
    <n v="10.199999999999999"/>
    <n v="35.25"/>
    <m/>
    <n v="6"/>
    <x v="1"/>
    <m/>
    <m/>
    <m/>
    <m/>
  </r>
  <r>
    <s v="GD0553"/>
    <n v="19"/>
    <x v="0"/>
    <x v="1"/>
    <x v="31"/>
    <x v="1"/>
    <x v="1"/>
    <s v="Mobile Legends"/>
    <s v="Console"/>
    <n v="8.9"/>
    <m/>
    <s v="Good"/>
    <s v="Often"/>
    <s v="Good"/>
    <n v="3.61"/>
    <n v="10"/>
    <s v="Normal"/>
    <s v="Never"/>
    <b v="0"/>
    <b v="0"/>
    <b v="0"/>
    <b v="0"/>
    <b v="0"/>
    <n v="0.6"/>
    <n v="9.8000000000000007"/>
    <n v="2"/>
    <n v="14.5"/>
    <n v="39.46"/>
    <m/>
    <n v="5"/>
    <x v="1"/>
    <m/>
    <m/>
    <m/>
    <m/>
  </r>
  <r>
    <s v="GD0554"/>
    <n v="27"/>
    <x v="1"/>
    <x v="0"/>
    <x v="35"/>
    <x v="1"/>
    <x v="6"/>
    <s v="Age of Empires"/>
    <s v="PC"/>
    <n v="5.9"/>
    <m/>
    <s v="Good"/>
    <s v="Always"/>
    <s v="Excellent"/>
    <m/>
    <n v="2"/>
    <s v="Euphoric"/>
    <s v="Sometimes"/>
    <b v="0"/>
    <b v="0"/>
    <b v="0"/>
    <b v="0"/>
    <b v="0"/>
    <n v="1.3"/>
    <n v="8.9"/>
    <n v="3"/>
    <n v="12.6"/>
    <n v="18.36"/>
    <m/>
    <n v="5"/>
    <x v="1"/>
    <m/>
    <m/>
    <m/>
    <m/>
  </r>
  <r>
    <s v="GD0555"/>
    <n v="19"/>
    <x v="0"/>
    <x v="1"/>
    <x v="29"/>
    <x v="1"/>
    <x v="3"/>
    <s v="Cyberpunk 2077"/>
    <s v="Console"/>
    <n v="6.1"/>
    <m/>
    <s v="Good"/>
    <s v="Always"/>
    <s v="Average"/>
    <n v="3.24"/>
    <n v="2"/>
    <s v="Angry"/>
    <s v="Rarely"/>
    <b v="0"/>
    <b v="0"/>
    <b v="0"/>
    <b v="1"/>
    <b v="0"/>
    <n v="1.3"/>
    <n v="7.3"/>
    <n v="5"/>
    <n v="11.3"/>
    <n v="70.56"/>
    <m/>
    <n v="5"/>
    <x v="1"/>
    <m/>
    <m/>
    <m/>
    <m/>
  </r>
  <r>
    <s v="GD0556"/>
    <n v="19"/>
    <x v="0"/>
    <x v="0"/>
    <x v="51"/>
    <x v="1"/>
    <x v="6"/>
    <s v="Age of Empires"/>
    <s v="Console"/>
    <n v="7"/>
    <m/>
    <s v="Poor"/>
    <s v="Often"/>
    <s v="Poor"/>
    <n v="2.78"/>
    <n v="1"/>
    <s v="Euphoric"/>
    <s v="Daily"/>
    <b v="0"/>
    <b v="0"/>
    <b v="0"/>
    <b v="1"/>
    <b v="0"/>
    <n v="3.2"/>
    <n v="8.1"/>
    <n v="2"/>
    <n v="8.6"/>
    <n v="97.99"/>
    <m/>
    <n v="6"/>
    <x v="1"/>
    <m/>
    <m/>
    <m/>
    <m/>
  </r>
  <r>
    <s v="GD0557"/>
    <n v="20"/>
    <x v="1"/>
    <x v="0"/>
    <x v="119"/>
    <x v="1"/>
    <x v="0"/>
    <s v="PUBG Mobile"/>
    <s v="Console"/>
    <n v="5.5"/>
    <m/>
    <s v="Very Poor"/>
    <s v="Always"/>
    <s v="Average"/>
    <n v="2.69"/>
    <n v="7"/>
    <s v="Euphoric"/>
    <s v="Daily"/>
    <b v="1"/>
    <b v="1"/>
    <b v="1"/>
    <b v="1"/>
    <b v="0"/>
    <n v="0.1"/>
    <n v="5.4"/>
    <n v="7"/>
    <n v="0.2"/>
    <n v="360.29"/>
    <m/>
    <n v="3"/>
    <x v="0"/>
    <m/>
    <m/>
    <m/>
    <m/>
  </r>
  <r>
    <s v="GD0558"/>
    <n v="26"/>
    <x v="1"/>
    <x v="0"/>
    <x v="116"/>
    <x v="1"/>
    <x v="1"/>
    <s v="Dota 2"/>
    <s v="PC"/>
    <n v="7.6"/>
    <m/>
    <s v="Good"/>
    <s v="Always"/>
    <s v="Good"/>
    <m/>
    <n v="4"/>
    <s v="Anxious"/>
    <s v="Daily"/>
    <b v="0"/>
    <b v="0"/>
    <b v="0"/>
    <b v="0"/>
    <b v="0"/>
    <n v="0.5"/>
    <n v="8.8000000000000007"/>
    <n v="1"/>
    <n v="13.5"/>
    <n v="0.43"/>
    <m/>
    <n v="11"/>
    <x v="1"/>
    <m/>
    <m/>
    <m/>
    <m/>
  </r>
  <r>
    <s v="GD0559"/>
    <n v="33"/>
    <x v="2"/>
    <x v="0"/>
    <x v="21"/>
    <x v="1"/>
    <x v="1"/>
    <s v="Mobile Legends"/>
    <s v="Console"/>
    <n v="5.3"/>
    <m/>
    <s v="Good"/>
    <s v="Rarely"/>
    <s v="Excellent"/>
    <m/>
    <n v="10"/>
    <s v="Irritable"/>
    <s v="Sometimes"/>
    <b v="0"/>
    <b v="0"/>
    <b v="0"/>
    <b v="1"/>
    <b v="0"/>
    <n v="0.7"/>
    <n v="8.1999999999999993"/>
    <n v="2"/>
    <n v="9.1999999999999993"/>
    <n v="102.88"/>
    <m/>
    <n v="19"/>
    <x v="1"/>
    <m/>
    <m/>
    <m/>
    <m/>
  </r>
  <r>
    <s v="GD0560"/>
    <n v="19"/>
    <x v="0"/>
    <x v="0"/>
    <x v="29"/>
    <x v="1"/>
    <x v="1"/>
    <s v="Mobile Legends"/>
    <s v="Multi-platform"/>
    <n v="5.4"/>
    <m/>
    <s v="Fair"/>
    <s v="Rarely"/>
    <s v="Average"/>
    <n v="1.85"/>
    <n v="9"/>
    <s v="Restless"/>
    <s v="Never"/>
    <b v="0"/>
    <b v="0"/>
    <b v="0"/>
    <b v="0"/>
    <b v="0"/>
    <n v="0.2"/>
    <n v="5.5"/>
    <n v="1"/>
    <n v="11.2"/>
    <n v="37.92"/>
    <m/>
    <n v="7"/>
    <x v="1"/>
    <m/>
    <m/>
    <m/>
    <m/>
  </r>
  <r>
    <s v="GD0561"/>
    <n v="18"/>
    <x v="0"/>
    <x v="0"/>
    <x v="53"/>
    <x v="1"/>
    <x v="1"/>
    <s v="Mobile Legends"/>
    <s v="Multi-platform"/>
    <n v="5.8"/>
    <m/>
    <s v="Poor"/>
    <s v="Always"/>
    <s v="Excellent"/>
    <n v="3.29"/>
    <m/>
    <s v="Normal"/>
    <s v="Sometimes"/>
    <b v="0"/>
    <b v="0"/>
    <b v="0"/>
    <b v="0"/>
    <b v="0"/>
    <n v="0.1"/>
    <n v="8.6999999999999993"/>
    <n v="3"/>
    <n v="13.2"/>
    <n v="26.29"/>
    <m/>
    <n v="4"/>
    <x v="1"/>
    <m/>
    <m/>
    <m/>
    <m/>
  </r>
  <r>
    <s v="GD0562"/>
    <n v="20"/>
    <x v="1"/>
    <x v="1"/>
    <x v="43"/>
    <x v="1"/>
    <x v="0"/>
    <s v="Clash of Clans"/>
    <s v="Console"/>
    <n v="8.6999999999999993"/>
    <m/>
    <s v="Good"/>
    <s v="Rarely"/>
    <s v="Excellent"/>
    <n v="3.88"/>
    <n v="7"/>
    <s v="Normal"/>
    <s v="Daily"/>
    <b v="0"/>
    <b v="0"/>
    <b v="0"/>
    <b v="0"/>
    <b v="0"/>
    <n v="0.1"/>
    <n v="7.6"/>
    <n v="1"/>
    <n v="10.4"/>
    <n v="2.0099999999999998"/>
    <m/>
    <n v="3"/>
    <x v="1"/>
    <m/>
    <m/>
    <m/>
    <m/>
  </r>
  <r>
    <s v="GD0563"/>
    <n v="16"/>
    <x v="0"/>
    <x v="0"/>
    <x v="2"/>
    <x v="1"/>
    <x v="2"/>
    <s v="Valorant"/>
    <s v="Mobile"/>
    <n v="3.3"/>
    <m/>
    <s v="Insomnia"/>
    <s v="Always"/>
    <s v="Poor"/>
    <n v="1.73"/>
    <m/>
    <s v="Withdrawn"/>
    <s v="Daily"/>
    <b v="1"/>
    <b v="0"/>
    <b v="0"/>
    <b v="0"/>
    <b v="1"/>
    <n v="4.5999999999999996"/>
    <n v="6.9"/>
    <n v="3"/>
    <n v="4.0999999999999996"/>
    <n v="42.16"/>
    <m/>
    <n v="1"/>
    <x v="3"/>
    <m/>
    <m/>
    <m/>
    <m/>
  </r>
  <r>
    <s v="GD0564"/>
    <n v="22"/>
    <x v="1"/>
    <x v="0"/>
    <x v="112"/>
    <x v="1"/>
    <x v="5"/>
    <s v="Final Fantasy XIV"/>
    <s v="Mobile"/>
    <n v="6.9"/>
    <m/>
    <s v="Poor"/>
    <s v="Sometimes"/>
    <s v="Below Average"/>
    <n v="1.54"/>
    <n v="10"/>
    <s v="Euphoric"/>
    <s v="Sometimes"/>
    <b v="0"/>
    <b v="0"/>
    <b v="0"/>
    <b v="1"/>
    <b v="0"/>
    <n v="2.7"/>
    <n v="7.1"/>
    <n v="2"/>
    <n v="11.8"/>
    <n v="92.49"/>
    <m/>
    <n v="8"/>
    <x v="1"/>
    <m/>
    <m/>
    <m/>
    <m/>
  </r>
  <r>
    <s v="GD0565"/>
    <n v="23"/>
    <x v="1"/>
    <x v="2"/>
    <x v="29"/>
    <x v="1"/>
    <x v="5"/>
    <s v="World of Warcraft"/>
    <s v="Mobile"/>
    <n v="6.3"/>
    <m/>
    <s v="Fair"/>
    <s v="Often"/>
    <s v="Below Average"/>
    <m/>
    <n v="6"/>
    <s v="Normal"/>
    <s v="Never"/>
    <b v="0"/>
    <b v="0"/>
    <b v="0"/>
    <b v="0"/>
    <b v="0"/>
    <n v="0.8"/>
    <n v="6.8"/>
    <n v="4"/>
    <n v="10.9"/>
    <n v="134.52000000000001"/>
    <m/>
    <n v="11"/>
    <x v="1"/>
    <m/>
    <m/>
    <m/>
    <m/>
  </r>
  <r>
    <s v="GD0566"/>
    <n v="18"/>
    <x v="0"/>
    <x v="0"/>
    <x v="31"/>
    <x v="1"/>
    <x v="6"/>
    <s v="Civilization VI"/>
    <s v="Console"/>
    <n v="7.3"/>
    <m/>
    <s v="Good"/>
    <s v="Sometimes"/>
    <s v="Average"/>
    <n v="1.63"/>
    <m/>
    <s v="Normal"/>
    <s v="Rarely"/>
    <b v="0"/>
    <b v="0"/>
    <b v="0"/>
    <b v="0"/>
    <b v="0"/>
    <n v="0.4"/>
    <n v="9.8000000000000007"/>
    <n v="1"/>
    <n v="13.1"/>
    <n v="35.89"/>
    <m/>
    <n v="2"/>
    <x v="1"/>
    <m/>
    <m/>
    <m/>
    <m/>
  </r>
  <r>
    <s v="GD0567"/>
    <n v="25"/>
    <x v="1"/>
    <x v="1"/>
    <x v="82"/>
    <x v="1"/>
    <x v="1"/>
    <s v="Mobile Legends"/>
    <s v="Mobile"/>
    <n v="6"/>
    <m/>
    <s v="Poor"/>
    <s v="Never"/>
    <s v="Below Average"/>
    <m/>
    <n v="3"/>
    <s v="Depressed"/>
    <s v="Daily"/>
    <b v="0"/>
    <b v="0"/>
    <b v="0"/>
    <b v="1"/>
    <b v="0"/>
    <n v="0.6"/>
    <n v="8.8000000000000007"/>
    <n v="2"/>
    <n v="6.3"/>
    <n v="123.9"/>
    <m/>
    <n v="6"/>
    <x v="1"/>
    <m/>
    <m/>
    <m/>
    <m/>
  </r>
  <r>
    <s v="GD0568"/>
    <n v="20"/>
    <x v="1"/>
    <x v="0"/>
    <x v="34"/>
    <x v="1"/>
    <x v="1"/>
    <s v="Dota 2"/>
    <s v="Multi-platform"/>
    <n v="5.8"/>
    <m/>
    <s v="Poor"/>
    <s v="Rarely"/>
    <s v="Below Average"/>
    <n v="2.75"/>
    <n v="6"/>
    <s v="Euphoric"/>
    <s v="Often"/>
    <b v="1"/>
    <b v="1"/>
    <b v="1"/>
    <b v="0"/>
    <b v="1"/>
    <n v="1.2"/>
    <n v="4.7"/>
    <n v="5"/>
    <n v="6.2"/>
    <n v="42.42"/>
    <m/>
    <n v="3"/>
    <x v="0"/>
    <m/>
    <m/>
    <m/>
    <m/>
  </r>
  <r>
    <s v="GD0569"/>
    <n v="13"/>
    <x v="0"/>
    <x v="0"/>
    <x v="31"/>
    <x v="1"/>
    <x v="1"/>
    <s v="League of Legends"/>
    <s v="Mobile"/>
    <n v="8.1999999999999993"/>
    <m/>
    <s v="Fair"/>
    <s v="Always"/>
    <s v="Below Average"/>
    <n v="2.99"/>
    <m/>
    <s v="Normal"/>
    <s v="Sometimes"/>
    <b v="0"/>
    <b v="0"/>
    <b v="0"/>
    <b v="0"/>
    <b v="0"/>
    <n v="0.1"/>
    <n v="10.6"/>
    <n v="1"/>
    <n v="10.7"/>
    <n v="13.49"/>
    <m/>
    <n v="1"/>
    <x v="1"/>
    <m/>
    <m/>
    <m/>
    <m/>
  </r>
  <r>
    <s v="GD0570"/>
    <n v="34"/>
    <x v="2"/>
    <x v="0"/>
    <x v="37"/>
    <x v="1"/>
    <x v="1"/>
    <s v="Dota 2"/>
    <s v="PC"/>
    <n v="5.0999999999999996"/>
    <m/>
    <s v="Fair"/>
    <s v="Sometimes"/>
    <s v="Excellent"/>
    <m/>
    <n v="2"/>
    <s v="Irritable"/>
    <s v="Sometimes"/>
    <b v="0"/>
    <b v="0"/>
    <b v="0"/>
    <b v="0"/>
    <b v="0"/>
    <n v="0.1"/>
    <n v="6.5"/>
    <n v="2"/>
    <n v="8.8000000000000007"/>
    <n v="23.55"/>
    <m/>
    <n v="17"/>
    <x v="1"/>
    <m/>
    <m/>
    <m/>
    <m/>
  </r>
  <r>
    <s v="GD0571"/>
    <n v="28"/>
    <x v="1"/>
    <x v="1"/>
    <x v="100"/>
    <x v="1"/>
    <x v="4"/>
    <s v="Warzone"/>
    <s v="Mobile"/>
    <n v="4.7"/>
    <m/>
    <s v="Fair"/>
    <s v="Rarely"/>
    <s v="Poor"/>
    <m/>
    <n v="1"/>
    <s v="Anxious"/>
    <s v="Rarely"/>
    <b v="1"/>
    <b v="1"/>
    <b v="1"/>
    <b v="1"/>
    <b v="1"/>
    <n v="0.8"/>
    <n v="4"/>
    <n v="6"/>
    <n v="2.7"/>
    <n v="88.65"/>
    <m/>
    <n v="14"/>
    <x v="0"/>
    <m/>
    <m/>
    <m/>
    <m/>
  </r>
  <r>
    <s v="GD0572"/>
    <n v="17"/>
    <x v="0"/>
    <x v="0"/>
    <x v="15"/>
    <x v="1"/>
    <x v="5"/>
    <s v="World of Warcraft"/>
    <s v="Console"/>
    <n v="3.4"/>
    <m/>
    <s v="Poor"/>
    <s v="Always"/>
    <s v="Average"/>
    <n v="3.69"/>
    <m/>
    <s v="Angry"/>
    <s v="Sometimes"/>
    <b v="1"/>
    <b v="0"/>
    <b v="1"/>
    <b v="0"/>
    <b v="0"/>
    <n v="2.7"/>
    <n v="7.9"/>
    <n v="3"/>
    <n v="2.7"/>
    <n v="76.72"/>
    <m/>
    <n v="1"/>
    <x v="2"/>
    <m/>
    <m/>
    <m/>
    <m/>
  </r>
  <r>
    <s v="GD0573"/>
    <n v="20"/>
    <x v="1"/>
    <x v="0"/>
    <x v="82"/>
    <x v="1"/>
    <x v="6"/>
    <s v="Civilization VI"/>
    <s v="Multi-platform"/>
    <n v="5.5"/>
    <m/>
    <s v="Very Poor"/>
    <s v="Sometimes"/>
    <s v="Poor"/>
    <n v="2.34"/>
    <n v="6"/>
    <s v="Irritable"/>
    <s v="Sometimes"/>
    <b v="0"/>
    <b v="0"/>
    <b v="0"/>
    <b v="1"/>
    <b v="0"/>
    <n v="1.3"/>
    <n v="8.5"/>
    <n v="4"/>
    <n v="8.6999999999999993"/>
    <n v="140.81"/>
    <m/>
    <n v="5"/>
    <x v="1"/>
    <m/>
    <m/>
    <m/>
    <m/>
  </r>
  <r>
    <s v="GD0574"/>
    <n v="23"/>
    <x v="1"/>
    <x v="0"/>
    <x v="40"/>
    <x v="1"/>
    <x v="4"/>
    <s v="Warzone"/>
    <s v="Multi-platform"/>
    <n v="6.9"/>
    <m/>
    <s v="Very Poor"/>
    <s v="Often"/>
    <s v="Below Average"/>
    <m/>
    <n v="2"/>
    <s v="Restless"/>
    <s v="Often"/>
    <b v="0"/>
    <b v="0"/>
    <b v="0"/>
    <b v="0"/>
    <b v="0"/>
    <n v="0.4"/>
    <n v="9.4"/>
    <n v="3"/>
    <n v="12.1"/>
    <n v="11.59"/>
    <m/>
    <n v="2"/>
    <x v="1"/>
    <m/>
    <m/>
    <m/>
    <m/>
  </r>
  <r>
    <s v="GD0575"/>
    <n v="23"/>
    <x v="1"/>
    <x v="0"/>
    <x v="78"/>
    <x v="1"/>
    <x v="3"/>
    <s v="Elden Ring"/>
    <s v="PC"/>
    <n v="5.5"/>
    <m/>
    <s v="Poor"/>
    <s v="Often"/>
    <s v="Average"/>
    <m/>
    <n v="1"/>
    <s v="Depressed"/>
    <s v="Often"/>
    <b v="0"/>
    <b v="0"/>
    <b v="0"/>
    <b v="0"/>
    <b v="0"/>
    <n v="2.4"/>
    <n v="6.4"/>
    <n v="1"/>
    <n v="12.6"/>
    <n v="6.68"/>
    <m/>
    <n v="6"/>
    <x v="1"/>
    <m/>
    <m/>
    <m/>
    <m/>
  </r>
  <r>
    <s v="GD0576"/>
    <n v="21"/>
    <x v="1"/>
    <x v="0"/>
    <x v="17"/>
    <x v="1"/>
    <x v="3"/>
    <s v="Skyrim"/>
    <s v="Mobile"/>
    <n v="5.7"/>
    <m/>
    <s v="Poor"/>
    <s v="Sometimes"/>
    <s v="Failing"/>
    <n v="1.76"/>
    <n v="7"/>
    <s v="Anxious"/>
    <s v="Sometimes"/>
    <b v="1"/>
    <b v="1"/>
    <b v="0"/>
    <b v="1"/>
    <b v="1"/>
    <n v="1"/>
    <n v="6.2"/>
    <n v="4"/>
    <n v="5.4"/>
    <n v="132.29"/>
    <m/>
    <n v="4"/>
    <x v="2"/>
    <m/>
    <m/>
    <m/>
    <m/>
  </r>
  <r>
    <s v="GD0577"/>
    <n v="19"/>
    <x v="0"/>
    <x v="1"/>
    <x v="87"/>
    <x v="1"/>
    <x v="3"/>
    <s v="Skyrim"/>
    <s v="Console"/>
    <n v="9"/>
    <m/>
    <s v="Good"/>
    <s v="Never"/>
    <s v="Excellent"/>
    <n v="3.45"/>
    <n v="10"/>
    <s v="Excited"/>
    <s v="Sometimes"/>
    <b v="0"/>
    <b v="0"/>
    <b v="0"/>
    <b v="0"/>
    <b v="0"/>
    <n v="0.1"/>
    <n v="11.3"/>
    <n v="1"/>
    <n v="11.5"/>
    <n v="25.35"/>
    <m/>
    <n v="5"/>
    <x v="1"/>
    <m/>
    <m/>
    <m/>
    <m/>
  </r>
  <r>
    <s v="GD0578"/>
    <n v="17"/>
    <x v="0"/>
    <x v="1"/>
    <x v="45"/>
    <x v="1"/>
    <x v="4"/>
    <s v="Warzone"/>
    <s v="PC"/>
    <n v="5.2"/>
    <m/>
    <s v="Very Poor"/>
    <s v="Sometimes"/>
    <s v="Below Average"/>
    <n v="3.36"/>
    <m/>
    <s v="Irritable"/>
    <s v="Often"/>
    <b v="1"/>
    <b v="0"/>
    <b v="0"/>
    <b v="0"/>
    <b v="1"/>
    <n v="2.8"/>
    <n v="4.5"/>
    <n v="5"/>
    <n v="9.1999999999999993"/>
    <n v="86.64"/>
    <m/>
    <n v="5"/>
    <x v="3"/>
    <m/>
    <m/>
    <m/>
    <m/>
  </r>
  <r>
    <s v="GD0579"/>
    <n v="21"/>
    <x v="1"/>
    <x v="1"/>
    <x v="6"/>
    <x v="1"/>
    <x v="0"/>
    <s v="Clash of Clans"/>
    <s v="Console"/>
    <n v="8.1999999999999993"/>
    <m/>
    <s v="Good"/>
    <s v="Always"/>
    <s v="Excellent"/>
    <n v="3.63"/>
    <n v="9"/>
    <s v="Normal"/>
    <s v="Often"/>
    <b v="0"/>
    <b v="0"/>
    <b v="0"/>
    <b v="0"/>
    <b v="0"/>
    <n v="0.4"/>
    <n v="10"/>
    <n v="2"/>
    <n v="13.2"/>
    <n v="34.35"/>
    <m/>
    <n v="3"/>
    <x v="1"/>
    <m/>
    <m/>
    <m/>
    <m/>
  </r>
  <r>
    <s v="GD0580"/>
    <n v="21"/>
    <x v="1"/>
    <x v="0"/>
    <x v="23"/>
    <x v="1"/>
    <x v="6"/>
    <s v="StarCraft II"/>
    <s v="Console"/>
    <n v="5.0999999999999996"/>
    <m/>
    <s v="Poor"/>
    <s v="Sometimes"/>
    <s v="Poor"/>
    <n v="2.78"/>
    <n v="7"/>
    <s v="Normal"/>
    <s v="Never"/>
    <b v="0"/>
    <b v="0"/>
    <b v="0"/>
    <b v="1"/>
    <b v="1"/>
    <n v="2.2000000000000002"/>
    <n v="5.7"/>
    <n v="2"/>
    <n v="6.4"/>
    <n v="57.6"/>
    <m/>
    <n v="8"/>
    <x v="1"/>
    <m/>
    <m/>
    <m/>
    <m/>
  </r>
  <r>
    <s v="GD0581"/>
    <n v="18"/>
    <x v="0"/>
    <x v="1"/>
    <x v="60"/>
    <x v="1"/>
    <x v="4"/>
    <s v="Fortnite"/>
    <s v="Mobile"/>
    <n v="6.2"/>
    <m/>
    <s v="Very Poor"/>
    <s v="Often"/>
    <s v="Below Average"/>
    <n v="1.23"/>
    <m/>
    <s v="Anxious"/>
    <s v="Daily"/>
    <b v="0"/>
    <b v="1"/>
    <b v="0"/>
    <b v="1"/>
    <b v="1"/>
    <n v="0.9"/>
    <n v="5.9"/>
    <n v="4"/>
    <n v="10.7"/>
    <n v="34.21"/>
    <m/>
    <n v="4"/>
    <x v="3"/>
    <m/>
    <m/>
    <m/>
    <m/>
  </r>
  <r>
    <s v="GD0582"/>
    <n v="17"/>
    <x v="0"/>
    <x v="1"/>
    <x v="56"/>
    <x v="1"/>
    <x v="2"/>
    <s v="Call of Duty"/>
    <s v="Console"/>
    <n v="3.7"/>
    <m/>
    <s v="Poor"/>
    <s v="Often"/>
    <s v="Good"/>
    <n v="3.97"/>
    <m/>
    <s v="Angry"/>
    <s v="Rarely"/>
    <b v="1"/>
    <b v="1"/>
    <b v="1"/>
    <b v="1"/>
    <b v="1"/>
    <n v="0.2"/>
    <n v="4"/>
    <n v="6"/>
    <n v="6.7"/>
    <n v="40.049999999999997"/>
    <m/>
    <n v="5"/>
    <x v="0"/>
    <m/>
    <m/>
    <m/>
    <m/>
  </r>
  <r>
    <s v="GD0583"/>
    <n v="18"/>
    <x v="0"/>
    <x v="0"/>
    <x v="10"/>
    <x v="1"/>
    <x v="3"/>
    <s v="Cyberpunk 2077"/>
    <s v="Console"/>
    <n v="4.5999999999999996"/>
    <m/>
    <s v="Poor"/>
    <s v="Always"/>
    <s v="Average"/>
    <n v="3.66"/>
    <m/>
    <s v="Anxious"/>
    <s v="Rarely"/>
    <b v="0"/>
    <b v="0"/>
    <b v="0"/>
    <b v="1"/>
    <b v="1"/>
    <n v="0.5"/>
    <n v="7"/>
    <n v="4"/>
    <n v="3.8"/>
    <n v="327.63"/>
    <m/>
    <n v="3"/>
    <x v="3"/>
    <m/>
    <m/>
    <m/>
    <m/>
  </r>
  <r>
    <s v="GD0584"/>
    <n v="17"/>
    <x v="0"/>
    <x v="1"/>
    <x v="100"/>
    <x v="1"/>
    <x v="3"/>
    <s v="Skyrim"/>
    <s v="Mobile"/>
    <n v="5.7"/>
    <m/>
    <s v="Poor"/>
    <s v="Never"/>
    <s v="Average"/>
    <n v="2.75"/>
    <m/>
    <s v="Angry"/>
    <s v="Rarely"/>
    <b v="1"/>
    <b v="1"/>
    <b v="0"/>
    <b v="1"/>
    <b v="0"/>
    <n v="2.2000000000000002"/>
    <n v="5.5"/>
    <n v="4"/>
    <n v="5.7"/>
    <n v="80.16"/>
    <m/>
    <n v="4"/>
    <x v="2"/>
    <m/>
    <m/>
    <m/>
    <m/>
  </r>
  <r>
    <s v="GD0585"/>
    <n v="21"/>
    <x v="1"/>
    <x v="0"/>
    <x v="56"/>
    <x v="1"/>
    <x v="5"/>
    <s v="Elder Scrolls Online"/>
    <s v="PC"/>
    <n v="3.8"/>
    <m/>
    <s v="Fair"/>
    <s v="Often"/>
    <s v="Poor"/>
    <n v="1.36"/>
    <n v="4"/>
    <s v="Angry"/>
    <s v="Never"/>
    <b v="1"/>
    <b v="1"/>
    <b v="1"/>
    <b v="0"/>
    <b v="0"/>
    <n v="2.8"/>
    <n v="7.9"/>
    <n v="5"/>
    <n v="4.9000000000000004"/>
    <n v="76.849999999999994"/>
    <m/>
    <n v="7"/>
    <x v="0"/>
    <m/>
    <m/>
    <m/>
    <m/>
  </r>
  <r>
    <s v="GD0586"/>
    <n v="16"/>
    <x v="0"/>
    <x v="0"/>
    <x v="27"/>
    <x v="1"/>
    <x v="3"/>
    <s v="Skyrim"/>
    <s v="Multi-platform"/>
    <n v="7.4"/>
    <m/>
    <s v="Good"/>
    <s v="Often"/>
    <s v="Excellent"/>
    <n v="2.61"/>
    <m/>
    <s v="Excited"/>
    <s v="Rarely"/>
    <b v="0"/>
    <b v="0"/>
    <b v="0"/>
    <b v="0"/>
    <b v="0"/>
    <n v="0.2"/>
    <n v="7.6"/>
    <n v="1"/>
    <n v="13.7"/>
    <n v="4.9000000000000004"/>
    <m/>
    <n v="6"/>
    <x v="1"/>
    <m/>
    <m/>
    <m/>
    <m/>
  </r>
  <r>
    <s v="GD0587"/>
    <n v="19"/>
    <x v="0"/>
    <x v="1"/>
    <x v="15"/>
    <x v="1"/>
    <x v="3"/>
    <s v="Skyrim"/>
    <s v="PC"/>
    <n v="3.8"/>
    <m/>
    <s v="Poor"/>
    <s v="Sometimes"/>
    <s v="Poor"/>
    <n v="1.69"/>
    <n v="7"/>
    <s v="Restless"/>
    <s v="Often"/>
    <b v="0"/>
    <b v="1"/>
    <b v="0"/>
    <b v="1"/>
    <b v="1"/>
    <n v="1.9"/>
    <n v="5.4"/>
    <n v="6"/>
    <n v="2.6"/>
    <n v="94.45"/>
    <m/>
    <n v="9"/>
    <x v="3"/>
    <m/>
    <m/>
    <m/>
    <m/>
  </r>
  <r>
    <s v="GD0588"/>
    <n v="16"/>
    <x v="0"/>
    <x v="0"/>
    <x v="79"/>
    <x v="1"/>
    <x v="5"/>
    <s v="Elder Scrolls Online"/>
    <s v="Multi-platform"/>
    <n v="4.7"/>
    <m/>
    <s v="Poor"/>
    <s v="Always"/>
    <s v="Below Average"/>
    <n v="2.13"/>
    <m/>
    <s v="Angry"/>
    <s v="Daily"/>
    <b v="0"/>
    <b v="0"/>
    <b v="0"/>
    <b v="0"/>
    <b v="1"/>
    <n v="0.2"/>
    <n v="8.1999999999999993"/>
    <n v="4"/>
    <n v="8.4"/>
    <n v="11.92"/>
    <m/>
    <n v="2"/>
    <x v="1"/>
    <m/>
    <m/>
    <m/>
    <m/>
  </r>
  <r>
    <s v="GD0589"/>
    <n v="24"/>
    <x v="1"/>
    <x v="1"/>
    <x v="15"/>
    <x v="1"/>
    <x v="4"/>
    <s v="Fortnite"/>
    <s v="Console"/>
    <n v="5.2"/>
    <m/>
    <s v="Very Poor"/>
    <s v="Rarely"/>
    <s v="Poor"/>
    <m/>
    <n v="4"/>
    <s v="Irritable"/>
    <s v="Rarely"/>
    <b v="1"/>
    <b v="1"/>
    <b v="0"/>
    <b v="0"/>
    <b v="1"/>
    <n v="0.7"/>
    <n v="5.5"/>
    <n v="5"/>
    <n v="4.5"/>
    <n v="144.35"/>
    <m/>
    <n v="14"/>
    <x v="2"/>
    <m/>
    <m/>
    <m/>
    <m/>
  </r>
  <r>
    <s v="GD0590"/>
    <n v="22"/>
    <x v="1"/>
    <x v="0"/>
    <x v="43"/>
    <x v="1"/>
    <x v="5"/>
    <s v="Elder Scrolls Online"/>
    <s v="Mobile"/>
    <n v="7.1"/>
    <m/>
    <s v="Good"/>
    <s v="Sometimes"/>
    <s v="Average"/>
    <n v="1.77"/>
    <n v="7"/>
    <s v="Normal"/>
    <s v="Rarely"/>
    <b v="0"/>
    <b v="0"/>
    <b v="0"/>
    <b v="0"/>
    <b v="0"/>
    <n v="0.1"/>
    <n v="7.6"/>
    <n v="1"/>
    <n v="11.1"/>
    <n v="42.67"/>
    <m/>
    <n v="11"/>
    <x v="1"/>
    <m/>
    <m/>
    <m/>
    <m/>
  </r>
  <r>
    <s v="GD0591"/>
    <n v="18"/>
    <x v="0"/>
    <x v="1"/>
    <x v="19"/>
    <x v="1"/>
    <x v="5"/>
    <s v="World of Warcraft"/>
    <s v="PC"/>
    <n v="5.2"/>
    <m/>
    <s v="Fair"/>
    <s v="Rarely"/>
    <s v="Good"/>
    <n v="1.96"/>
    <m/>
    <s v="Excited"/>
    <s v="Daily"/>
    <b v="0"/>
    <b v="1"/>
    <b v="0"/>
    <b v="1"/>
    <b v="1"/>
    <n v="1.8"/>
    <n v="6.5"/>
    <n v="3"/>
    <n v="7.4"/>
    <n v="29.37"/>
    <m/>
    <n v="3"/>
    <x v="3"/>
    <m/>
    <m/>
    <m/>
    <m/>
  </r>
  <r>
    <s v="GD0592"/>
    <n v="20"/>
    <x v="1"/>
    <x v="0"/>
    <x v="12"/>
    <x v="1"/>
    <x v="3"/>
    <s v="Elden Ring"/>
    <s v="Multi-platform"/>
    <n v="5.4"/>
    <m/>
    <s v="Good"/>
    <s v="Never"/>
    <s v="Below Average"/>
    <n v="1.5"/>
    <n v="3"/>
    <s v="Euphoric"/>
    <s v="Sometimes"/>
    <b v="0"/>
    <b v="0"/>
    <b v="0"/>
    <b v="1"/>
    <b v="0"/>
    <n v="0.2"/>
    <n v="5.0999999999999996"/>
    <n v="4"/>
    <n v="8.3000000000000007"/>
    <n v="125.21"/>
    <m/>
    <n v="4"/>
    <x v="1"/>
    <m/>
    <m/>
    <m/>
    <m/>
  </r>
  <r>
    <s v="GD0593"/>
    <n v="17"/>
    <x v="0"/>
    <x v="1"/>
    <x v="9"/>
    <x v="1"/>
    <x v="5"/>
    <s v="Elder Scrolls Online"/>
    <s v="PC"/>
    <n v="9"/>
    <m/>
    <s v="Good"/>
    <s v="Always"/>
    <s v="Good"/>
    <n v="3.35"/>
    <m/>
    <s v="Restless"/>
    <s v="Sometimes"/>
    <b v="0"/>
    <b v="0"/>
    <b v="0"/>
    <b v="0"/>
    <b v="0"/>
    <n v="0.3"/>
    <n v="8"/>
    <n v="1"/>
    <n v="12.2"/>
    <n v="4.91"/>
    <m/>
    <n v="2"/>
    <x v="1"/>
    <m/>
    <m/>
    <m/>
    <m/>
  </r>
  <r>
    <s v="GD0594"/>
    <n v="21"/>
    <x v="1"/>
    <x v="0"/>
    <x v="108"/>
    <x v="1"/>
    <x v="6"/>
    <s v="StarCraft II"/>
    <s v="PC"/>
    <n v="5"/>
    <m/>
    <s v="Fair"/>
    <s v="Sometimes"/>
    <s v="Below Average"/>
    <n v="2.71"/>
    <n v="3"/>
    <s v="Anxious"/>
    <s v="Daily"/>
    <b v="1"/>
    <b v="0"/>
    <b v="1"/>
    <b v="1"/>
    <b v="1"/>
    <n v="4"/>
    <n v="6"/>
    <n v="5"/>
    <n v="1.6"/>
    <n v="314.32"/>
    <m/>
    <n v="1"/>
    <x v="0"/>
    <m/>
    <m/>
    <m/>
    <m/>
  </r>
  <r>
    <s v="GD0595"/>
    <n v="21"/>
    <x v="1"/>
    <x v="1"/>
    <x v="17"/>
    <x v="1"/>
    <x v="5"/>
    <s v="World of Warcraft"/>
    <s v="Multi-platform"/>
    <n v="6.9"/>
    <m/>
    <s v="Fair"/>
    <s v="Never"/>
    <s v="Below Average"/>
    <n v="1.4"/>
    <n v="9"/>
    <s v="Irritable"/>
    <s v="Often"/>
    <b v="0"/>
    <b v="1"/>
    <b v="0"/>
    <b v="1"/>
    <b v="1"/>
    <n v="1.3"/>
    <n v="5.9"/>
    <n v="3"/>
    <n v="9.9"/>
    <n v="119.21"/>
    <m/>
    <n v="2"/>
    <x v="3"/>
    <m/>
    <m/>
    <m/>
    <m/>
  </r>
  <r>
    <s v="GD0596"/>
    <n v="27"/>
    <x v="1"/>
    <x v="1"/>
    <x v="37"/>
    <x v="1"/>
    <x v="1"/>
    <s v="Mobile Legends"/>
    <s v="Multi-platform"/>
    <n v="5.6"/>
    <m/>
    <s v="Fair"/>
    <s v="Rarely"/>
    <s v="Below Average"/>
    <m/>
    <n v="2"/>
    <s v="Anxious"/>
    <s v="Never"/>
    <b v="0"/>
    <b v="0"/>
    <b v="0"/>
    <b v="0"/>
    <b v="0"/>
    <n v="1.1000000000000001"/>
    <n v="8.8000000000000007"/>
    <n v="2"/>
    <n v="10.7"/>
    <n v="37.270000000000003"/>
    <m/>
    <n v="15"/>
    <x v="1"/>
    <m/>
    <m/>
    <m/>
    <m/>
  </r>
  <r>
    <s v="GD0597"/>
    <n v="22"/>
    <x v="1"/>
    <x v="0"/>
    <x v="44"/>
    <x v="1"/>
    <x v="0"/>
    <s v="Candy Crush"/>
    <s v="PC"/>
    <n v="7"/>
    <m/>
    <s v="Fair"/>
    <s v="Never"/>
    <s v="Average"/>
    <n v="3.21"/>
    <n v="7"/>
    <s v="Depressed"/>
    <s v="Daily"/>
    <b v="0"/>
    <b v="1"/>
    <b v="0"/>
    <b v="1"/>
    <b v="0"/>
    <n v="3.1"/>
    <n v="8.3000000000000007"/>
    <n v="4"/>
    <n v="8"/>
    <n v="114.69"/>
    <m/>
    <n v="3"/>
    <x v="3"/>
    <m/>
    <m/>
    <m/>
    <m/>
  </r>
  <r>
    <s v="GD0598"/>
    <n v="16"/>
    <x v="0"/>
    <x v="1"/>
    <x v="59"/>
    <x v="1"/>
    <x v="6"/>
    <s v="Civilization VI"/>
    <s v="Multi-platform"/>
    <n v="4.7"/>
    <m/>
    <s v="Poor"/>
    <s v="Often"/>
    <s v="Below Average"/>
    <n v="3.22"/>
    <m/>
    <s v="Normal"/>
    <s v="Daily"/>
    <b v="0"/>
    <b v="1"/>
    <b v="1"/>
    <b v="1"/>
    <b v="0"/>
    <n v="3"/>
    <n v="6.9"/>
    <n v="5"/>
    <n v="6.7"/>
    <n v="69.400000000000006"/>
    <m/>
    <n v="6"/>
    <x v="0"/>
    <m/>
    <m/>
    <m/>
    <m/>
  </r>
  <r>
    <s v="GD0599"/>
    <n v="19"/>
    <x v="0"/>
    <x v="0"/>
    <x v="62"/>
    <x v="1"/>
    <x v="3"/>
    <s v="Cyberpunk 2077"/>
    <s v="Console"/>
    <n v="3.2"/>
    <m/>
    <s v="Poor"/>
    <s v="Sometimes"/>
    <s v="Failing"/>
    <n v="1.89"/>
    <n v="1"/>
    <s v="Depressed"/>
    <s v="Rarely"/>
    <b v="1"/>
    <b v="1"/>
    <b v="1"/>
    <b v="1"/>
    <b v="1"/>
    <n v="0.9"/>
    <n v="6.9"/>
    <n v="7"/>
    <n v="6"/>
    <n v="128.77000000000001"/>
    <m/>
    <n v="4"/>
    <x v="0"/>
    <m/>
    <m/>
    <m/>
    <m/>
  </r>
  <r>
    <s v="GD0600"/>
    <n v="21"/>
    <x v="1"/>
    <x v="1"/>
    <x v="12"/>
    <x v="1"/>
    <x v="4"/>
    <s v="Fortnite"/>
    <s v="Mobile"/>
    <n v="5.3"/>
    <m/>
    <s v="Fair"/>
    <s v="Often"/>
    <s v="Average"/>
    <n v="3.36"/>
    <n v="3"/>
    <s v="Euphoric"/>
    <s v="Never"/>
    <b v="0"/>
    <b v="0"/>
    <b v="0"/>
    <b v="0"/>
    <b v="1"/>
    <n v="0.8"/>
    <n v="6.9"/>
    <n v="4"/>
    <n v="7.4"/>
    <n v="88.08"/>
    <m/>
    <n v="7"/>
    <x v="1"/>
    <m/>
    <m/>
    <m/>
    <m/>
  </r>
  <r>
    <s v="GD0601"/>
    <n v="20"/>
    <x v="1"/>
    <x v="0"/>
    <x v="61"/>
    <x v="1"/>
    <x v="3"/>
    <s v="Elden Ring"/>
    <s v="PC"/>
    <n v="8.4"/>
    <m/>
    <s v="Poor"/>
    <s v="Rarely"/>
    <s v="Excellent"/>
    <n v="2.65"/>
    <n v="10"/>
    <s v="Normal"/>
    <s v="Rarely"/>
    <b v="0"/>
    <b v="0"/>
    <b v="0"/>
    <b v="0"/>
    <b v="0"/>
    <n v="0.2"/>
    <n v="9.4"/>
    <n v="1"/>
    <n v="15.4"/>
    <n v="44.51"/>
    <m/>
    <n v="7"/>
    <x v="1"/>
    <m/>
    <m/>
    <m/>
    <m/>
  </r>
  <r>
    <s v="GD0602"/>
    <n v="16"/>
    <x v="0"/>
    <x v="0"/>
    <x v="35"/>
    <x v="1"/>
    <x v="6"/>
    <s v="Civilization VI"/>
    <s v="Console"/>
    <n v="5.8"/>
    <m/>
    <s v="Good"/>
    <s v="Always"/>
    <s v="Below Average"/>
    <n v="2.21"/>
    <m/>
    <s v="Depressed"/>
    <s v="Daily"/>
    <b v="0"/>
    <b v="0"/>
    <b v="0"/>
    <b v="0"/>
    <b v="0"/>
    <n v="1.3"/>
    <n v="6.6"/>
    <n v="2"/>
    <n v="12"/>
    <n v="34.04"/>
    <m/>
    <n v="2"/>
    <x v="1"/>
    <m/>
    <m/>
    <m/>
    <m/>
  </r>
  <r>
    <s v="GD0603"/>
    <n v="14"/>
    <x v="0"/>
    <x v="1"/>
    <x v="110"/>
    <x v="1"/>
    <x v="6"/>
    <s v="Civilization VI"/>
    <s v="Mobile"/>
    <n v="3.4"/>
    <m/>
    <s v="Very Poor"/>
    <s v="Always"/>
    <s v="Below Average"/>
    <n v="2.1800000000000002"/>
    <m/>
    <s v="Withdrawn"/>
    <s v="Often"/>
    <b v="0"/>
    <b v="1"/>
    <b v="0"/>
    <b v="1"/>
    <b v="1"/>
    <n v="0"/>
    <n v="7.1"/>
    <n v="4"/>
    <n v="8.6999999999999993"/>
    <n v="87.18"/>
    <m/>
    <n v="3"/>
    <x v="3"/>
    <m/>
    <m/>
    <m/>
    <m/>
  </r>
  <r>
    <s v="GD0604"/>
    <n v="21"/>
    <x v="1"/>
    <x v="0"/>
    <x v="51"/>
    <x v="1"/>
    <x v="0"/>
    <s v="Candy Crush"/>
    <s v="PC"/>
    <n v="6.9"/>
    <m/>
    <s v="Fair"/>
    <s v="Often"/>
    <s v="Below Average"/>
    <n v="2.2799999999999998"/>
    <n v="5"/>
    <s v="Euphoric"/>
    <s v="Daily"/>
    <b v="0"/>
    <b v="0"/>
    <b v="0"/>
    <b v="1"/>
    <b v="0"/>
    <n v="1"/>
    <n v="6.4"/>
    <n v="4"/>
    <n v="6.4"/>
    <n v="29.12"/>
    <m/>
    <n v="10"/>
    <x v="1"/>
    <m/>
    <m/>
    <m/>
    <m/>
  </r>
  <r>
    <s v="GD0605"/>
    <n v="19"/>
    <x v="0"/>
    <x v="0"/>
    <x v="110"/>
    <x v="1"/>
    <x v="1"/>
    <s v="League of Legends"/>
    <s v="Mobile"/>
    <n v="5.8"/>
    <m/>
    <s v="Very Poor"/>
    <s v="Never"/>
    <s v="Good"/>
    <n v="3.54"/>
    <n v="5"/>
    <s v="Restless"/>
    <s v="Rarely"/>
    <b v="1"/>
    <b v="0"/>
    <b v="0"/>
    <b v="1"/>
    <b v="1"/>
    <n v="3.2"/>
    <n v="7.1"/>
    <n v="5"/>
    <n v="6.6"/>
    <n v="130.69"/>
    <m/>
    <n v="6"/>
    <x v="3"/>
    <m/>
    <m/>
    <m/>
    <m/>
  </r>
  <r>
    <s v="GD0606"/>
    <n v="22"/>
    <x v="1"/>
    <x v="1"/>
    <x v="41"/>
    <x v="1"/>
    <x v="4"/>
    <s v="Warzone"/>
    <s v="Multi-platform"/>
    <n v="4.3"/>
    <m/>
    <s v="Poor"/>
    <s v="Never"/>
    <s v="Poor"/>
    <n v="1.95"/>
    <n v="5"/>
    <s v="Restless"/>
    <s v="Daily"/>
    <b v="1"/>
    <b v="1"/>
    <b v="0"/>
    <b v="0"/>
    <b v="1"/>
    <n v="2.1"/>
    <n v="4.5"/>
    <n v="6"/>
    <n v="3.7"/>
    <n v="90.88"/>
    <m/>
    <n v="11"/>
    <x v="0"/>
    <m/>
    <m/>
    <m/>
    <m/>
  </r>
  <r>
    <s v="GD0607"/>
    <n v="15"/>
    <x v="0"/>
    <x v="0"/>
    <x v="124"/>
    <x v="1"/>
    <x v="3"/>
    <s v="Cyberpunk 2077"/>
    <s v="Multi-platform"/>
    <n v="4.2"/>
    <m/>
    <s v="Insomnia"/>
    <s v="Rarely"/>
    <s v="Poor"/>
    <n v="3.63"/>
    <m/>
    <s v="Irritable"/>
    <s v="Rarely"/>
    <b v="1"/>
    <b v="0"/>
    <b v="0"/>
    <b v="0"/>
    <b v="0"/>
    <n v="6.5"/>
    <n v="5.5"/>
    <n v="8"/>
    <n v="0"/>
    <n v="475.36"/>
    <m/>
    <n v="2"/>
    <x v="2"/>
    <m/>
    <m/>
    <m/>
    <m/>
  </r>
  <r>
    <s v="GD0608"/>
    <n v="16"/>
    <x v="0"/>
    <x v="0"/>
    <x v="29"/>
    <x v="1"/>
    <x v="5"/>
    <s v="World of Warcraft"/>
    <s v="Console"/>
    <n v="6.5"/>
    <m/>
    <s v="Fair"/>
    <s v="Always"/>
    <s v="Good"/>
    <n v="1.25"/>
    <m/>
    <s v="Euphoric"/>
    <s v="Daily"/>
    <b v="0"/>
    <b v="0"/>
    <b v="0"/>
    <b v="1"/>
    <b v="0"/>
    <n v="0.8"/>
    <n v="6.5"/>
    <n v="5"/>
    <n v="6"/>
    <n v="70.11"/>
    <m/>
    <n v="5"/>
    <x v="1"/>
    <m/>
    <m/>
    <m/>
    <m/>
  </r>
  <r>
    <s v="GD0609"/>
    <n v="17"/>
    <x v="0"/>
    <x v="0"/>
    <x v="97"/>
    <x v="1"/>
    <x v="4"/>
    <s v="PUBG"/>
    <s v="Console"/>
    <n v="4.7"/>
    <m/>
    <s v="Poor"/>
    <s v="Often"/>
    <s v="Average"/>
    <n v="3.48"/>
    <m/>
    <s v="Excited"/>
    <s v="Never"/>
    <b v="0"/>
    <b v="0"/>
    <b v="0"/>
    <b v="1"/>
    <b v="0"/>
    <n v="1.9"/>
    <n v="6.6"/>
    <n v="6"/>
    <n v="1.8"/>
    <n v="119.98"/>
    <m/>
    <n v="3"/>
    <x v="3"/>
    <m/>
    <m/>
    <m/>
    <m/>
  </r>
  <r>
    <s v="GD0610"/>
    <n v="26"/>
    <x v="1"/>
    <x v="1"/>
    <x v="51"/>
    <x v="1"/>
    <x v="4"/>
    <s v="Apex Legends"/>
    <s v="Multi-platform"/>
    <n v="6.7"/>
    <m/>
    <s v="Good"/>
    <s v="Sometimes"/>
    <s v="Below Average"/>
    <m/>
    <n v="2"/>
    <s v="Anxious"/>
    <s v="Rarely"/>
    <b v="0"/>
    <b v="0"/>
    <b v="0"/>
    <b v="1"/>
    <b v="0"/>
    <n v="2.7"/>
    <n v="8.1"/>
    <n v="3"/>
    <n v="9.3000000000000007"/>
    <n v="75.94"/>
    <m/>
    <n v="13"/>
    <x v="1"/>
    <m/>
    <m/>
    <m/>
    <m/>
  </r>
  <r>
    <s v="GD0611"/>
    <n v="20"/>
    <x v="1"/>
    <x v="0"/>
    <x v="60"/>
    <x v="1"/>
    <x v="2"/>
    <s v="Call of Duty"/>
    <s v="Console"/>
    <n v="5.4"/>
    <m/>
    <s v="Poor"/>
    <s v="Never"/>
    <s v="Average"/>
    <n v="1.28"/>
    <n v="6"/>
    <s v="Normal"/>
    <s v="Never"/>
    <b v="0"/>
    <b v="0"/>
    <b v="0"/>
    <b v="1"/>
    <b v="1"/>
    <n v="3.9"/>
    <n v="5.9"/>
    <n v="2"/>
    <n v="7.2"/>
    <n v="80.75"/>
    <m/>
    <n v="6"/>
    <x v="1"/>
    <m/>
    <m/>
    <m/>
    <m/>
  </r>
  <r>
    <s v="GD0612"/>
    <n v="20"/>
    <x v="1"/>
    <x v="0"/>
    <x v="66"/>
    <x v="1"/>
    <x v="5"/>
    <s v="Final Fantasy XIV"/>
    <s v="Mobile"/>
    <n v="6"/>
    <m/>
    <s v="Poor"/>
    <s v="Always"/>
    <s v="Excellent"/>
    <n v="2.81"/>
    <n v="6"/>
    <s v="Normal"/>
    <s v="Sometimes"/>
    <b v="0"/>
    <b v="0"/>
    <b v="0"/>
    <b v="1"/>
    <b v="0"/>
    <n v="1.1000000000000001"/>
    <n v="6.7"/>
    <n v="3"/>
    <n v="10.199999999999999"/>
    <n v="98.4"/>
    <m/>
    <n v="4"/>
    <x v="1"/>
    <m/>
    <m/>
    <m/>
    <m/>
  </r>
  <r>
    <s v="GD0613"/>
    <n v="19"/>
    <x v="0"/>
    <x v="0"/>
    <x v="52"/>
    <x v="1"/>
    <x v="4"/>
    <s v="PUBG"/>
    <s v="Mobile"/>
    <n v="8.6"/>
    <m/>
    <s v="Fair"/>
    <s v="Always"/>
    <s v="Poor"/>
    <n v="2.48"/>
    <n v="1"/>
    <s v="Anxious"/>
    <s v="Daily"/>
    <b v="0"/>
    <b v="0"/>
    <b v="0"/>
    <b v="0"/>
    <b v="0"/>
    <n v="0.9"/>
    <n v="8.1999999999999993"/>
    <n v="2"/>
    <n v="11.2"/>
    <n v="19.48"/>
    <m/>
    <n v="7"/>
    <x v="1"/>
    <m/>
    <m/>
    <m/>
    <m/>
  </r>
  <r>
    <s v="GD0614"/>
    <n v="17"/>
    <x v="0"/>
    <x v="0"/>
    <x v="87"/>
    <x v="1"/>
    <x v="1"/>
    <s v="Mobile Legends"/>
    <s v="PC"/>
    <n v="8.4"/>
    <m/>
    <s v="Good"/>
    <s v="Rarely"/>
    <s v="Average"/>
    <n v="3.15"/>
    <m/>
    <s v="Normal"/>
    <s v="Never"/>
    <b v="0"/>
    <b v="0"/>
    <b v="0"/>
    <b v="0"/>
    <b v="0"/>
    <n v="0.2"/>
    <n v="11.1"/>
    <n v="1"/>
    <n v="16.100000000000001"/>
    <n v="1.18"/>
    <m/>
    <n v="5"/>
    <x v="1"/>
    <m/>
    <m/>
    <m/>
    <m/>
  </r>
  <r>
    <s v="GD0615"/>
    <n v="18"/>
    <x v="0"/>
    <x v="1"/>
    <x v="96"/>
    <x v="1"/>
    <x v="2"/>
    <s v="Overwatch"/>
    <s v="Multi-platform"/>
    <n v="5"/>
    <m/>
    <s v="Poor"/>
    <s v="Often"/>
    <s v="Below Average"/>
    <n v="3.55"/>
    <m/>
    <s v="Euphoric"/>
    <s v="Sometimes"/>
    <b v="0"/>
    <b v="0"/>
    <b v="0"/>
    <b v="0"/>
    <b v="0"/>
    <n v="2"/>
    <n v="9.4"/>
    <n v="2"/>
    <n v="11.5"/>
    <n v="46.28"/>
    <m/>
    <n v="6"/>
    <x v="1"/>
    <m/>
    <m/>
    <m/>
    <m/>
  </r>
  <r>
    <s v="GD0616"/>
    <n v="18"/>
    <x v="0"/>
    <x v="1"/>
    <x v="26"/>
    <x v="1"/>
    <x v="4"/>
    <s v="Warzone"/>
    <s v="Mobile"/>
    <n v="6"/>
    <m/>
    <s v="Good"/>
    <s v="Always"/>
    <s v="Average"/>
    <n v="2.82"/>
    <m/>
    <s v="Restless"/>
    <s v="Often"/>
    <b v="0"/>
    <b v="0"/>
    <b v="0"/>
    <b v="1"/>
    <b v="0"/>
    <n v="0.1"/>
    <n v="6.6"/>
    <n v="2"/>
    <n v="6.6"/>
    <n v="127.9"/>
    <m/>
    <n v="4"/>
    <x v="1"/>
    <m/>
    <m/>
    <m/>
    <m/>
  </r>
  <r>
    <s v="GD0617"/>
    <n v="24"/>
    <x v="1"/>
    <x v="0"/>
    <x v="15"/>
    <x v="1"/>
    <x v="5"/>
    <s v="Final Fantasy XIV"/>
    <s v="Multi-platform"/>
    <n v="4.2"/>
    <m/>
    <s v="Insomnia"/>
    <s v="Often"/>
    <s v="Failing"/>
    <m/>
    <n v="8"/>
    <s v="Anxious"/>
    <s v="Never"/>
    <b v="0"/>
    <b v="0"/>
    <b v="1"/>
    <b v="1"/>
    <b v="1"/>
    <n v="1.8"/>
    <n v="5.5"/>
    <n v="4"/>
    <n v="7.8"/>
    <n v="111.33"/>
    <m/>
    <n v="7"/>
    <x v="3"/>
    <m/>
    <m/>
    <m/>
    <m/>
  </r>
  <r>
    <s v="GD0618"/>
    <n v="30"/>
    <x v="1"/>
    <x v="0"/>
    <x v="3"/>
    <x v="1"/>
    <x v="1"/>
    <s v="Mobile Legends"/>
    <s v="Mobile"/>
    <n v="4"/>
    <m/>
    <s v="Poor"/>
    <s v="Sometimes"/>
    <s v="Below Average"/>
    <m/>
    <n v="3"/>
    <s v="Irritable"/>
    <s v="Sometimes"/>
    <b v="1"/>
    <b v="1"/>
    <b v="0"/>
    <b v="0"/>
    <b v="1"/>
    <n v="1.8"/>
    <n v="6.3"/>
    <n v="5"/>
    <n v="6.3"/>
    <n v="74.44"/>
    <m/>
    <n v="12"/>
    <x v="2"/>
    <m/>
    <m/>
    <m/>
    <m/>
  </r>
  <r>
    <s v="GD0619"/>
    <n v="21"/>
    <x v="1"/>
    <x v="0"/>
    <x v="60"/>
    <x v="1"/>
    <x v="0"/>
    <s v="PUBG Mobile"/>
    <s v="Multi-platform"/>
    <n v="5.6"/>
    <m/>
    <s v="Good"/>
    <s v="Never"/>
    <s v="Excellent"/>
    <n v="2.4300000000000002"/>
    <n v="5"/>
    <s v="Restless"/>
    <s v="Often"/>
    <b v="0"/>
    <b v="1"/>
    <b v="0"/>
    <b v="1"/>
    <b v="1"/>
    <n v="1.2"/>
    <n v="7.6"/>
    <n v="4"/>
    <n v="8.9"/>
    <n v="112.63"/>
    <m/>
    <n v="4"/>
    <x v="3"/>
    <m/>
    <m/>
    <m/>
    <m/>
  </r>
  <r>
    <s v="GD0620"/>
    <n v="15"/>
    <x v="0"/>
    <x v="0"/>
    <x v="52"/>
    <x v="1"/>
    <x v="0"/>
    <s v="Genshin Impact"/>
    <s v="Multi-platform"/>
    <n v="7.8"/>
    <m/>
    <s v="Good"/>
    <s v="Always"/>
    <s v="Good"/>
    <n v="2.19"/>
    <m/>
    <s v="Normal"/>
    <s v="Rarely"/>
    <b v="0"/>
    <b v="0"/>
    <b v="0"/>
    <b v="0"/>
    <b v="0"/>
    <n v="0.7"/>
    <n v="6.6"/>
    <n v="1"/>
    <n v="9.6999999999999993"/>
    <n v="32.909999999999997"/>
    <m/>
    <n v="3"/>
    <x v="1"/>
    <m/>
    <m/>
    <m/>
    <m/>
  </r>
  <r>
    <s v="GD0621"/>
    <n v="27"/>
    <x v="1"/>
    <x v="0"/>
    <x v="22"/>
    <x v="1"/>
    <x v="2"/>
    <s v="Overwatch"/>
    <s v="Multi-platform"/>
    <n v="8.4"/>
    <m/>
    <s v="Good"/>
    <s v="Never"/>
    <s v="Excellent"/>
    <m/>
    <n v="2"/>
    <s v="Normal"/>
    <s v="Sometimes"/>
    <b v="0"/>
    <b v="0"/>
    <b v="0"/>
    <b v="0"/>
    <b v="0"/>
    <n v="1.1000000000000001"/>
    <n v="8.5"/>
    <n v="1"/>
    <n v="12.2"/>
    <n v="29.73"/>
    <m/>
    <n v="12"/>
    <x v="1"/>
    <m/>
    <m/>
    <m/>
    <m/>
  </r>
  <r>
    <s v="GD0622"/>
    <n v="15"/>
    <x v="0"/>
    <x v="1"/>
    <x v="39"/>
    <x v="1"/>
    <x v="0"/>
    <s v="Clash of Clans"/>
    <s v="Multi-platform"/>
    <n v="4.7"/>
    <m/>
    <s v="Poor"/>
    <s v="Often"/>
    <s v="Poor"/>
    <n v="3.52"/>
    <m/>
    <s v="Anxious"/>
    <s v="Daily"/>
    <b v="0"/>
    <b v="0"/>
    <b v="0"/>
    <b v="1"/>
    <b v="0"/>
    <n v="0.8"/>
    <n v="5.9"/>
    <n v="6"/>
    <n v="7.6"/>
    <n v="54.93"/>
    <m/>
    <n v="5"/>
    <x v="1"/>
    <m/>
    <m/>
    <m/>
    <m/>
  </r>
  <r>
    <s v="GD0623"/>
    <n v="27"/>
    <x v="1"/>
    <x v="1"/>
    <x v="115"/>
    <x v="1"/>
    <x v="2"/>
    <s v="Call of Duty"/>
    <s v="Multi-platform"/>
    <n v="7.5"/>
    <m/>
    <s v="Fair"/>
    <s v="Never"/>
    <s v="Average"/>
    <m/>
    <n v="9"/>
    <s v="Normal"/>
    <s v="Never"/>
    <b v="0"/>
    <b v="0"/>
    <b v="0"/>
    <b v="0"/>
    <b v="0"/>
    <n v="0.2"/>
    <n v="9"/>
    <n v="2"/>
    <n v="15.5"/>
    <n v="24.49"/>
    <m/>
    <n v="11"/>
    <x v="1"/>
    <m/>
    <m/>
    <m/>
    <m/>
  </r>
  <r>
    <s v="GD0624"/>
    <n v="19"/>
    <x v="0"/>
    <x v="0"/>
    <x v="76"/>
    <x v="1"/>
    <x v="1"/>
    <s v="Dota 2"/>
    <s v="Multi-platform"/>
    <n v="3.5"/>
    <m/>
    <s v="Very Poor"/>
    <s v="Sometimes"/>
    <s v="Average"/>
    <n v="1.1000000000000001"/>
    <n v="6"/>
    <s v="Irritable"/>
    <s v="Often"/>
    <b v="0"/>
    <b v="1"/>
    <b v="0"/>
    <b v="1"/>
    <b v="0"/>
    <n v="3.6"/>
    <n v="7.8"/>
    <n v="6"/>
    <n v="6"/>
    <n v="33.950000000000003"/>
    <m/>
    <n v="6"/>
    <x v="3"/>
    <m/>
    <m/>
    <m/>
    <m/>
  </r>
  <r>
    <s v="GD0625"/>
    <n v="20"/>
    <x v="1"/>
    <x v="0"/>
    <x v="51"/>
    <x v="1"/>
    <x v="1"/>
    <s v="Dota 2"/>
    <s v="Mobile"/>
    <n v="5.5"/>
    <m/>
    <s v="Poor"/>
    <s v="Always"/>
    <s v="Average"/>
    <n v="2.5"/>
    <n v="2"/>
    <s v="Depressed"/>
    <s v="Sometimes"/>
    <b v="0"/>
    <b v="0"/>
    <b v="0"/>
    <b v="1"/>
    <b v="0"/>
    <n v="0.8"/>
    <n v="8.8000000000000007"/>
    <n v="4"/>
    <n v="6.8"/>
    <n v="94.88"/>
    <m/>
    <n v="2"/>
    <x v="1"/>
    <m/>
    <m/>
    <m/>
    <m/>
  </r>
  <r>
    <s v="GD0626"/>
    <n v="35"/>
    <x v="2"/>
    <x v="0"/>
    <x v="79"/>
    <x v="1"/>
    <x v="6"/>
    <s v="StarCraft II"/>
    <s v="Mobile"/>
    <n v="5.2"/>
    <m/>
    <s v="Very Poor"/>
    <s v="Often"/>
    <s v="Failing"/>
    <m/>
    <n v="8"/>
    <s v="Normal"/>
    <s v="Never"/>
    <b v="1"/>
    <b v="1"/>
    <b v="0"/>
    <b v="1"/>
    <b v="0"/>
    <n v="2.2999999999999998"/>
    <n v="7.8"/>
    <n v="5"/>
    <n v="5.7"/>
    <n v="105.61"/>
    <m/>
    <n v="7"/>
    <x v="2"/>
    <m/>
    <m/>
    <m/>
    <m/>
  </r>
  <r>
    <s v="GD0627"/>
    <n v="22"/>
    <x v="1"/>
    <x v="1"/>
    <x v="51"/>
    <x v="1"/>
    <x v="6"/>
    <s v="Age of Empires"/>
    <s v="Multi-platform"/>
    <n v="6"/>
    <m/>
    <s v="Fair"/>
    <s v="Rarely"/>
    <s v="Good"/>
    <n v="1.74"/>
    <n v="8"/>
    <s v="Irritable"/>
    <s v="Often"/>
    <b v="0"/>
    <b v="0"/>
    <b v="0"/>
    <b v="1"/>
    <b v="0"/>
    <n v="0.9"/>
    <n v="7.5"/>
    <n v="4"/>
    <n v="7.9"/>
    <n v="19.11"/>
    <m/>
    <n v="12"/>
    <x v="1"/>
    <m/>
    <m/>
    <m/>
    <m/>
  </r>
  <r>
    <s v="GD0628"/>
    <n v="16"/>
    <x v="0"/>
    <x v="0"/>
    <x v="112"/>
    <x v="1"/>
    <x v="5"/>
    <s v="Final Fantasy XIV"/>
    <s v="PC"/>
    <n v="5.6"/>
    <m/>
    <s v="Poor"/>
    <s v="Sometimes"/>
    <s v="Below Average"/>
    <n v="2.23"/>
    <m/>
    <s v="Anxious"/>
    <s v="Often"/>
    <b v="0"/>
    <b v="0"/>
    <b v="0"/>
    <b v="0"/>
    <b v="0"/>
    <n v="2"/>
    <n v="7"/>
    <n v="3"/>
    <n v="8.9"/>
    <n v="77.900000000000006"/>
    <m/>
    <n v="2"/>
    <x v="1"/>
    <m/>
    <m/>
    <m/>
    <m/>
  </r>
  <r>
    <s v="GD0629"/>
    <n v="21"/>
    <x v="1"/>
    <x v="1"/>
    <x v="71"/>
    <x v="1"/>
    <x v="2"/>
    <s v="Overwatch"/>
    <s v="Mobile"/>
    <n v="5.4"/>
    <m/>
    <s v="Good"/>
    <s v="Often"/>
    <s v="Good"/>
    <n v="3.09"/>
    <n v="3"/>
    <s v="Withdrawn"/>
    <s v="Never"/>
    <b v="0"/>
    <b v="0"/>
    <b v="0"/>
    <b v="0"/>
    <b v="0"/>
    <n v="1.9"/>
    <n v="6.1"/>
    <n v="3"/>
    <n v="8"/>
    <n v="40.97"/>
    <m/>
    <n v="11"/>
    <x v="1"/>
    <m/>
    <m/>
    <m/>
    <m/>
  </r>
  <r>
    <s v="GD0630"/>
    <n v="27"/>
    <x v="1"/>
    <x v="1"/>
    <x v="69"/>
    <x v="1"/>
    <x v="4"/>
    <s v="Apex Legends"/>
    <s v="Console"/>
    <n v="5.2"/>
    <m/>
    <s v="Very Poor"/>
    <s v="Always"/>
    <s v="Average"/>
    <m/>
    <n v="4"/>
    <s v="Restless"/>
    <s v="Sometimes"/>
    <b v="1"/>
    <b v="0"/>
    <b v="1"/>
    <b v="1"/>
    <b v="1"/>
    <n v="3.2"/>
    <n v="4.9000000000000004"/>
    <n v="9"/>
    <n v="0"/>
    <n v="348.26"/>
    <m/>
    <n v="16"/>
    <x v="0"/>
    <m/>
    <m/>
    <m/>
    <m/>
  </r>
  <r>
    <s v="GD0631"/>
    <n v="16"/>
    <x v="0"/>
    <x v="1"/>
    <x v="66"/>
    <x v="1"/>
    <x v="2"/>
    <s v="CS:GO"/>
    <s v="Console"/>
    <n v="5.8"/>
    <m/>
    <s v="Poor"/>
    <s v="Always"/>
    <s v="Poor"/>
    <n v="2.81"/>
    <m/>
    <s v="Irritable"/>
    <s v="Daily"/>
    <b v="0"/>
    <b v="0"/>
    <b v="0"/>
    <b v="0"/>
    <b v="0"/>
    <n v="0.4"/>
    <n v="8.3000000000000007"/>
    <n v="2"/>
    <n v="6"/>
    <n v="34.869999999999997"/>
    <m/>
    <n v="4"/>
    <x v="1"/>
    <m/>
    <m/>
    <m/>
    <m/>
  </r>
  <r>
    <s v="GD0632"/>
    <n v="23"/>
    <x v="1"/>
    <x v="0"/>
    <x v="39"/>
    <x v="1"/>
    <x v="0"/>
    <s v="Clash of Clans"/>
    <s v="PC"/>
    <n v="3.8"/>
    <m/>
    <s v="Poor"/>
    <s v="Never"/>
    <s v="Average"/>
    <m/>
    <n v="9"/>
    <s v="Depressed"/>
    <s v="Often"/>
    <b v="1"/>
    <b v="1"/>
    <b v="0"/>
    <b v="1"/>
    <b v="0"/>
    <n v="6.2"/>
    <n v="4.8"/>
    <n v="5"/>
    <n v="9.5"/>
    <n v="128.77000000000001"/>
    <m/>
    <n v="5"/>
    <x v="2"/>
    <m/>
    <m/>
    <m/>
    <m/>
  </r>
  <r>
    <s v="GD0633"/>
    <n v="25"/>
    <x v="1"/>
    <x v="0"/>
    <x v="38"/>
    <x v="1"/>
    <x v="6"/>
    <s v="Age of Empires"/>
    <s v="Console"/>
    <n v="5.9"/>
    <m/>
    <s v="Fair"/>
    <s v="Often"/>
    <s v="Below Average"/>
    <m/>
    <n v="8"/>
    <s v="Restless"/>
    <s v="Daily"/>
    <b v="0"/>
    <b v="1"/>
    <b v="0"/>
    <b v="0"/>
    <b v="1"/>
    <n v="0"/>
    <n v="8"/>
    <n v="6"/>
    <n v="10.199999999999999"/>
    <n v="30.42"/>
    <m/>
    <n v="4"/>
    <x v="3"/>
    <m/>
    <m/>
    <m/>
    <m/>
  </r>
  <r>
    <s v="GD0634"/>
    <n v="24"/>
    <x v="1"/>
    <x v="0"/>
    <x v="55"/>
    <x v="1"/>
    <x v="5"/>
    <s v="Elder Scrolls Online"/>
    <s v="Mobile"/>
    <n v="5.7"/>
    <m/>
    <s v="Poor"/>
    <s v="Sometimes"/>
    <s v="Good"/>
    <m/>
    <n v="1"/>
    <s v="Anxious"/>
    <s v="Rarely"/>
    <b v="0"/>
    <b v="1"/>
    <b v="0"/>
    <b v="1"/>
    <b v="0"/>
    <n v="0.1"/>
    <n v="6.5"/>
    <n v="3"/>
    <n v="8.6"/>
    <n v="76.37"/>
    <m/>
    <n v="5"/>
    <x v="3"/>
    <m/>
    <m/>
    <m/>
    <m/>
  </r>
  <r>
    <s v="GD0635"/>
    <n v="16"/>
    <x v="0"/>
    <x v="1"/>
    <x v="38"/>
    <x v="1"/>
    <x v="1"/>
    <s v="Mobile Legends"/>
    <s v="Multi-platform"/>
    <n v="5.8"/>
    <m/>
    <s v="Poor"/>
    <s v="Sometimes"/>
    <s v="Good"/>
    <n v="3.53"/>
    <m/>
    <s v="Restless"/>
    <s v="Rarely"/>
    <b v="0"/>
    <b v="1"/>
    <b v="0"/>
    <b v="0"/>
    <b v="1"/>
    <n v="1.2"/>
    <n v="5.4"/>
    <n v="4"/>
    <n v="8.6999999999999993"/>
    <n v="57.17"/>
    <m/>
    <n v="2"/>
    <x v="3"/>
    <m/>
    <m/>
    <m/>
    <m/>
  </r>
  <r>
    <s v="GD0636"/>
    <n v="19"/>
    <x v="0"/>
    <x v="0"/>
    <x v="122"/>
    <x v="1"/>
    <x v="3"/>
    <s v="Elden Ring"/>
    <s v="Console"/>
    <n v="3.6"/>
    <m/>
    <s v="Poor"/>
    <s v="Sometimes"/>
    <s v="Good"/>
    <n v="2.57"/>
    <n v="8"/>
    <s v="Restless"/>
    <s v="Sometimes"/>
    <b v="0"/>
    <b v="1"/>
    <b v="0"/>
    <b v="0"/>
    <b v="1"/>
    <n v="4.7"/>
    <n v="7"/>
    <n v="7"/>
    <n v="0.5"/>
    <n v="451.73"/>
    <m/>
    <n v="8"/>
    <x v="2"/>
    <m/>
    <m/>
    <m/>
    <m/>
  </r>
  <r>
    <s v="GD0637"/>
    <n v="19"/>
    <x v="0"/>
    <x v="0"/>
    <x v="0"/>
    <x v="1"/>
    <x v="5"/>
    <s v="Elder Scrolls Online"/>
    <s v="Multi-platform"/>
    <n v="5.9"/>
    <m/>
    <s v="Fair"/>
    <s v="Rarely"/>
    <s v="Excellent"/>
    <n v="1.58"/>
    <n v="9"/>
    <s v="Angry"/>
    <s v="Sometimes"/>
    <b v="0"/>
    <b v="1"/>
    <b v="0"/>
    <b v="0"/>
    <b v="1"/>
    <n v="5.3"/>
    <n v="3.8"/>
    <n v="8"/>
    <n v="0.8"/>
    <n v="80.87"/>
    <m/>
    <n v="8"/>
    <x v="2"/>
    <m/>
    <m/>
    <m/>
    <m/>
  </r>
  <r>
    <s v="GD0638"/>
    <n v="24"/>
    <x v="1"/>
    <x v="0"/>
    <x v="100"/>
    <x v="1"/>
    <x v="0"/>
    <s v="Clash of Clans"/>
    <s v="Console"/>
    <n v="5.9"/>
    <m/>
    <s v="Insomnia"/>
    <s v="Often"/>
    <s v="Poor"/>
    <m/>
    <n v="6"/>
    <s v="Angry"/>
    <s v="Daily"/>
    <b v="0"/>
    <b v="1"/>
    <b v="1"/>
    <b v="1"/>
    <b v="1"/>
    <n v="0"/>
    <n v="7"/>
    <n v="3"/>
    <n v="8"/>
    <n v="143.11000000000001"/>
    <m/>
    <n v="10"/>
    <x v="2"/>
    <m/>
    <m/>
    <m/>
    <m/>
  </r>
  <r>
    <s v="GD0639"/>
    <n v="20"/>
    <x v="1"/>
    <x v="0"/>
    <x v="44"/>
    <x v="1"/>
    <x v="4"/>
    <s v="PUBG"/>
    <s v="Console"/>
    <n v="5.5"/>
    <m/>
    <s v="Good"/>
    <s v="Often"/>
    <s v="Failing"/>
    <n v="3.88"/>
    <n v="8"/>
    <s v="Restless"/>
    <s v="Never"/>
    <b v="0"/>
    <b v="1"/>
    <b v="0"/>
    <b v="1"/>
    <b v="1"/>
    <n v="0.2"/>
    <n v="6"/>
    <n v="6"/>
    <n v="10.7"/>
    <n v="33.26"/>
    <m/>
    <n v="4"/>
    <x v="3"/>
    <m/>
    <m/>
    <m/>
    <m/>
  </r>
  <r>
    <s v="GD0640"/>
    <n v="14"/>
    <x v="0"/>
    <x v="1"/>
    <x v="33"/>
    <x v="1"/>
    <x v="1"/>
    <s v="Dota 2"/>
    <s v="Mobile"/>
    <n v="7"/>
    <m/>
    <s v="Good"/>
    <s v="Often"/>
    <s v="Excellent"/>
    <n v="2.8"/>
    <m/>
    <s v="Normal"/>
    <s v="Daily"/>
    <b v="0"/>
    <b v="0"/>
    <b v="0"/>
    <b v="0"/>
    <b v="0"/>
    <n v="1.5"/>
    <n v="8.4"/>
    <n v="1"/>
    <n v="13.4"/>
    <n v="37.549999999999997"/>
    <m/>
    <n v="1"/>
    <x v="1"/>
    <m/>
    <m/>
    <m/>
    <m/>
  </r>
  <r>
    <s v="GD0641"/>
    <n v="25"/>
    <x v="1"/>
    <x v="1"/>
    <x v="3"/>
    <x v="1"/>
    <x v="6"/>
    <s v="Civilization VI"/>
    <s v="Console"/>
    <n v="4.4000000000000004"/>
    <m/>
    <s v="Fair"/>
    <s v="Always"/>
    <s v="Below Average"/>
    <m/>
    <n v="1"/>
    <s v="Irritable"/>
    <s v="Never"/>
    <b v="1"/>
    <b v="1"/>
    <b v="0"/>
    <b v="1"/>
    <b v="0"/>
    <n v="1.4"/>
    <n v="7.3"/>
    <n v="4"/>
    <n v="6.8"/>
    <n v="135.46"/>
    <m/>
    <n v="5"/>
    <x v="2"/>
    <m/>
    <m/>
    <m/>
    <m/>
  </r>
  <r>
    <s v="GD0642"/>
    <n v="22"/>
    <x v="1"/>
    <x v="0"/>
    <x v="79"/>
    <x v="1"/>
    <x v="0"/>
    <s v="Genshin Impact"/>
    <s v="Mobile"/>
    <n v="6"/>
    <m/>
    <s v="Fair"/>
    <s v="Rarely"/>
    <s v="Below Average"/>
    <n v="3.05"/>
    <n v="8"/>
    <s v="Euphoric"/>
    <s v="Sometimes"/>
    <b v="1"/>
    <b v="0"/>
    <b v="0"/>
    <b v="1"/>
    <b v="1"/>
    <n v="0.2"/>
    <n v="7.7"/>
    <n v="4"/>
    <n v="5"/>
    <n v="140.63999999999999"/>
    <m/>
    <n v="11"/>
    <x v="3"/>
    <m/>
    <m/>
    <m/>
    <m/>
  </r>
  <r>
    <s v="GD0643"/>
    <n v="22"/>
    <x v="1"/>
    <x v="0"/>
    <x v="116"/>
    <x v="1"/>
    <x v="2"/>
    <s v="Valorant"/>
    <s v="Mobile"/>
    <n v="8.1"/>
    <m/>
    <s v="Fair"/>
    <s v="Always"/>
    <s v="Below Average"/>
    <n v="3.54"/>
    <n v="2"/>
    <s v="Normal"/>
    <s v="Never"/>
    <b v="0"/>
    <b v="0"/>
    <b v="0"/>
    <b v="0"/>
    <b v="0"/>
    <n v="0"/>
    <n v="8.6999999999999993"/>
    <n v="3"/>
    <n v="10.5"/>
    <n v="28.41"/>
    <m/>
    <n v="3"/>
    <x v="1"/>
    <m/>
    <m/>
    <m/>
    <m/>
  </r>
  <r>
    <s v="GD0644"/>
    <n v="28"/>
    <x v="1"/>
    <x v="1"/>
    <x v="23"/>
    <x v="1"/>
    <x v="3"/>
    <s v="Skyrim"/>
    <s v="Mobile"/>
    <n v="6.6"/>
    <m/>
    <s v="Good"/>
    <s v="Rarely"/>
    <s v="Excellent"/>
    <m/>
    <n v="3"/>
    <s v="Anxious"/>
    <s v="Rarely"/>
    <b v="0"/>
    <b v="1"/>
    <b v="0"/>
    <b v="1"/>
    <b v="0"/>
    <n v="0"/>
    <n v="5.6"/>
    <n v="3"/>
    <n v="10.3"/>
    <n v="97.31"/>
    <m/>
    <n v="5"/>
    <x v="3"/>
    <m/>
    <m/>
    <m/>
    <m/>
  </r>
  <r>
    <s v="GD0645"/>
    <n v="26"/>
    <x v="1"/>
    <x v="0"/>
    <x v="23"/>
    <x v="1"/>
    <x v="3"/>
    <s v="Skyrim"/>
    <s v="PC"/>
    <n v="6.3"/>
    <m/>
    <s v="Fair"/>
    <s v="Never"/>
    <s v="Good"/>
    <m/>
    <n v="6"/>
    <s v="Restless"/>
    <s v="Rarely"/>
    <b v="0"/>
    <b v="0"/>
    <b v="0"/>
    <b v="0"/>
    <b v="0"/>
    <n v="1.7"/>
    <n v="7.3"/>
    <n v="3"/>
    <n v="10.6"/>
    <n v="112.85"/>
    <m/>
    <n v="9"/>
    <x v="1"/>
    <m/>
    <m/>
    <m/>
    <m/>
  </r>
  <r>
    <s v="GD0646"/>
    <n v="19"/>
    <x v="0"/>
    <x v="0"/>
    <x v="51"/>
    <x v="1"/>
    <x v="6"/>
    <s v="Age of Empires"/>
    <s v="Multi-platform"/>
    <n v="5.9"/>
    <m/>
    <s v="Poor"/>
    <s v="Often"/>
    <s v="Good"/>
    <n v="1.51"/>
    <n v="9"/>
    <s v="Normal"/>
    <s v="Rarely"/>
    <b v="0"/>
    <b v="0"/>
    <b v="0"/>
    <b v="1"/>
    <b v="0"/>
    <n v="3.7"/>
    <n v="5.5"/>
    <n v="4"/>
    <n v="8.1999999999999993"/>
    <n v="115.72"/>
    <m/>
    <n v="7"/>
    <x v="1"/>
    <m/>
    <m/>
    <m/>
    <m/>
  </r>
  <r>
    <s v="GD0647"/>
    <n v="17"/>
    <x v="0"/>
    <x v="1"/>
    <x v="29"/>
    <x v="1"/>
    <x v="1"/>
    <s v="Dota 2"/>
    <s v="Multi-platform"/>
    <n v="6"/>
    <m/>
    <s v="Fair"/>
    <s v="Rarely"/>
    <s v="Average"/>
    <n v="2.23"/>
    <m/>
    <s v="Irritable"/>
    <s v="Rarely"/>
    <b v="0"/>
    <b v="0"/>
    <b v="0"/>
    <b v="1"/>
    <b v="0"/>
    <n v="1.3"/>
    <n v="8.1"/>
    <n v="4"/>
    <n v="10.5"/>
    <n v="20.94"/>
    <m/>
    <n v="6"/>
    <x v="1"/>
    <m/>
    <m/>
    <m/>
    <m/>
  </r>
  <r>
    <s v="GD0648"/>
    <n v="16"/>
    <x v="0"/>
    <x v="1"/>
    <x v="21"/>
    <x v="1"/>
    <x v="6"/>
    <s v="StarCraft II"/>
    <s v="PC"/>
    <n v="6.3"/>
    <m/>
    <s v="Fair"/>
    <s v="Often"/>
    <s v="Good"/>
    <n v="2.2200000000000002"/>
    <m/>
    <s v="Irritable"/>
    <s v="Sometimes"/>
    <b v="0"/>
    <b v="0"/>
    <b v="0"/>
    <b v="1"/>
    <b v="0"/>
    <n v="3.2"/>
    <n v="8.9"/>
    <n v="2"/>
    <n v="9.1"/>
    <n v="10.52"/>
    <m/>
    <n v="5"/>
    <x v="1"/>
    <m/>
    <m/>
    <m/>
    <m/>
  </r>
  <r>
    <s v="GD0649"/>
    <n v="30"/>
    <x v="1"/>
    <x v="1"/>
    <x v="21"/>
    <x v="1"/>
    <x v="5"/>
    <s v="Final Fantasy XIV"/>
    <s v="PC"/>
    <n v="6.5"/>
    <m/>
    <s v="Good"/>
    <s v="Often"/>
    <s v="Good"/>
    <m/>
    <n v="9"/>
    <s v="Irritable"/>
    <s v="Sometimes"/>
    <b v="0"/>
    <b v="0"/>
    <b v="0"/>
    <b v="1"/>
    <b v="0"/>
    <n v="1.8"/>
    <n v="8.5"/>
    <n v="4"/>
    <n v="8.3000000000000007"/>
    <n v="126.54"/>
    <m/>
    <n v="18"/>
    <x v="1"/>
    <m/>
    <m/>
    <m/>
    <m/>
  </r>
  <r>
    <s v="GD0650"/>
    <n v="22"/>
    <x v="1"/>
    <x v="0"/>
    <x v="47"/>
    <x v="1"/>
    <x v="5"/>
    <s v="World of Warcraft"/>
    <s v="Mobile"/>
    <n v="6.3"/>
    <m/>
    <s v="Poor"/>
    <s v="Rarely"/>
    <s v="Average"/>
    <n v="3.42"/>
    <n v="2"/>
    <s v="Anxious"/>
    <s v="Often"/>
    <b v="0"/>
    <b v="1"/>
    <b v="0"/>
    <b v="1"/>
    <b v="0"/>
    <n v="0.3"/>
    <n v="5.9"/>
    <n v="4"/>
    <n v="10.199999999999999"/>
    <n v="130"/>
    <m/>
    <n v="4"/>
    <x v="3"/>
    <m/>
    <m/>
    <m/>
    <m/>
  </r>
  <r>
    <s v="GD0651"/>
    <n v="16"/>
    <x v="0"/>
    <x v="1"/>
    <x v="54"/>
    <x v="1"/>
    <x v="5"/>
    <s v="World of Warcraft"/>
    <s v="Console"/>
    <n v="5.9"/>
    <m/>
    <s v="Poor"/>
    <s v="Never"/>
    <s v="Poor"/>
    <n v="2.2599999999999998"/>
    <m/>
    <s v="Normal"/>
    <s v="Sometimes"/>
    <b v="0"/>
    <b v="0"/>
    <b v="0"/>
    <b v="1"/>
    <b v="0"/>
    <n v="2.1"/>
    <n v="5.5"/>
    <n v="3"/>
    <n v="10.4"/>
    <n v="145.08000000000001"/>
    <m/>
    <n v="4"/>
    <x v="1"/>
    <m/>
    <m/>
    <m/>
    <m/>
  </r>
  <r>
    <s v="GD0652"/>
    <n v="21"/>
    <x v="1"/>
    <x v="0"/>
    <x v="39"/>
    <x v="1"/>
    <x v="1"/>
    <s v="League of Legends"/>
    <s v="Mobile"/>
    <n v="4.8"/>
    <m/>
    <s v="Very Poor"/>
    <s v="Often"/>
    <s v="Poor"/>
    <n v="3.57"/>
    <n v="4"/>
    <s v="Angry"/>
    <s v="Rarely"/>
    <b v="0"/>
    <b v="1"/>
    <b v="0"/>
    <b v="1"/>
    <b v="1"/>
    <n v="1"/>
    <n v="8.1999999999999993"/>
    <n v="3"/>
    <n v="5.0999999999999996"/>
    <n v="142.25"/>
    <m/>
    <n v="3"/>
    <x v="3"/>
    <m/>
    <m/>
    <m/>
    <m/>
  </r>
  <r>
    <s v="GD0653"/>
    <n v="19"/>
    <x v="0"/>
    <x v="0"/>
    <x v="43"/>
    <x v="1"/>
    <x v="3"/>
    <s v="Cyberpunk 2077"/>
    <s v="Console"/>
    <n v="8.6999999999999993"/>
    <m/>
    <s v="Good"/>
    <s v="Often"/>
    <s v="Excellent"/>
    <n v="2.23"/>
    <n v="10"/>
    <s v="Depressed"/>
    <s v="Often"/>
    <b v="0"/>
    <b v="0"/>
    <b v="0"/>
    <b v="0"/>
    <b v="0"/>
    <n v="0.4"/>
    <n v="10.4"/>
    <n v="2"/>
    <n v="9.8000000000000007"/>
    <n v="36.799999999999997"/>
    <m/>
    <n v="2"/>
    <x v="1"/>
    <m/>
    <m/>
    <m/>
    <m/>
  </r>
  <r>
    <s v="GD0654"/>
    <n v="22"/>
    <x v="1"/>
    <x v="1"/>
    <x v="60"/>
    <x v="1"/>
    <x v="4"/>
    <s v="Warzone"/>
    <s v="Multi-platform"/>
    <n v="5.4"/>
    <m/>
    <s v="Poor"/>
    <s v="Rarely"/>
    <s v="Average"/>
    <n v="3.24"/>
    <n v="4"/>
    <s v="Irritable"/>
    <s v="Never"/>
    <b v="0"/>
    <b v="1"/>
    <b v="0"/>
    <b v="1"/>
    <b v="0"/>
    <n v="0.3"/>
    <n v="6.1"/>
    <n v="2"/>
    <n v="9.5"/>
    <n v="145.93"/>
    <m/>
    <n v="1"/>
    <x v="3"/>
    <m/>
    <m/>
    <m/>
    <m/>
  </r>
  <r>
    <s v="GD0655"/>
    <n v="20"/>
    <x v="1"/>
    <x v="1"/>
    <x v="123"/>
    <x v="1"/>
    <x v="0"/>
    <s v="PUBG Mobile"/>
    <s v="Mobile"/>
    <n v="8.3000000000000007"/>
    <m/>
    <s v="Good"/>
    <s v="Sometimes"/>
    <s v="Excellent"/>
    <n v="2.74"/>
    <n v="3"/>
    <s v="Normal"/>
    <s v="Daily"/>
    <b v="0"/>
    <b v="0"/>
    <b v="0"/>
    <b v="0"/>
    <b v="0"/>
    <n v="1.2"/>
    <n v="9.1"/>
    <n v="1"/>
    <n v="10.7"/>
    <n v="13.68"/>
    <m/>
    <n v="6"/>
    <x v="1"/>
    <m/>
    <m/>
    <m/>
    <m/>
  </r>
  <r>
    <s v="GD0656"/>
    <n v="16"/>
    <x v="0"/>
    <x v="1"/>
    <x v="59"/>
    <x v="1"/>
    <x v="6"/>
    <s v="StarCraft II"/>
    <s v="Multi-platform"/>
    <n v="3.1"/>
    <m/>
    <s v="Fair"/>
    <s v="Always"/>
    <s v="Below Average"/>
    <n v="1.82"/>
    <m/>
    <s v="Irritable"/>
    <s v="Sometimes"/>
    <b v="0"/>
    <b v="1"/>
    <b v="1"/>
    <b v="0"/>
    <b v="1"/>
    <n v="0.5"/>
    <n v="3.7"/>
    <n v="6"/>
    <n v="4.5"/>
    <n v="90.17"/>
    <m/>
    <n v="4"/>
    <x v="0"/>
    <m/>
    <m/>
    <m/>
    <m/>
  </r>
  <r>
    <s v="GD0657"/>
    <n v="20"/>
    <x v="1"/>
    <x v="1"/>
    <x v="19"/>
    <x v="1"/>
    <x v="5"/>
    <s v="Final Fantasy XIV"/>
    <s v="Mobile"/>
    <n v="6.2"/>
    <m/>
    <s v="Poor"/>
    <s v="Rarely"/>
    <s v="Average"/>
    <n v="2.54"/>
    <n v="5"/>
    <s v="Normal"/>
    <s v="Rarely"/>
    <b v="0"/>
    <b v="0"/>
    <b v="0"/>
    <b v="0"/>
    <b v="1"/>
    <n v="3.1"/>
    <n v="8.5"/>
    <n v="6"/>
    <n v="9.5"/>
    <n v="80.72"/>
    <m/>
    <n v="6"/>
    <x v="1"/>
    <m/>
    <m/>
    <m/>
    <m/>
  </r>
  <r>
    <s v="GD0658"/>
    <n v="24"/>
    <x v="1"/>
    <x v="0"/>
    <x v="125"/>
    <x v="1"/>
    <x v="5"/>
    <s v="Final Fantasy XIV"/>
    <s v="PC"/>
    <n v="3.9"/>
    <m/>
    <s v="Very Poor"/>
    <s v="Never"/>
    <s v="Below Average"/>
    <m/>
    <n v="3"/>
    <s v="Depressed"/>
    <s v="Daily"/>
    <b v="0"/>
    <b v="1"/>
    <b v="0"/>
    <b v="1"/>
    <b v="0"/>
    <n v="6.3"/>
    <n v="5.2"/>
    <n v="9"/>
    <n v="1.6"/>
    <n v="64.52"/>
    <m/>
    <n v="14"/>
    <x v="2"/>
    <m/>
    <m/>
    <m/>
    <m/>
  </r>
  <r>
    <s v="GD0659"/>
    <n v="18"/>
    <x v="0"/>
    <x v="0"/>
    <x v="28"/>
    <x v="1"/>
    <x v="4"/>
    <s v="Apex Legends"/>
    <s v="Mobile"/>
    <n v="5.4"/>
    <m/>
    <s v="Insomnia"/>
    <s v="Often"/>
    <s v="Poor"/>
    <n v="2.34"/>
    <m/>
    <s v="Restless"/>
    <s v="Often"/>
    <b v="0"/>
    <b v="0"/>
    <b v="0"/>
    <b v="1"/>
    <b v="1"/>
    <n v="0.8"/>
    <n v="5.6"/>
    <n v="5"/>
    <n v="7"/>
    <n v="80.91"/>
    <m/>
    <n v="4"/>
    <x v="1"/>
    <m/>
    <m/>
    <m/>
    <m/>
  </r>
  <r>
    <s v="GD0660"/>
    <n v="20"/>
    <x v="1"/>
    <x v="1"/>
    <x v="82"/>
    <x v="1"/>
    <x v="5"/>
    <s v="World of Warcraft"/>
    <s v="Console"/>
    <n v="6.8"/>
    <m/>
    <s v="Fair"/>
    <s v="Never"/>
    <s v="Poor"/>
    <n v="3.93"/>
    <n v="2"/>
    <s v="Irritable"/>
    <s v="Daily"/>
    <b v="0"/>
    <b v="0"/>
    <b v="0"/>
    <b v="1"/>
    <b v="0"/>
    <n v="0.4"/>
    <n v="9"/>
    <n v="2"/>
    <n v="7.1"/>
    <n v="128.13"/>
    <m/>
    <n v="8"/>
    <x v="1"/>
    <m/>
    <m/>
    <m/>
    <m/>
  </r>
  <r>
    <s v="GD0661"/>
    <n v="16"/>
    <x v="0"/>
    <x v="0"/>
    <x v="110"/>
    <x v="1"/>
    <x v="3"/>
    <s v="Elden Ring"/>
    <s v="Console"/>
    <n v="5.2"/>
    <m/>
    <s v="Fair"/>
    <s v="Sometimes"/>
    <s v="Below Average"/>
    <n v="3.68"/>
    <m/>
    <s v="Irritable"/>
    <s v="Often"/>
    <b v="1"/>
    <b v="1"/>
    <b v="0"/>
    <b v="1"/>
    <b v="1"/>
    <n v="2.1"/>
    <n v="5.8"/>
    <n v="3"/>
    <n v="8.6999999999999993"/>
    <n v="67.44"/>
    <m/>
    <n v="4"/>
    <x v="2"/>
    <m/>
    <m/>
    <m/>
    <m/>
  </r>
  <r>
    <s v="GD0662"/>
    <n v="22"/>
    <x v="1"/>
    <x v="1"/>
    <x v="105"/>
    <x v="1"/>
    <x v="6"/>
    <s v="Age of Empires"/>
    <s v="Multi-platform"/>
    <n v="8"/>
    <m/>
    <s v="Good"/>
    <s v="Rarely"/>
    <s v="Excellent"/>
    <n v="3.17"/>
    <n v="10"/>
    <s v="Restless"/>
    <s v="Often"/>
    <b v="0"/>
    <b v="0"/>
    <b v="0"/>
    <b v="0"/>
    <b v="0"/>
    <n v="0.2"/>
    <n v="8.9"/>
    <n v="2"/>
    <n v="14.2"/>
    <n v="40.78"/>
    <m/>
    <n v="6"/>
    <x v="1"/>
    <m/>
    <m/>
    <m/>
    <m/>
  </r>
  <r>
    <s v="GD0663"/>
    <n v="20"/>
    <x v="1"/>
    <x v="0"/>
    <x v="32"/>
    <x v="1"/>
    <x v="3"/>
    <s v="Elden Ring"/>
    <s v="Multi-platform"/>
    <n v="6.3"/>
    <m/>
    <s v="Fair"/>
    <s v="Rarely"/>
    <s v="Good"/>
    <n v="1.51"/>
    <n v="2"/>
    <s v="Euphoric"/>
    <s v="Daily"/>
    <b v="0"/>
    <b v="0"/>
    <b v="0"/>
    <b v="0"/>
    <b v="0"/>
    <n v="0.3"/>
    <n v="7.6"/>
    <n v="4"/>
    <n v="8.6999999999999993"/>
    <n v="38.47"/>
    <m/>
    <n v="9"/>
    <x v="1"/>
    <m/>
    <m/>
    <m/>
    <m/>
  </r>
  <r>
    <s v="GD0664"/>
    <n v="16"/>
    <x v="0"/>
    <x v="0"/>
    <x v="112"/>
    <x v="1"/>
    <x v="2"/>
    <s v="Valorant"/>
    <s v="Console"/>
    <n v="5.0999999999999996"/>
    <m/>
    <s v="Poor"/>
    <s v="Never"/>
    <s v="Average"/>
    <n v="3.45"/>
    <m/>
    <s v="Depressed"/>
    <s v="Sometimes"/>
    <b v="0"/>
    <b v="0"/>
    <b v="0"/>
    <b v="0"/>
    <b v="0"/>
    <n v="0.4"/>
    <n v="7"/>
    <n v="4"/>
    <n v="6.2"/>
    <n v="104.97"/>
    <m/>
    <n v="6"/>
    <x v="1"/>
    <m/>
    <m/>
    <m/>
    <m/>
  </r>
  <r>
    <s v="GD0665"/>
    <n v="33"/>
    <x v="2"/>
    <x v="1"/>
    <x v="96"/>
    <x v="1"/>
    <x v="4"/>
    <s v="Fortnite"/>
    <s v="Console"/>
    <n v="6.5"/>
    <m/>
    <s v="Poor"/>
    <s v="Never"/>
    <s v="Average"/>
    <m/>
    <n v="10"/>
    <s v="Depressed"/>
    <s v="Sometimes"/>
    <b v="0"/>
    <b v="0"/>
    <b v="0"/>
    <b v="0"/>
    <b v="0"/>
    <n v="0.1"/>
    <n v="9.3000000000000007"/>
    <n v="3"/>
    <n v="11.5"/>
    <n v="23.14"/>
    <m/>
    <n v="14"/>
    <x v="1"/>
    <m/>
    <m/>
    <m/>
    <m/>
  </r>
  <r>
    <s v="GD0666"/>
    <n v="18"/>
    <x v="0"/>
    <x v="1"/>
    <x v="9"/>
    <x v="1"/>
    <x v="3"/>
    <s v="Elden Ring"/>
    <s v="PC"/>
    <n v="7.1"/>
    <m/>
    <s v="Fair"/>
    <s v="Rarely"/>
    <s v="Good"/>
    <n v="1.91"/>
    <m/>
    <s v="Withdrawn"/>
    <s v="Rarely"/>
    <b v="0"/>
    <b v="0"/>
    <b v="0"/>
    <b v="0"/>
    <b v="0"/>
    <n v="0.7"/>
    <n v="8.1"/>
    <n v="1"/>
    <n v="11.9"/>
    <n v="0.1"/>
    <m/>
    <n v="7"/>
    <x v="1"/>
    <m/>
    <m/>
    <m/>
    <m/>
  </r>
  <r>
    <s v="GD0667"/>
    <n v="19"/>
    <x v="0"/>
    <x v="0"/>
    <x v="84"/>
    <x v="1"/>
    <x v="4"/>
    <s v="Apex Legends"/>
    <s v="Mobile"/>
    <n v="3.8"/>
    <m/>
    <s v="Very Poor"/>
    <s v="Sometimes"/>
    <s v="Below Average"/>
    <n v="3.61"/>
    <n v="5"/>
    <s v="Withdrawn"/>
    <s v="Daily"/>
    <b v="1"/>
    <b v="1"/>
    <b v="0"/>
    <b v="1"/>
    <b v="0"/>
    <n v="0.4"/>
    <n v="6.6"/>
    <n v="2"/>
    <n v="7.5"/>
    <n v="117.79"/>
    <m/>
    <n v="8"/>
    <x v="2"/>
    <m/>
    <m/>
    <m/>
    <m/>
  </r>
  <r>
    <s v="GD0668"/>
    <n v="15"/>
    <x v="0"/>
    <x v="0"/>
    <x v="17"/>
    <x v="1"/>
    <x v="5"/>
    <s v="World of Warcraft"/>
    <s v="Mobile"/>
    <n v="4.7"/>
    <m/>
    <s v="Very Poor"/>
    <s v="Always"/>
    <s v="Good"/>
    <n v="3.57"/>
    <m/>
    <s v="Anxious"/>
    <s v="Sometimes"/>
    <b v="1"/>
    <b v="0"/>
    <b v="0"/>
    <b v="1"/>
    <b v="0"/>
    <n v="4.2"/>
    <n v="5"/>
    <n v="2"/>
    <n v="6.9"/>
    <n v="109.59"/>
    <m/>
    <n v="1"/>
    <x v="3"/>
    <m/>
    <m/>
    <m/>
    <m/>
  </r>
  <r>
    <s v="GD0669"/>
    <n v="31"/>
    <x v="2"/>
    <x v="0"/>
    <x v="8"/>
    <x v="1"/>
    <x v="3"/>
    <s v="Skyrim"/>
    <s v="Console"/>
    <n v="8.8000000000000007"/>
    <m/>
    <s v="Good"/>
    <s v="Always"/>
    <s v="Poor"/>
    <m/>
    <n v="1"/>
    <s v="Irritable"/>
    <s v="Never"/>
    <b v="0"/>
    <b v="0"/>
    <b v="0"/>
    <b v="0"/>
    <b v="0"/>
    <n v="0.3"/>
    <n v="10.5"/>
    <n v="1"/>
    <n v="14.6"/>
    <n v="24.22"/>
    <m/>
    <n v="3"/>
    <x v="1"/>
    <m/>
    <m/>
    <m/>
    <m/>
  </r>
  <r>
    <s v="GD0670"/>
    <n v="14"/>
    <x v="0"/>
    <x v="0"/>
    <x v="56"/>
    <x v="1"/>
    <x v="0"/>
    <s v="Genshin Impact"/>
    <s v="Multi-platform"/>
    <n v="6"/>
    <m/>
    <s v="Very Poor"/>
    <s v="Always"/>
    <s v="Poor"/>
    <n v="1.19"/>
    <m/>
    <s v="Restless"/>
    <s v="Rarely"/>
    <b v="1"/>
    <b v="0"/>
    <b v="0"/>
    <b v="0"/>
    <b v="0"/>
    <n v="4.4000000000000004"/>
    <n v="5.5"/>
    <n v="6"/>
    <n v="8.1999999999999993"/>
    <n v="37.200000000000003"/>
    <m/>
    <n v="4"/>
    <x v="3"/>
    <m/>
    <m/>
    <m/>
    <m/>
  </r>
  <r>
    <s v="GD0671"/>
    <n v="24"/>
    <x v="1"/>
    <x v="0"/>
    <x v="59"/>
    <x v="1"/>
    <x v="6"/>
    <s v="Age of Empires"/>
    <s v="Multi-platform"/>
    <n v="4"/>
    <m/>
    <s v="Fair"/>
    <s v="Never"/>
    <s v="Poor"/>
    <m/>
    <n v="8"/>
    <s v="Anxious"/>
    <s v="Daily"/>
    <b v="1"/>
    <b v="1"/>
    <b v="1"/>
    <b v="1"/>
    <b v="0"/>
    <n v="4.3"/>
    <n v="6.6"/>
    <n v="6"/>
    <n v="3.2"/>
    <n v="170.31"/>
    <m/>
    <n v="12"/>
    <x v="0"/>
    <m/>
    <m/>
    <m/>
    <m/>
  </r>
  <r>
    <s v="GD0672"/>
    <n v="19"/>
    <x v="0"/>
    <x v="0"/>
    <x v="53"/>
    <x v="1"/>
    <x v="3"/>
    <s v="Skyrim"/>
    <s v="Console"/>
    <n v="6.9"/>
    <m/>
    <s v="Poor"/>
    <s v="Always"/>
    <s v="Excellent"/>
    <n v="3.33"/>
    <n v="3"/>
    <s v="Irritable"/>
    <s v="Daily"/>
    <b v="0"/>
    <b v="0"/>
    <b v="0"/>
    <b v="0"/>
    <b v="0"/>
    <n v="1.1000000000000001"/>
    <n v="9.1"/>
    <n v="1"/>
    <n v="11.4"/>
    <n v="29.01"/>
    <m/>
    <n v="9"/>
    <x v="1"/>
    <m/>
    <m/>
    <m/>
    <m/>
  </r>
  <r>
    <s v="GD0673"/>
    <n v="15"/>
    <x v="0"/>
    <x v="0"/>
    <x v="34"/>
    <x v="1"/>
    <x v="5"/>
    <s v="World of Warcraft"/>
    <s v="Multi-platform"/>
    <n v="5.4"/>
    <m/>
    <s v="Very Poor"/>
    <s v="Often"/>
    <s v="Poor"/>
    <n v="2.83"/>
    <m/>
    <s v="Depressed"/>
    <s v="Rarely"/>
    <b v="1"/>
    <b v="0"/>
    <b v="1"/>
    <b v="1"/>
    <b v="1"/>
    <n v="4"/>
    <n v="6.3"/>
    <n v="5"/>
    <n v="7.3"/>
    <n v="80.45"/>
    <m/>
    <n v="4"/>
    <x v="2"/>
    <m/>
    <m/>
    <m/>
    <m/>
  </r>
  <r>
    <s v="GD0674"/>
    <n v="26"/>
    <x v="1"/>
    <x v="0"/>
    <x v="44"/>
    <x v="1"/>
    <x v="6"/>
    <s v="Civilization VI"/>
    <s v="PC"/>
    <n v="6"/>
    <m/>
    <s v="Poor"/>
    <s v="Always"/>
    <s v="Poor"/>
    <m/>
    <n v="7"/>
    <s v="Anxious"/>
    <s v="Never"/>
    <b v="0"/>
    <b v="1"/>
    <b v="0"/>
    <b v="1"/>
    <b v="1"/>
    <n v="1.6"/>
    <n v="6.2"/>
    <n v="4"/>
    <n v="7.9"/>
    <n v="24.29"/>
    <m/>
    <n v="14"/>
    <x v="3"/>
    <m/>
    <m/>
    <m/>
    <m/>
  </r>
  <r>
    <s v="GD0675"/>
    <n v="33"/>
    <x v="2"/>
    <x v="0"/>
    <x v="35"/>
    <x v="1"/>
    <x v="5"/>
    <s v="World of Warcraft"/>
    <s v="PC"/>
    <n v="5.9"/>
    <m/>
    <s v="Fair"/>
    <s v="Sometimes"/>
    <s v="Excellent"/>
    <m/>
    <n v="7"/>
    <s v="Normal"/>
    <s v="Rarely"/>
    <b v="0"/>
    <b v="0"/>
    <b v="0"/>
    <b v="0"/>
    <b v="0"/>
    <n v="0"/>
    <n v="6.2"/>
    <n v="2"/>
    <n v="10.5"/>
    <n v="17.420000000000002"/>
    <m/>
    <n v="18"/>
    <x v="1"/>
    <m/>
    <m/>
    <m/>
    <m/>
  </r>
  <r>
    <s v="GD0676"/>
    <n v="14"/>
    <x v="0"/>
    <x v="0"/>
    <x v="53"/>
    <x v="1"/>
    <x v="0"/>
    <s v="Genshin Impact"/>
    <s v="Mobile"/>
    <n v="6.8"/>
    <m/>
    <s v="Poor"/>
    <s v="Sometimes"/>
    <s v="Good"/>
    <n v="1.44"/>
    <m/>
    <s v="Depressed"/>
    <s v="Sometimes"/>
    <b v="0"/>
    <b v="0"/>
    <b v="0"/>
    <b v="0"/>
    <b v="0"/>
    <n v="1.5"/>
    <n v="7.8"/>
    <n v="2"/>
    <n v="9.6"/>
    <n v="15.49"/>
    <m/>
    <n v="3"/>
    <x v="1"/>
    <m/>
    <m/>
    <m/>
    <m/>
  </r>
  <r>
    <s v="GD0677"/>
    <n v="16"/>
    <x v="0"/>
    <x v="1"/>
    <x v="17"/>
    <x v="1"/>
    <x v="0"/>
    <s v="PUBG Mobile"/>
    <s v="PC"/>
    <n v="5.6"/>
    <m/>
    <s v="Insomnia"/>
    <s v="Always"/>
    <s v="Below Average"/>
    <n v="1.86"/>
    <m/>
    <s v="Euphoric"/>
    <s v="Never"/>
    <b v="1"/>
    <b v="0"/>
    <b v="0"/>
    <b v="1"/>
    <b v="1"/>
    <n v="2.2999999999999998"/>
    <n v="7.1"/>
    <n v="4"/>
    <n v="5.9"/>
    <n v="83.36"/>
    <m/>
    <n v="2"/>
    <x v="3"/>
    <m/>
    <m/>
    <m/>
    <m/>
  </r>
  <r>
    <s v="GD0678"/>
    <n v="18"/>
    <x v="0"/>
    <x v="1"/>
    <x v="34"/>
    <x v="1"/>
    <x v="3"/>
    <s v="Cyberpunk 2077"/>
    <s v="Mobile"/>
    <n v="3.2"/>
    <m/>
    <s v="Poor"/>
    <s v="Often"/>
    <s v="Below Average"/>
    <n v="3.11"/>
    <m/>
    <s v="Withdrawn"/>
    <s v="Daily"/>
    <b v="1"/>
    <b v="1"/>
    <b v="0"/>
    <b v="1"/>
    <b v="0"/>
    <n v="4.8"/>
    <n v="5.9"/>
    <n v="6"/>
    <n v="3.6"/>
    <n v="41.3"/>
    <m/>
    <n v="7"/>
    <x v="2"/>
    <m/>
    <m/>
    <m/>
    <m/>
  </r>
  <r>
    <s v="GD0679"/>
    <n v="18"/>
    <x v="0"/>
    <x v="0"/>
    <x v="40"/>
    <x v="1"/>
    <x v="6"/>
    <s v="Civilization VI"/>
    <s v="Mobile"/>
    <n v="8.8000000000000007"/>
    <m/>
    <s v="Fair"/>
    <s v="Sometimes"/>
    <s v="Below Average"/>
    <n v="2.0099999999999998"/>
    <m/>
    <s v="Anxious"/>
    <s v="Daily"/>
    <b v="0"/>
    <b v="0"/>
    <b v="0"/>
    <b v="0"/>
    <b v="0"/>
    <n v="0.4"/>
    <n v="7.5"/>
    <n v="1"/>
    <n v="11.2"/>
    <n v="24.33"/>
    <m/>
    <n v="5"/>
    <x v="1"/>
    <m/>
    <m/>
    <m/>
    <m/>
  </r>
  <r>
    <s v="GD0680"/>
    <n v="15"/>
    <x v="0"/>
    <x v="1"/>
    <x v="60"/>
    <x v="1"/>
    <x v="0"/>
    <s v="Clash of Clans"/>
    <s v="PC"/>
    <n v="5.7"/>
    <m/>
    <s v="Poor"/>
    <s v="Often"/>
    <s v="Average"/>
    <n v="1.46"/>
    <m/>
    <s v="Restless"/>
    <s v="Daily"/>
    <b v="0"/>
    <b v="0"/>
    <b v="0"/>
    <b v="0"/>
    <b v="1"/>
    <n v="0.9"/>
    <n v="5.0999999999999996"/>
    <n v="5"/>
    <n v="5.5"/>
    <n v="84.7"/>
    <m/>
    <n v="2"/>
    <x v="1"/>
    <m/>
    <m/>
    <m/>
    <m/>
  </r>
  <r>
    <s v="GD0681"/>
    <n v="19"/>
    <x v="0"/>
    <x v="0"/>
    <x v="24"/>
    <x v="1"/>
    <x v="2"/>
    <s v="Valorant"/>
    <s v="Mobile"/>
    <n v="4"/>
    <m/>
    <s v="Poor"/>
    <s v="Sometimes"/>
    <s v="Below Average"/>
    <n v="1.1000000000000001"/>
    <n v="4"/>
    <s v="Euphoric"/>
    <s v="Often"/>
    <b v="0"/>
    <b v="0"/>
    <b v="1"/>
    <b v="0"/>
    <b v="1"/>
    <n v="1.1000000000000001"/>
    <n v="5.2"/>
    <n v="4"/>
    <n v="4.5"/>
    <n v="41.81"/>
    <m/>
    <n v="1"/>
    <x v="3"/>
    <m/>
    <m/>
    <m/>
    <m/>
  </r>
  <r>
    <s v="GD0682"/>
    <n v="15"/>
    <x v="0"/>
    <x v="0"/>
    <x v="101"/>
    <x v="1"/>
    <x v="1"/>
    <s v="Dota 2"/>
    <s v="PC"/>
    <n v="7.5"/>
    <m/>
    <s v="Good"/>
    <s v="Often"/>
    <s v="Good"/>
    <n v="3.68"/>
    <m/>
    <s v="Normal"/>
    <s v="Sometimes"/>
    <b v="0"/>
    <b v="0"/>
    <b v="0"/>
    <b v="0"/>
    <b v="0"/>
    <n v="0"/>
    <n v="10.6"/>
    <n v="1"/>
    <n v="16.5"/>
    <n v="15.58"/>
    <m/>
    <n v="2"/>
    <x v="1"/>
    <m/>
    <m/>
    <m/>
    <m/>
  </r>
  <r>
    <s v="GD0683"/>
    <n v="17"/>
    <x v="0"/>
    <x v="1"/>
    <x v="96"/>
    <x v="1"/>
    <x v="3"/>
    <s v="Skyrim"/>
    <s v="PC"/>
    <n v="5.6"/>
    <m/>
    <s v="Very Poor"/>
    <s v="Often"/>
    <s v="Average"/>
    <n v="1.27"/>
    <m/>
    <s v="Angry"/>
    <s v="Often"/>
    <b v="0"/>
    <b v="0"/>
    <b v="0"/>
    <b v="0"/>
    <b v="0"/>
    <n v="0.7"/>
    <n v="9.6999999999999993"/>
    <n v="3"/>
    <n v="10.9"/>
    <n v="23.73"/>
    <m/>
    <n v="1"/>
    <x v="1"/>
    <m/>
    <m/>
    <m/>
    <m/>
  </r>
  <r>
    <s v="GD0684"/>
    <n v="20"/>
    <x v="1"/>
    <x v="1"/>
    <x v="93"/>
    <x v="1"/>
    <x v="1"/>
    <s v="Dota 2"/>
    <s v="Mobile"/>
    <n v="7.9"/>
    <m/>
    <s v="Good"/>
    <s v="Always"/>
    <s v="Average"/>
    <n v="3.82"/>
    <n v="4"/>
    <s v="Normal"/>
    <s v="Rarely"/>
    <b v="0"/>
    <b v="0"/>
    <b v="0"/>
    <b v="0"/>
    <b v="0"/>
    <n v="0.7"/>
    <n v="10.4"/>
    <n v="2"/>
    <n v="12.2"/>
    <n v="10.61"/>
    <m/>
    <n v="10"/>
    <x v="1"/>
    <m/>
    <m/>
    <m/>
    <m/>
  </r>
  <r>
    <s v="GD0685"/>
    <n v="23"/>
    <x v="1"/>
    <x v="1"/>
    <x v="81"/>
    <x v="1"/>
    <x v="2"/>
    <s v="Call of Duty"/>
    <s v="Multi-platform"/>
    <n v="5.7"/>
    <m/>
    <s v="Very Poor"/>
    <s v="Always"/>
    <s v="Below Average"/>
    <m/>
    <n v="3"/>
    <s v="Normal"/>
    <s v="Sometimes"/>
    <b v="0"/>
    <b v="0"/>
    <b v="1"/>
    <b v="1"/>
    <b v="0"/>
    <n v="1"/>
    <n v="3.2"/>
    <n v="6"/>
    <n v="3.1"/>
    <n v="118.63"/>
    <m/>
    <n v="11"/>
    <x v="2"/>
    <m/>
    <m/>
    <m/>
    <m/>
  </r>
  <r>
    <s v="GD0686"/>
    <n v="15"/>
    <x v="0"/>
    <x v="1"/>
    <x v="78"/>
    <x v="1"/>
    <x v="0"/>
    <s v="Clash of Clans"/>
    <s v="Multi-platform"/>
    <n v="5"/>
    <m/>
    <s v="Poor"/>
    <s v="Never"/>
    <s v="Poor"/>
    <n v="3.12"/>
    <m/>
    <s v="Angry"/>
    <s v="Rarely"/>
    <b v="0"/>
    <b v="0"/>
    <b v="0"/>
    <b v="0"/>
    <b v="0"/>
    <n v="0.4"/>
    <n v="7.6"/>
    <n v="4"/>
    <n v="8.6"/>
    <n v="8.15"/>
    <m/>
    <n v="2"/>
    <x v="1"/>
    <m/>
    <m/>
    <m/>
    <m/>
  </r>
  <r>
    <s v="GD0687"/>
    <n v="22"/>
    <x v="1"/>
    <x v="0"/>
    <x v="40"/>
    <x v="1"/>
    <x v="2"/>
    <s v="CS:GO"/>
    <s v="Console"/>
    <n v="8.9"/>
    <m/>
    <s v="Good"/>
    <s v="Always"/>
    <s v="Average"/>
    <n v="2.17"/>
    <n v="8"/>
    <s v="Normal"/>
    <s v="Daily"/>
    <b v="0"/>
    <b v="0"/>
    <b v="0"/>
    <b v="0"/>
    <b v="0"/>
    <n v="0.2"/>
    <n v="8.1"/>
    <n v="1"/>
    <n v="8.6"/>
    <n v="44.2"/>
    <m/>
    <n v="3"/>
    <x v="1"/>
    <m/>
    <m/>
    <m/>
    <m/>
  </r>
  <r>
    <s v="GD0688"/>
    <n v="19"/>
    <x v="0"/>
    <x v="1"/>
    <x v="126"/>
    <x v="1"/>
    <x v="2"/>
    <s v="Valorant"/>
    <s v="PC"/>
    <n v="3.5"/>
    <m/>
    <s v="Fair"/>
    <s v="Sometimes"/>
    <s v="Poor"/>
    <n v="2.5499999999999998"/>
    <n v="2"/>
    <s v="Restless"/>
    <s v="Never"/>
    <b v="1"/>
    <b v="1"/>
    <b v="0"/>
    <b v="0"/>
    <b v="1"/>
    <n v="1.6"/>
    <n v="4.4000000000000004"/>
    <n v="9"/>
    <n v="1.6"/>
    <n v="413.29"/>
    <m/>
    <n v="9"/>
    <x v="0"/>
    <m/>
    <m/>
    <m/>
    <m/>
  </r>
  <r>
    <s v="GD0689"/>
    <n v="16"/>
    <x v="0"/>
    <x v="0"/>
    <x v="107"/>
    <x v="1"/>
    <x v="2"/>
    <s v="CS:GO"/>
    <s v="Mobile"/>
    <n v="5"/>
    <m/>
    <s v="Poor"/>
    <s v="Rarely"/>
    <s v="Good"/>
    <n v="1.68"/>
    <m/>
    <s v="Excited"/>
    <s v="Sometimes"/>
    <b v="0"/>
    <b v="0"/>
    <b v="0"/>
    <b v="0"/>
    <b v="0"/>
    <n v="0.4"/>
    <n v="9.1999999999999993"/>
    <n v="2"/>
    <n v="9.8000000000000007"/>
    <n v="34.33"/>
    <m/>
    <n v="4"/>
    <x v="1"/>
    <m/>
    <m/>
    <m/>
    <m/>
  </r>
  <r>
    <s v="GD0690"/>
    <n v="16"/>
    <x v="0"/>
    <x v="0"/>
    <x v="90"/>
    <x v="1"/>
    <x v="3"/>
    <s v="Cyberpunk 2077"/>
    <s v="Console"/>
    <n v="5.3"/>
    <m/>
    <s v="Poor"/>
    <s v="Never"/>
    <s v="Below Average"/>
    <n v="1.71"/>
    <m/>
    <s v="Depressed"/>
    <s v="Often"/>
    <b v="1"/>
    <b v="1"/>
    <b v="0"/>
    <b v="0"/>
    <b v="1"/>
    <n v="5"/>
    <n v="5.9"/>
    <n v="9"/>
    <n v="0"/>
    <n v="52.19"/>
    <m/>
    <n v="2"/>
    <x v="0"/>
    <m/>
    <m/>
    <m/>
    <m/>
  </r>
  <r>
    <s v="GD0691"/>
    <n v="26"/>
    <x v="1"/>
    <x v="0"/>
    <x v="51"/>
    <x v="1"/>
    <x v="2"/>
    <s v="Valorant"/>
    <s v="Multi-platform"/>
    <n v="6.3"/>
    <m/>
    <s v="Good"/>
    <s v="Rarely"/>
    <s v="Average"/>
    <m/>
    <n v="10"/>
    <s v="Anxious"/>
    <s v="Sometimes"/>
    <b v="0"/>
    <b v="0"/>
    <b v="0"/>
    <b v="1"/>
    <b v="0"/>
    <n v="2.2999999999999998"/>
    <n v="9.1999999999999993"/>
    <n v="4"/>
    <n v="6.6"/>
    <n v="107.55"/>
    <m/>
    <n v="3"/>
    <x v="1"/>
    <m/>
    <m/>
    <m/>
    <m/>
  </r>
  <r>
    <s v="GD0692"/>
    <n v="23"/>
    <x v="1"/>
    <x v="0"/>
    <x v="107"/>
    <x v="1"/>
    <x v="3"/>
    <s v="Skyrim"/>
    <s v="PC"/>
    <n v="5.5"/>
    <m/>
    <s v="Poor"/>
    <s v="Rarely"/>
    <s v="Failing"/>
    <m/>
    <n v="1"/>
    <s v="Excited"/>
    <s v="Sometimes"/>
    <b v="0"/>
    <b v="0"/>
    <b v="0"/>
    <b v="0"/>
    <b v="0"/>
    <n v="0.9"/>
    <n v="7.5"/>
    <n v="3"/>
    <n v="10.6"/>
    <n v="32.76"/>
    <m/>
    <n v="10"/>
    <x v="1"/>
    <m/>
    <m/>
    <m/>
    <m/>
  </r>
  <r>
    <s v="GD0693"/>
    <n v="19"/>
    <x v="0"/>
    <x v="0"/>
    <x v="118"/>
    <x v="1"/>
    <x v="2"/>
    <s v="CS:GO"/>
    <s v="Multi-platform"/>
    <n v="5.7"/>
    <m/>
    <s v="Insomnia"/>
    <s v="Rarely"/>
    <s v="Average"/>
    <n v="1.55"/>
    <n v="3"/>
    <s v="Irritable"/>
    <s v="Daily"/>
    <b v="0"/>
    <b v="0"/>
    <b v="0"/>
    <b v="1"/>
    <b v="1"/>
    <n v="1.3"/>
    <n v="2.4"/>
    <n v="9"/>
    <n v="0"/>
    <n v="376.05"/>
    <m/>
    <n v="6"/>
    <x v="3"/>
    <m/>
    <m/>
    <m/>
    <m/>
  </r>
  <r>
    <s v="GD0694"/>
    <n v="22"/>
    <x v="1"/>
    <x v="2"/>
    <x v="32"/>
    <x v="1"/>
    <x v="4"/>
    <s v="Warzone"/>
    <s v="Console"/>
    <n v="6.6"/>
    <m/>
    <s v="Poor"/>
    <s v="Often"/>
    <s v="Below Average"/>
    <n v="1.66"/>
    <n v="9"/>
    <s v="Angry"/>
    <s v="Daily"/>
    <b v="0"/>
    <b v="0"/>
    <b v="0"/>
    <b v="0"/>
    <b v="0"/>
    <n v="0.1"/>
    <n v="6.4"/>
    <n v="2"/>
    <n v="10.199999999999999"/>
    <n v="17.3"/>
    <m/>
    <n v="4"/>
    <x v="1"/>
    <m/>
    <m/>
    <m/>
    <m/>
  </r>
  <r>
    <s v="GD0695"/>
    <n v="16"/>
    <x v="0"/>
    <x v="0"/>
    <x v="41"/>
    <x v="1"/>
    <x v="6"/>
    <s v="Age of Empires"/>
    <s v="Console"/>
    <n v="3.3"/>
    <m/>
    <s v="Poor"/>
    <s v="Often"/>
    <s v="Poor"/>
    <n v="1.49"/>
    <m/>
    <s v="Euphoric"/>
    <s v="Rarely"/>
    <b v="0"/>
    <b v="1"/>
    <b v="0"/>
    <b v="1"/>
    <b v="0"/>
    <n v="2.9"/>
    <n v="3.9"/>
    <n v="7"/>
    <n v="2.2999999999999998"/>
    <n v="233.11"/>
    <m/>
    <n v="4"/>
    <x v="2"/>
    <m/>
    <m/>
    <m/>
    <m/>
  </r>
  <r>
    <s v="GD0696"/>
    <n v="27"/>
    <x v="1"/>
    <x v="0"/>
    <x v="20"/>
    <x v="1"/>
    <x v="3"/>
    <s v="Elden Ring"/>
    <s v="Mobile"/>
    <n v="4.4000000000000004"/>
    <m/>
    <s v="Poor"/>
    <s v="Never"/>
    <s v="Poor"/>
    <m/>
    <n v="9"/>
    <s v="Anxious"/>
    <s v="Sometimes"/>
    <b v="0"/>
    <b v="0"/>
    <b v="0"/>
    <b v="1"/>
    <b v="0"/>
    <n v="1.5"/>
    <n v="5.8"/>
    <n v="6"/>
    <n v="3.3"/>
    <n v="258.94"/>
    <m/>
    <n v="1"/>
    <x v="3"/>
    <m/>
    <m/>
    <m/>
    <m/>
  </r>
  <r>
    <s v="GD0697"/>
    <n v="24"/>
    <x v="1"/>
    <x v="0"/>
    <x v="31"/>
    <x v="1"/>
    <x v="4"/>
    <s v="Apex Legends"/>
    <s v="Console"/>
    <n v="8.5"/>
    <m/>
    <s v="Fair"/>
    <s v="Never"/>
    <s v="Good"/>
    <m/>
    <n v="5"/>
    <s v="Normal"/>
    <s v="Often"/>
    <b v="0"/>
    <b v="0"/>
    <b v="0"/>
    <b v="0"/>
    <b v="0"/>
    <n v="0.2"/>
    <n v="9.5"/>
    <n v="1"/>
    <n v="14.1"/>
    <n v="6.27"/>
    <m/>
    <n v="2"/>
    <x v="1"/>
    <m/>
    <m/>
    <m/>
    <m/>
  </r>
  <r>
    <s v="GD0698"/>
    <n v="16"/>
    <x v="0"/>
    <x v="2"/>
    <x v="26"/>
    <x v="1"/>
    <x v="5"/>
    <s v="World of Warcraft"/>
    <s v="Console"/>
    <n v="6.2"/>
    <m/>
    <s v="Fair"/>
    <s v="Never"/>
    <s v="Excellent"/>
    <n v="3.71"/>
    <m/>
    <s v="Angry"/>
    <s v="Daily"/>
    <b v="0"/>
    <b v="0"/>
    <b v="0"/>
    <b v="0"/>
    <b v="0"/>
    <n v="0.1"/>
    <n v="9.1999999999999993"/>
    <n v="2"/>
    <n v="7.1"/>
    <n v="24.44"/>
    <m/>
    <n v="1"/>
    <x v="1"/>
    <m/>
    <m/>
    <m/>
    <m/>
  </r>
  <r>
    <s v="GD0699"/>
    <n v="15"/>
    <x v="0"/>
    <x v="1"/>
    <x v="54"/>
    <x v="1"/>
    <x v="6"/>
    <s v="Civilization VI"/>
    <s v="PC"/>
    <n v="6.4"/>
    <m/>
    <s v="Good"/>
    <s v="Always"/>
    <s v="Good"/>
    <n v="1.54"/>
    <m/>
    <s v="Normal"/>
    <s v="Often"/>
    <b v="0"/>
    <b v="0"/>
    <b v="0"/>
    <b v="1"/>
    <b v="0"/>
    <n v="0.3"/>
    <n v="5.8"/>
    <n v="2"/>
    <n v="11.5"/>
    <n v="10.19"/>
    <m/>
    <n v="2"/>
    <x v="1"/>
    <m/>
    <m/>
    <m/>
    <m/>
  </r>
  <r>
    <s v="GD0700"/>
    <n v="17"/>
    <x v="0"/>
    <x v="0"/>
    <x v="1"/>
    <x v="1"/>
    <x v="2"/>
    <s v="CS:GO"/>
    <s v="Mobile"/>
    <n v="8.4"/>
    <m/>
    <s v="Poor"/>
    <s v="Sometimes"/>
    <s v="Average"/>
    <n v="1.99"/>
    <m/>
    <s v="Normal"/>
    <s v="Often"/>
    <b v="0"/>
    <b v="0"/>
    <b v="0"/>
    <b v="0"/>
    <b v="0"/>
    <n v="3.4"/>
    <n v="9.1"/>
    <n v="1"/>
    <n v="12.2"/>
    <n v="30.68"/>
    <m/>
    <n v="1"/>
    <x v="1"/>
    <m/>
    <m/>
    <m/>
    <m/>
  </r>
  <r>
    <s v="GD0701"/>
    <n v="17"/>
    <x v="0"/>
    <x v="0"/>
    <x v="45"/>
    <x v="1"/>
    <x v="3"/>
    <s v="Cyberpunk 2077"/>
    <s v="Console"/>
    <n v="5"/>
    <m/>
    <s v="Poor"/>
    <s v="Never"/>
    <s v="Failing"/>
    <n v="2.91"/>
    <m/>
    <s v="Anxious"/>
    <s v="Sometimes"/>
    <b v="0"/>
    <b v="0"/>
    <b v="0"/>
    <b v="1"/>
    <b v="1"/>
    <n v="0.6"/>
    <n v="6.4"/>
    <n v="6"/>
    <n v="5.4"/>
    <n v="49.26"/>
    <m/>
    <n v="4"/>
    <x v="1"/>
    <m/>
    <m/>
    <m/>
    <m/>
  </r>
  <r>
    <s v="GD0702"/>
    <n v="19"/>
    <x v="0"/>
    <x v="1"/>
    <x v="117"/>
    <x v="1"/>
    <x v="1"/>
    <s v="Dota 2"/>
    <s v="Mobile"/>
    <n v="3.3"/>
    <m/>
    <s v="Poor"/>
    <s v="Sometimes"/>
    <s v="Excellent"/>
    <n v="1.77"/>
    <n v="8"/>
    <s v="Depressed"/>
    <s v="Never"/>
    <b v="1"/>
    <b v="1"/>
    <b v="0"/>
    <b v="1"/>
    <b v="1"/>
    <n v="1.2"/>
    <n v="4.7"/>
    <n v="5"/>
    <n v="3.8"/>
    <n v="354.28"/>
    <m/>
    <n v="6"/>
    <x v="0"/>
    <m/>
    <m/>
    <m/>
    <m/>
  </r>
  <r>
    <s v="GD0703"/>
    <n v="25"/>
    <x v="1"/>
    <x v="1"/>
    <x v="51"/>
    <x v="1"/>
    <x v="1"/>
    <s v="Mobile Legends"/>
    <s v="Mobile"/>
    <n v="6"/>
    <m/>
    <s v="Fair"/>
    <s v="Rarely"/>
    <s v="Below Average"/>
    <m/>
    <n v="3"/>
    <s v="Irritable"/>
    <s v="Sometimes"/>
    <b v="0"/>
    <b v="0"/>
    <b v="0"/>
    <b v="1"/>
    <b v="0"/>
    <n v="1.5"/>
    <n v="9.1999999999999993"/>
    <n v="2"/>
    <n v="9.6999999999999993"/>
    <n v="35.97"/>
    <m/>
    <n v="13"/>
    <x v="1"/>
    <m/>
    <m/>
    <m/>
    <m/>
  </r>
  <r>
    <s v="GD0704"/>
    <n v="27"/>
    <x v="1"/>
    <x v="0"/>
    <x v="43"/>
    <x v="1"/>
    <x v="3"/>
    <s v="Cyberpunk 2077"/>
    <s v="Console"/>
    <n v="7.7"/>
    <m/>
    <s v="Fair"/>
    <s v="Rarely"/>
    <s v="Excellent"/>
    <m/>
    <n v="6"/>
    <s v="Normal"/>
    <s v="Rarely"/>
    <b v="0"/>
    <b v="0"/>
    <b v="0"/>
    <b v="0"/>
    <b v="0"/>
    <n v="0.1"/>
    <n v="7"/>
    <n v="1"/>
    <n v="10.9"/>
    <n v="15.3"/>
    <m/>
    <n v="14"/>
    <x v="1"/>
    <m/>
    <m/>
    <m/>
    <m/>
  </r>
  <r>
    <s v="GD0705"/>
    <n v="20"/>
    <x v="1"/>
    <x v="0"/>
    <x v="56"/>
    <x v="1"/>
    <x v="1"/>
    <s v="Mobile Legends"/>
    <s v="Multi-platform"/>
    <n v="5.9"/>
    <m/>
    <s v="Very Poor"/>
    <s v="Often"/>
    <s v="Excellent"/>
    <n v="1.0900000000000001"/>
    <n v="10"/>
    <s v="Depressed"/>
    <s v="Often"/>
    <b v="0"/>
    <b v="0"/>
    <b v="0"/>
    <b v="0"/>
    <b v="0"/>
    <n v="1.1000000000000001"/>
    <n v="4"/>
    <n v="6"/>
    <n v="3.6"/>
    <n v="69.709999999999994"/>
    <m/>
    <n v="2"/>
    <x v="1"/>
    <m/>
    <m/>
    <m/>
    <m/>
  </r>
  <r>
    <s v="GD0706"/>
    <n v="17"/>
    <x v="0"/>
    <x v="0"/>
    <x v="127"/>
    <x v="1"/>
    <x v="0"/>
    <s v="Genshin Impact"/>
    <s v="PC"/>
    <n v="5.6"/>
    <m/>
    <s v="Insomnia"/>
    <s v="Rarely"/>
    <s v="Below Average"/>
    <n v="1.75"/>
    <m/>
    <s v="Normal"/>
    <s v="Rarely"/>
    <b v="1"/>
    <b v="0"/>
    <b v="1"/>
    <b v="1"/>
    <b v="1"/>
    <n v="6"/>
    <n v="3"/>
    <n v="8"/>
    <n v="2.6"/>
    <n v="380.39"/>
    <m/>
    <n v="4"/>
    <x v="0"/>
    <m/>
    <m/>
    <m/>
    <m/>
  </r>
  <r>
    <s v="GD0707"/>
    <n v="17"/>
    <x v="0"/>
    <x v="1"/>
    <x v="12"/>
    <x v="1"/>
    <x v="4"/>
    <s v="Warzone"/>
    <s v="Multi-platform"/>
    <n v="6.8"/>
    <m/>
    <s v="Very Poor"/>
    <s v="Always"/>
    <s v="Below Average"/>
    <n v="2.7"/>
    <m/>
    <s v="Angry"/>
    <s v="Rarely"/>
    <b v="0"/>
    <b v="1"/>
    <b v="0"/>
    <b v="1"/>
    <b v="0"/>
    <n v="0.3"/>
    <n v="5.2"/>
    <n v="3"/>
    <n v="9.5"/>
    <n v="123.39"/>
    <m/>
    <n v="3"/>
    <x v="3"/>
    <m/>
    <m/>
    <m/>
    <m/>
  </r>
  <r>
    <s v="GD0708"/>
    <n v="17"/>
    <x v="0"/>
    <x v="1"/>
    <x v="117"/>
    <x v="1"/>
    <x v="0"/>
    <s v="PUBG Mobile"/>
    <s v="Multi-platform"/>
    <n v="3.9"/>
    <m/>
    <s v="Poor"/>
    <s v="Always"/>
    <s v="Poor"/>
    <n v="1.42"/>
    <m/>
    <s v="Restless"/>
    <s v="Daily"/>
    <b v="1"/>
    <b v="1"/>
    <b v="0"/>
    <b v="0"/>
    <b v="0"/>
    <n v="1.5"/>
    <n v="3.6"/>
    <n v="8"/>
    <n v="3.8"/>
    <n v="200.6"/>
    <m/>
    <n v="4"/>
    <x v="0"/>
    <m/>
    <m/>
    <m/>
    <m/>
  </r>
  <r>
    <s v="GD0709"/>
    <n v="19"/>
    <x v="0"/>
    <x v="0"/>
    <x v="37"/>
    <x v="1"/>
    <x v="4"/>
    <s v="Warzone"/>
    <s v="Mobile"/>
    <n v="5.3"/>
    <m/>
    <s v="Very Poor"/>
    <s v="Never"/>
    <s v="Good"/>
    <n v="1.56"/>
    <n v="1"/>
    <s v="Depressed"/>
    <s v="Daily"/>
    <b v="0"/>
    <b v="0"/>
    <b v="0"/>
    <b v="0"/>
    <b v="0"/>
    <n v="0.2"/>
    <n v="7.9"/>
    <n v="1"/>
    <n v="9.5"/>
    <n v="27.46"/>
    <m/>
    <n v="5"/>
    <x v="1"/>
    <m/>
    <m/>
    <m/>
    <m/>
  </r>
  <r>
    <s v="GD0710"/>
    <n v="24"/>
    <x v="1"/>
    <x v="1"/>
    <x v="96"/>
    <x v="1"/>
    <x v="1"/>
    <s v="Mobile Legends"/>
    <s v="Mobile"/>
    <n v="5.5"/>
    <m/>
    <s v="Fair"/>
    <s v="Always"/>
    <s v="Good"/>
    <m/>
    <n v="9"/>
    <s v="Normal"/>
    <s v="Daily"/>
    <b v="0"/>
    <b v="0"/>
    <b v="0"/>
    <b v="0"/>
    <b v="0"/>
    <n v="1"/>
    <n v="7.7"/>
    <n v="1"/>
    <n v="9.6999999999999993"/>
    <n v="30.53"/>
    <m/>
    <n v="7"/>
    <x v="1"/>
    <m/>
    <m/>
    <m/>
    <m/>
  </r>
  <r>
    <s v="GD0711"/>
    <n v="21"/>
    <x v="1"/>
    <x v="0"/>
    <x v="65"/>
    <x v="1"/>
    <x v="1"/>
    <s v="Dota 2"/>
    <s v="Multi-platform"/>
    <n v="5.7"/>
    <m/>
    <s v="Very Poor"/>
    <s v="Never"/>
    <s v="Failing"/>
    <n v="2.21"/>
    <n v="10"/>
    <s v="Depressed"/>
    <s v="Never"/>
    <b v="1"/>
    <b v="1"/>
    <b v="0"/>
    <b v="1"/>
    <b v="1"/>
    <n v="1.1000000000000001"/>
    <n v="3.9"/>
    <n v="6"/>
    <n v="5.8"/>
    <n v="380.83"/>
    <m/>
    <n v="4"/>
    <x v="0"/>
    <m/>
    <m/>
    <m/>
    <m/>
  </r>
  <r>
    <s v="GD0712"/>
    <n v="28"/>
    <x v="1"/>
    <x v="1"/>
    <x v="60"/>
    <x v="1"/>
    <x v="3"/>
    <s v="Cyberpunk 2077"/>
    <s v="Mobile"/>
    <n v="6.5"/>
    <m/>
    <s v="Very Poor"/>
    <s v="Sometimes"/>
    <s v="Below Average"/>
    <m/>
    <n v="1"/>
    <s v="Irritable"/>
    <s v="Daily"/>
    <b v="0"/>
    <b v="1"/>
    <b v="0"/>
    <b v="0"/>
    <b v="1"/>
    <n v="1.5"/>
    <n v="8.1999999999999993"/>
    <n v="4"/>
    <n v="8.9"/>
    <n v="86.39"/>
    <m/>
    <n v="3"/>
    <x v="3"/>
    <m/>
    <m/>
    <m/>
    <m/>
  </r>
  <r>
    <s v="GD0713"/>
    <n v="19"/>
    <x v="0"/>
    <x v="0"/>
    <x v="77"/>
    <x v="1"/>
    <x v="3"/>
    <s v="Elden Ring"/>
    <s v="Multi-platform"/>
    <n v="5.4"/>
    <m/>
    <s v="Good"/>
    <s v="Rarely"/>
    <s v="Failing"/>
    <n v="3.7"/>
    <n v="9"/>
    <s v="Anxious"/>
    <s v="Daily"/>
    <b v="0"/>
    <b v="0"/>
    <b v="1"/>
    <b v="1"/>
    <b v="0"/>
    <n v="1"/>
    <n v="5.8"/>
    <n v="5"/>
    <n v="3.9"/>
    <n v="270.83999999999997"/>
    <m/>
    <n v="6"/>
    <x v="2"/>
    <m/>
    <m/>
    <m/>
    <m/>
  </r>
  <r>
    <s v="GD0714"/>
    <n v="20"/>
    <x v="1"/>
    <x v="0"/>
    <x v="0"/>
    <x v="1"/>
    <x v="2"/>
    <s v="Valorant"/>
    <s v="Mobile"/>
    <n v="5.6"/>
    <m/>
    <s v="Fair"/>
    <s v="Rarely"/>
    <s v="Poor"/>
    <n v="1.98"/>
    <n v="6"/>
    <s v="Restless"/>
    <s v="Sometimes"/>
    <b v="1"/>
    <b v="1"/>
    <b v="1"/>
    <b v="0"/>
    <b v="1"/>
    <n v="0.4"/>
    <n v="5.8"/>
    <n v="6"/>
    <n v="2"/>
    <n v="396"/>
    <m/>
    <n v="4"/>
    <x v="0"/>
    <m/>
    <m/>
    <m/>
    <m/>
  </r>
  <r>
    <s v="GD0715"/>
    <n v="19"/>
    <x v="0"/>
    <x v="0"/>
    <x v="84"/>
    <x v="1"/>
    <x v="0"/>
    <s v="Candy Crush"/>
    <s v="Console"/>
    <n v="4.9000000000000004"/>
    <m/>
    <s v="Fair"/>
    <s v="Often"/>
    <s v="Good"/>
    <n v="3.55"/>
    <n v="4"/>
    <s v="Anxious"/>
    <s v="Rarely"/>
    <b v="1"/>
    <b v="0"/>
    <b v="0"/>
    <b v="1"/>
    <b v="1"/>
    <n v="3.4"/>
    <n v="6.4"/>
    <n v="5"/>
    <n v="8.1999999999999993"/>
    <n v="56.05"/>
    <m/>
    <n v="5"/>
    <x v="3"/>
    <m/>
    <m/>
    <m/>
    <m/>
  </r>
  <r>
    <s v="GD0716"/>
    <n v="24"/>
    <x v="1"/>
    <x v="0"/>
    <x v="23"/>
    <x v="1"/>
    <x v="2"/>
    <s v="CS:GO"/>
    <s v="PC"/>
    <n v="6.8"/>
    <m/>
    <s v="Good"/>
    <s v="Rarely"/>
    <s v="Average"/>
    <m/>
    <n v="3"/>
    <s v="Normal"/>
    <s v="Rarely"/>
    <b v="0"/>
    <b v="0"/>
    <b v="0"/>
    <b v="0"/>
    <b v="0"/>
    <n v="0.5"/>
    <n v="6.6"/>
    <n v="4"/>
    <n v="6.7"/>
    <n v="37.44"/>
    <m/>
    <n v="14"/>
    <x v="1"/>
    <m/>
    <m/>
    <m/>
    <m/>
  </r>
  <r>
    <s v="GD0717"/>
    <n v="30"/>
    <x v="1"/>
    <x v="0"/>
    <x v="1"/>
    <x v="1"/>
    <x v="3"/>
    <s v="Cyberpunk 2077"/>
    <s v="Multi-platform"/>
    <n v="8.3000000000000007"/>
    <m/>
    <s v="Good"/>
    <s v="Always"/>
    <s v="Good"/>
    <m/>
    <n v="6"/>
    <s v="Excited"/>
    <s v="Sometimes"/>
    <b v="0"/>
    <b v="0"/>
    <b v="0"/>
    <b v="0"/>
    <b v="0"/>
    <n v="1"/>
    <n v="7.4"/>
    <n v="1"/>
    <n v="12.2"/>
    <n v="13.32"/>
    <m/>
    <n v="11"/>
    <x v="1"/>
    <m/>
    <m/>
    <m/>
    <m/>
  </r>
  <r>
    <s v="GD0718"/>
    <n v="17"/>
    <x v="0"/>
    <x v="0"/>
    <x v="28"/>
    <x v="1"/>
    <x v="1"/>
    <s v="Dota 2"/>
    <s v="Console"/>
    <n v="4.8"/>
    <m/>
    <s v="Fair"/>
    <s v="Never"/>
    <s v="Average"/>
    <n v="3.92"/>
    <m/>
    <s v="Angry"/>
    <s v="Daily"/>
    <b v="1"/>
    <b v="1"/>
    <b v="0"/>
    <b v="1"/>
    <b v="0"/>
    <n v="0.3"/>
    <n v="6.8"/>
    <n v="3"/>
    <n v="5.2"/>
    <n v="17"/>
    <m/>
    <n v="3"/>
    <x v="2"/>
    <m/>
    <m/>
    <m/>
    <m/>
  </r>
  <r>
    <s v="GD0719"/>
    <n v="21"/>
    <x v="1"/>
    <x v="0"/>
    <x v="119"/>
    <x v="1"/>
    <x v="2"/>
    <s v="Overwatch"/>
    <s v="Mobile"/>
    <n v="6"/>
    <m/>
    <s v="Very Poor"/>
    <s v="Never"/>
    <s v="Poor"/>
    <n v="3.05"/>
    <n v="5"/>
    <s v="Depressed"/>
    <s v="Often"/>
    <b v="0"/>
    <b v="1"/>
    <b v="0"/>
    <b v="1"/>
    <b v="1"/>
    <n v="0.8"/>
    <n v="5.0999999999999996"/>
    <n v="7"/>
    <n v="0"/>
    <n v="303.54000000000002"/>
    <m/>
    <n v="1"/>
    <x v="2"/>
    <m/>
    <m/>
    <m/>
    <m/>
  </r>
  <r>
    <s v="GD0720"/>
    <n v="23"/>
    <x v="1"/>
    <x v="1"/>
    <x v="73"/>
    <x v="1"/>
    <x v="3"/>
    <s v="Elden Ring"/>
    <s v="Console"/>
    <n v="5.2"/>
    <m/>
    <s v="Insomnia"/>
    <s v="Sometimes"/>
    <s v="Below Average"/>
    <m/>
    <n v="7"/>
    <s v="Anxious"/>
    <s v="Daily"/>
    <b v="1"/>
    <b v="1"/>
    <b v="0"/>
    <b v="1"/>
    <b v="0"/>
    <n v="6.4"/>
    <n v="5.0999999999999996"/>
    <n v="8"/>
    <n v="0"/>
    <n v="239.25"/>
    <m/>
    <n v="6"/>
    <x v="0"/>
    <m/>
    <m/>
    <m/>
    <m/>
  </r>
  <r>
    <s v="GD0721"/>
    <n v="14"/>
    <x v="0"/>
    <x v="0"/>
    <x v="78"/>
    <x v="1"/>
    <x v="0"/>
    <s v="Candy Crush"/>
    <s v="Mobile"/>
    <n v="5.6"/>
    <m/>
    <s v="Fair"/>
    <s v="Rarely"/>
    <s v="Average"/>
    <n v="2.63"/>
    <m/>
    <s v="Depressed"/>
    <s v="Often"/>
    <b v="0"/>
    <b v="0"/>
    <b v="0"/>
    <b v="0"/>
    <b v="0"/>
    <n v="0"/>
    <n v="6.6"/>
    <n v="2"/>
    <n v="9.6999999999999993"/>
    <n v="27.9"/>
    <m/>
    <n v="3"/>
    <x v="1"/>
    <m/>
    <m/>
    <m/>
    <m/>
  </r>
  <r>
    <s v="GD0722"/>
    <n v="21"/>
    <x v="1"/>
    <x v="0"/>
    <x v="51"/>
    <x v="1"/>
    <x v="1"/>
    <s v="Dota 2"/>
    <s v="Multi-platform"/>
    <n v="7"/>
    <m/>
    <s v="Poor"/>
    <s v="Often"/>
    <s v="Poor"/>
    <n v="2.42"/>
    <n v="3"/>
    <s v="Angry"/>
    <s v="Never"/>
    <b v="0"/>
    <b v="0"/>
    <b v="0"/>
    <b v="1"/>
    <b v="0"/>
    <n v="2.7"/>
    <n v="6"/>
    <n v="2"/>
    <n v="7.7"/>
    <n v="110.49"/>
    <m/>
    <n v="10"/>
    <x v="1"/>
    <m/>
    <m/>
    <m/>
    <m/>
  </r>
  <r>
    <s v="GD0723"/>
    <n v="23"/>
    <x v="1"/>
    <x v="0"/>
    <x v="37"/>
    <x v="1"/>
    <x v="6"/>
    <s v="Civilization VI"/>
    <s v="Multi-platform"/>
    <n v="6.7"/>
    <m/>
    <s v="Poor"/>
    <s v="Always"/>
    <s v="Poor"/>
    <m/>
    <n v="8"/>
    <s v="Angry"/>
    <s v="Never"/>
    <b v="0"/>
    <b v="0"/>
    <b v="0"/>
    <b v="0"/>
    <b v="0"/>
    <n v="0.3"/>
    <n v="7.2"/>
    <n v="2"/>
    <n v="10.4"/>
    <n v="29.56"/>
    <m/>
    <n v="5"/>
    <x v="1"/>
    <m/>
    <m/>
    <m/>
    <m/>
  </r>
  <r>
    <s v="GD0724"/>
    <n v="17"/>
    <x v="0"/>
    <x v="1"/>
    <x v="11"/>
    <x v="1"/>
    <x v="0"/>
    <s v="Clash of Clans"/>
    <s v="PC"/>
    <n v="7"/>
    <m/>
    <s v="Good"/>
    <s v="Often"/>
    <s v="Below Average"/>
    <n v="3.96"/>
    <m/>
    <s v="Normal"/>
    <s v="Sometimes"/>
    <b v="0"/>
    <b v="0"/>
    <b v="0"/>
    <b v="1"/>
    <b v="0"/>
    <n v="0.3"/>
    <n v="5.8"/>
    <n v="1"/>
    <n v="10.6"/>
    <n v="97.92"/>
    <m/>
    <n v="6"/>
    <x v="1"/>
    <m/>
    <m/>
    <m/>
    <m/>
  </r>
  <r>
    <s v="GD0725"/>
    <n v="19"/>
    <x v="0"/>
    <x v="0"/>
    <x v="100"/>
    <x v="1"/>
    <x v="1"/>
    <s v="Mobile Legends"/>
    <s v="Mobile"/>
    <n v="4.0999999999999996"/>
    <m/>
    <s v="Very Poor"/>
    <s v="Sometimes"/>
    <s v="Poor"/>
    <n v="1.74"/>
    <n v="4"/>
    <s v="Anxious"/>
    <s v="Daily"/>
    <b v="1"/>
    <b v="1"/>
    <b v="1"/>
    <b v="0"/>
    <b v="1"/>
    <n v="1.5"/>
    <n v="7.2"/>
    <n v="6"/>
    <n v="7.1"/>
    <n v="106.73"/>
    <m/>
    <n v="2"/>
    <x v="0"/>
    <m/>
    <m/>
    <m/>
    <m/>
  </r>
  <r>
    <s v="GD0726"/>
    <n v="18"/>
    <x v="0"/>
    <x v="1"/>
    <x v="5"/>
    <x v="1"/>
    <x v="4"/>
    <s v="Fortnite"/>
    <s v="Multi-platform"/>
    <n v="8.6"/>
    <m/>
    <s v="Good"/>
    <s v="Sometimes"/>
    <s v="Average"/>
    <n v="1.86"/>
    <m/>
    <s v="Normal"/>
    <s v="Daily"/>
    <b v="0"/>
    <b v="0"/>
    <b v="0"/>
    <b v="0"/>
    <b v="0"/>
    <n v="0.7"/>
    <n v="9.3000000000000007"/>
    <n v="1"/>
    <n v="9.8000000000000007"/>
    <n v="49.39"/>
    <m/>
    <n v="5"/>
    <x v="1"/>
    <m/>
    <m/>
    <m/>
    <m/>
  </r>
  <r>
    <s v="GD0727"/>
    <n v="17"/>
    <x v="0"/>
    <x v="1"/>
    <x v="38"/>
    <x v="1"/>
    <x v="0"/>
    <s v="Genshin Impact"/>
    <s v="Mobile"/>
    <n v="5.7"/>
    <m/>
    <s v="Fair"/>
    <s v="Sometimes"/>
    <s v="Below Average"/>
    <n v="2.2200000000000002"/>
    <m/>
    <s v="Angry"/>
    <s v="Often"/>
    <b v="0"/>
    <b v="1"/>
    <b v="0"/>
    <b v="1"/>
    <b v="1"/>
    <n v="2.2000000000000002"/>
    <n v="5.2"/>
    <n v="4"/>
    <n v="5.2"/>
    <n v="37"/>
    <m/>
    <n v="6"/>
    <x v="3"/>
    <m/>
    <m/>
    <m/>
    <m/>
  </r>
  <r>
    <s v="GD0728"/>
    <n v="17"/>
    <x v="0"/>
    <x v="0"/>
    <x v="19"/>
    <x v="1"/>
    <x v="1"/>
    <s v="Mobile Legends"/>
    <s v="Console"/>
    <n v="6.6"/>
    <m/>
    <s v="Fair"/>
    <s v="Often"/>
    <s v="Average"/>
    <n v="3.01"/>
    <m/>
    <s v="Anxious"/>
    <s v="Never"/>
    <b v="0"/>
    <b v="1"/>
    <b v="0"/>
    <b v="1"/>
    <b v="1"/>
    <n v="2"/>
    <n v="6.9"/>
    <n v="2"/>
    <n v="8.6"/>
    <n v="147.26"/>
    <m/>
    <n v="2"/>
    <x v="3"/>
    <m/>
    <m/>
    <m/>
    <m/>
  </r>
  <r>
    <s v="GD0729"/>
    <n v="21"/>
    <x v="1"/>
    <x v="0"/>
    <x v="15"/>
    <x v="1"/>
    <x v="2"/>
    <s v="Valorant"/>
    <s v="Multi-platform"/>
    <n v="5.0999999999999996"/>
    <m/>
    <s v="Poor"/>
    <s v="Never"/>
    <s v="Below Average"/>
    <n v="2.38"/>
    <n v="10"/>
    <s v="Anxious"/>
    <s v="Rarely"/>
    <b v="1"/>
    <b v="1"/>
    <b v="1"/>
    <b v="0"/>
    <b v="1"/>
    <n v="1.8"/>
    <n v="5.8"/>
    <n v="6"/>
    <n v="2.8"/>
    <n v="73.12"/>
    <m/>
    <n v="8"/>
    <x v="0"/>
    <m/>
    <m/>
    <m/>
    <m/>
  </r>
  <r>
    <s v="GD0730"/>
    <n v="22"/>
    <x v="1"/>
    <x v="0"/>
    <x v="7"/>
    <x v="1"/>
    <x v="6"/>
    <s v="Age of Empires"/>
    <s v="PC"/>
    <n v="5.8"/>
    <m/>
    <s v="Poor"/>
    <s v="Sometimes"/>
    <s v="Poor"/>
    <n v="2.9"/>
    <n v="10"/>
    <s v="Irritable"/>
    <s v="Rarely"/>
    <b v="1"/>
    <b v="1"/>
    <b v="0"/>
    <b v="1"/>
    <b v="1"/>
    <n v="3.9"/>
    <n v="4.0999999999999996"/>
    <n v="6"/>
    <n v="2.9"/>
    <n v="446.66"/>
    <m/>
    <n v="11"/>
    <x v="0"/>
    <m/>
    <m/>
    <m/>
    <m/>
  </r>
  <r>
    <s v="GD0731"/>
    <n v="17"/>
    <x v="0"/>
    <x v="1"/>
    <x v="64"/>
    <x v="1"/>
    <x v="4"/>
    <s v="Fortnite"/>
    <s v="PC"/>
    <n v="7.2"/>
    <m/>
    <s v="Good"/>
    <s v="Never"/>
    <s v="Poor"/>
    <n v="3.6"/>
    <m/>
    <s v="Euphoric"/>
    <s v="Sometimes"/>
    <b v="0"/>
    <b v="0"/>
    <b v="0"/>
    <b v="0"/>
    <b v="0"/>
    <n v="0.9"/>
    <n v="7.9"/>
    <n v="1"/>
    <n v="13.8"/>
    <n v="12.37"/>
    <m/>
    <n v="3"/>
    <x v="1"/>
    <m/>
    <m/>
    <m/>
    <m/>
  </r>
  <r>
    <s v="GD0732"/>
    <n v="28"/>
    <x v="1"/>
    <x v="1"/>
    <x v="108"/>
    <x v="1"/>
    <x v="1"/>
    <s v="League of Legends"/>
    <s v="Multi-platform"/>
    <n v="4.2"/>
    <m/>
    <s v="Fair"/>
    <s v="Rarely"/>
    <s v="Average"/>
    <m/>
    <n v="2"/>
    <s v="Anxious"/>
    <s v="Sometimes"/>
    <b v="0"/>
    <b v="1"/>
    <b v="1"/>
    <b v="0"/>
    <b v="1"/>
    <n v="3.7"/>
    <n v="5.3"/>
    <n v="6"/>
    <n v="4.8"/>
    <n v="309.02"/>
    <m/>
    <n v="9"/>
    <x v="0"/>
    <m/>
    <m/>
    <m/>
    <m/>
  </r>
  <r>
    <s v="GD0733"/>
    <n v="19"/>
    <x v="0"/>
    <x v="1"/>
    <x v="78"/>
    <x v="1"/>
    <x v="4"/>
    <s v="Fortnite"/>
    <s v="Console"/>
    <n v="5.5"/>
    <m/>
    <s v="Fair"/>
    <s v="Often"/>
    <s v="Below Average"/>
    <n v="1.96"/>
    <n v="1"/>
    <s v="Depressed"/>
    <s v="Sometimes"/>
    <b v="0"/>
    <b v="0"/>
    <b v="0"/>
    <b v="0"/>
    <b v="0"/>
    <n v="1"/>
    <n v="8.1999999999999993"/>
    <n v="3"/>
    <n v="8.1"/>
    <n v="18.739999999999998"/>
    <m/>
    <n v="4"/>
    <x v="1"/>
    <m/>
    <m/>
    <m/>
    <m/>
  </r>
  <r>
    <s v="GD0734"/>
    <n v="23"/>
    <x v="1"/>
    <x v="0"/>
    <x v="66"/>
    <x v="1"/>
    <x v="4"/>
    <s v="Warzone"/>
    <s v="Multi-platform"/>
    <n v="6.7"/>
    <m/>
    <s v="Good"/>
    <s v="Often"/>
    <s v="Average"/>
    <m/>
    <n v="9"/>
    <s v="Normal"/>
    <s v="Never"/>
    <b v="0"/>
    <b v="0"/>
    <b v="0"/>
    <b v="1"/>
    <b v="0"/>
    <n v="0"/>
    <n v="7.2"/>
    <n v="3"/>
    <n v="12"/>
    <n v="101.27"/>
    <m/>
    <n v="10"/>
    <x v="1"/>
    <m/>
    <m/>
    <m/>
    <m/>
  </r>
  <r>
    <s v="GD0735"/>
    <n v="17"/>
    <x v="0"/>
    <x v="1"/>
    <x v="32"/>
    <x v="1"/>
    <x v="2"/>
    <s v="Overwatch"/>
    <s v="Mobile"/>
    <n v="6.1"/>
    <m/>
    <s v="Fair"/>
    <s v="Never"/>
    <s v="Poor"/>
    <n v="1.03"/>
    <m/>
    <s v="Normal"/>
    <s v="Sometimes"/>
    <b v="0"/>
    <b v="0"/>
    <b v="0"/>
    <b v="0"/>
    <b v="0"/>
    <n v="0.3"/>
    <n v="9.5"/>
    <n v="2"/>
    <n v="8.1"/>
    <n v="35.72"/>
    <m/>
    <n v="5"/>
    <x v="1"/>
    <m/>
    <m/>
    <m/>
    <m/>
  </r>
  <r>
    <s v="GD0736"/>
    <n v="18"/>
    <x v="0"/>
    <x v="0"/>
    <x v="41"/>
    <x v="1"/>
    <x v="4"/>
    <s v="Fortnite"/>
    <s v="Mobile"/>
    <n v="4.5999999999999996"/>
    <m/>
    <s v="Very Poor"/>
    <s v="Sometimes"/>
    <s v="Below Average"/>
    <n v="1.61"/>
    <m/>
    <s v="Anxious"/>
    <s v="Often"/>
    <b v="1"/>
    <b v="0"/>
    <b v="0"/>
    <b v="0"/>
    <b v="1"/>
    <n v="2.5"/>
    <n v="5.0999999999999996"/>
    <n v="8"/>
    <n v="0.2"/>
    <n v="151.46"/>
    <m/>
    <n v="5"/>
    <x v="2"/>
    <m/>
    <m/>
    <m/>
    <m/>
  </r>
  <r>
    <s v="GD0737"/>
    <n v="17"/>
    <x v="0"/>
    <x v="0"/>
    <x v="108"/>
    <x v="1"/>
    <x v="3"/>
    <s v="Skyrim"/>
    <s v="Multi-platform"/>
    <n v="4.9000000000000004"/>
    <m/>
    <s v="Poor"/>
    <s v="Never"/>
    <s v="Poor"/>
    <n v="2.95"/>
    <m/>
    <s v="Irritable"/>
    <s v="Often"/>
    <b v="1"/>
    <b v="1"/>
    <b v="1"/>
    <b v="1"/>
    <b v="1"/>
    <n v="2.6"/>
    <n v="5.6"/>
    <n v="5"/>
    <n v="3.8"/>
    <n v="123.19"/>
    <m/>
    <n v="7"/>
    <x v="0"/>
    <m/>
    <m/>
    <m/>
    <m/>
  </r>
  <r>
    <s v="GD0738"/>
    <n v="15"/>
    <x v="0"/>
    <x v="1"/>
    <x v="39"/>
    <x v="1"/>
    <x v="6"/>
    <s v="Civilization VI"/>
    <s v="PC"/>
    <n v="4"/>
    <m/>
    <s v="Poor"/>
    <s v="Rarely"/>
    <s v="Failing"/>
    <n v="1.93"/>
    <m/>
    <s v="Anxious"/>
    <s v="Often"/>
    <b v="1"/>
    <b v="0"/>
    <b v="0"/>
    <b v="1"/>
    <b v="1"/>
    <n v="0.1"/>
    <n v="8.4"/>
    <n v="4"/>
    <n v="3.7"/>
    <n v="65.22"/>
    <m/>
    <n v="5"/>
    <x v="3"/>
    <m/>
    <m/>
    <m/>
    <m/>
  </r>
  <r>
    <s v="GD0739"/>
    <n v="29"/>
    <x v="1"/>
    <x v="0"/>
    <x v="12"/>
    <x v="1"/>
    <x v="5"/>
    <s v="World of Warcraft"/>
    <s v="Console"/>
    <n v="6.6"/>
    <m/>
    <s v="Good"/>
    <s v="Rarely"/>
    <s v="Poor"/>
    <m/>
    <n v="1"/>
    <s v="Normal"/>
    <s v="Rarely"/>
    <b v="0"/>
    <b v="1"/>
    <b v="0"/>
    <b v="0"/>
    <b v="1"/>
    <n v="0.5"/>
    <n v="7.7"/>
    <n v="4"/>
    <n v="9.5"/>
    <n v="27.31"/>
    <m/>
    <n v="4"/>
    <x v="3"/>
    <m/>
    <m/>
    <m/>
    <m/>
  </r>
  <r>
    <s v="GD0740"/>
    <n v="17"/>
    <x v="0"/>
    <x v="0"/>
    <x v="38"/>
    <x v="1"/>
    <x v="6"/>
    <s v="Civilization VI"/>
    <s v="PC"/>
    <n v="5.4"/>
    <m/>
    <s v="Poor"/>
    <s v="Rarely"/>
    <s v="Average"/>
    <n v="3.01"/>
    <m/>
    <s v="Anxious"/>
    <s v="Never"/>
    <b v="0"/>
    <b v="0"/>
    <b v="0"/>
    <b v="1"/>
    <b v="0"/>
    <n v="2.2000000000000002"/>
    <n v="7"/>
    <n v="5"/>
    <n v="6.2"/>
    <n v="115.5"/>
    <m/>
    <n v="7"/>
    <x v="1"/>
    <m/>
    <m/>
    <m/>
    <m/>
  </r>
  <r>
    <s v="GD0741"/>
    <n v="17"/>
    <x v="0"/>
    <x v="0"/>
    <x v="19"/>
    <x v="1"/>
    <x v="5"/>
    <s v="Elder Scrolls Online"/>
    <s v="PC"/>
    <n v="6.2"/>
    <m/>
    <s v="Very Poor"/>
    <s v="Often"/>
    <s v="Good"/>
    <n v="2.75"/>
    <m/>
    <s v="Restless"/>
    <s v="Sometimes"/>
    <b v="0"/>
    <b v="0"/>
    <b v="0"/>
    <b v="1"/>
    <b v="1"/>
    <n v="0.8"/>
    <n v="7.9"/>
    <n v="3"/>
    <n v="7.5"/>
    <n v="35.840000000000003"/>
    <m/>
    <n v="7"/>
    <x v="1"/>
    <m/>
    <m/>
    <m/>
    <m/>
  </r>
  <r>
    <s v="GD0742"/>
    <n v="22"/>
    <x v="1"/>
    <x v="0"/>
    <x v="128"/>
    <x v="1"/>
    <x v="2"/>
    <s v="Overwatch"/>
    <s v="Mobile"/>
    <n v="4.3"/>
    <m/>
    <s v="Very Poor"/>
    <s v="Never"/>
    <s v="Poor"/>
    <n v="1.93"/>
    <n v="10"/>
    <s v="Restless"/>
    <s v="Often"/>
    <b v="0"/>
    <b v="1"/>
    <b v="0"/>
    <b v="1"/>
    <b v="0"/>
    <n v="0.8"/>
    <n v="2"/>
    <n v="10"/>
    <n v="0"/>
    <n v="52.68"/>
    <m/>
    <n v="8"/>
    <x v="2"/>
    <m/>
    <m/>
    <m/>
    <m/>
  </r>
  <r>
    <s v="GD0743"/>
    <n v="26"/>
    <x v="1"/>
    <x v="0"/>
    <x v="110"/>
    <x v="1"/>
    <x v="0"/>
    <s v="Genshin Impact"/>
    <s v="PC"/>
    <n v="3"/>
    <m/>
    <s v="Fair"/>
    <s v="Often"/>
    <s v="Poor"/>
    <m/>
    <n v="3"/>
    <s v="Euphoric"/>
    <s v="Daily"/>
    <b v="1"/>
    <b v="1"/>
    <b v="0"/>
    <b v="1"/>
    <b v="0"/>
    <n v="0.8"/>
    <n v="7.7"/>
    <n v="4"/>
    <n v="5"/>
    <n v="75.3"/>
    <m/>
    <n v="2"/>
    <x v="2"/>
    <m/>
    <m/>
    <m/>
    <m/>
  </r>
  <r>
    <s v="GD0744"/>
    <n v="20"/>
    <x v="1"/>
    <x v="0"/>
    <x v="25"/>
    <x v="1"/>
    <x v="1"/>
    <s v="Dota 2"/>
    <s v="Multi-platform"/>
    <n v="8.1999999999999993"/>
    <m/>
    <s v="Fair"/>
    <s v="Rarely"/>
    <s v="Average"/>
    <n v="1.86"/>
    <n v="10"/>
    <s v="Restless"/>
    <s v="Rarely"/>
    <b v="0"/>
    <b v="0"/>
    <b v="0"/>
    <b v="0"/>
    <b v="0"/>
    <n v="0.3"/>
    <n v="9.6999999999999993"/>
    <n v="1"/>
    <n v="15.1"/>
    <n v="39.28"/>
    <m/>
    <n v="1"/>
    <x v="1"/>
    <m/>
    <m/>
    <m/>
    <m/>
  </r>
  <r>
    <s v="GD0745"/>
    <n v="18"/>
    <x v="0"/>
    <x v="0"/>
    <x v="31"/>
    <x v="1"/>
    <x v="6"/>
    <s v="Age of Empires"/>
    <s v="Mobile"/>
    <n v="7.4"/>
    <m/>
    <s v="Fair"/>
    <s v="Often"/>
    <s v="Excellent"/>
    <n v="1.76"/>
    <m/>
    <s v="Normal"/>
    <s v="Often"/>
    <b v="0"/>
    <b v="0"/>
    <b v="0"/>
    <b v="0"/>
    <b v="0"/>
    <n v="0.6"/>
    <n v="10.199999999999999"/>
    <n v="2"/>
    <n v="12.9"/>
    <n v="35.69"/>
    <m/>
    <n v="6"/>
    <x v="1"/>
    <m/>
    <m/>
    <m/>
    <m/>
  </r>
  <r>
    <s v="GD0746"/>
    <n v="22"/>
    <x v="1"/>
    <x v="1"/>
    <x v="29"/>
    <x v="1"/>
    <x v="1"/>
    <s v="League of Legends"/>
    <s v="Console"/>
    <n v="6"/>
    <m/>
    <s v="Fair"/>
    <s v="Never"/>
    <s v="Excellent"/>
    <n v="1.71"/>
    <n v="2"/>
    <s v="Euphoric"/>
    <s v="Sometimes"/>
    <b v="0"/>
    <b v="0"/>
    <b v="0"/>
    <b v="1"/>
    <b v="0"/>
    <n v="0.5"/>
    <n v="7.5"/>
    <n v="3"/>
    <n v="9"/>
    <n v="46.89"/>
    <m/>
    <n v="11"/>
    <x v="1"/>
    <m/>
    <m/>
    <m/>
    <m/>
  </r>
  <r>
    <s v="GD0747"/>
    <n v="29"/>
    <x v="1"/>
    <x v="0"/>
    <x v="101"/>
    <x v="1"/>
    <x v="1"/>
    <s v="Mobile Legends"/>
    <s v="Multi-platform"/>
    <n v="7.3"/>
    <m/>
    <s v="Fair"/>
    <s v="Sometimes"/>
    <s v="Below Average"/>
    <m/>
    <n v="4"/>
    <s v="Restless"/>
    <s v="Daily"/>
    <b v="0"/>
    <b v="0"/>
    <b v="0"/>
    <b v="0"/>
    <b v="0"/>
    <n v="0.3"/>
    <n v="8.5"/>
    <n v="1"/>
    <n v="11.8"/>
    <n v="46.38"/>
    <m/>
    <n v="15"/>
    <x v="1"/>
    <m/>
    <m/>
    <m/>
    <m/>
  </r>
  <r>
    <s v="GD0748"/>
    <n v="18"/>
    <x v="0"/>
    <x v="0"/>
    <x v="46"/>
    <x v="1"/>
    <x v="0"/>
    <s v="Candy Crush"/>
    <s v="Console"/>
    <n v="8.1"/>
    <m/>
    <s v="Fair"/>
    <s v="Often"/>
    <s v="Good"/>
    <n v="1.46"/>
    <m/>
    <s v="Normal"/>
    <s v="Daily"/>
    <b v="0"/>
    <b v="0"/>
    <b v="0"/>
    <b v="0"/>
    <b v="0"/>
    <n v="0.2"/>
    <n v="10.8"/>
    <n v="1"/>
    <n v="13.5"/>
    <n v="36.92"/>
    <m/>
    <n v="8"/>
    <x v="1"/>
    <m/>
    <m/>
    <m/>
    <m/>
  </r>
  <r>
    <s v="GD0749"/>
    <n v="19"/>
    <x v="0"/>
    <x v="0"/>
    <x v="51"/>
    <x v="1"/>
    <x v="0"/>
    <s v="Genshin Impact"/>
    <s v="PC"/>
    <n v="6.8"/>
    <m/>
    <s v="Poor"/>
    <s v="Often"/>
    <s v="Average"/>
    <n v="3.46"/>
    <n v="6"/>
    <s v="Euphoric"/>
    <s v="Rarely"/>
    <b v="0"/>
    <b v="0"/>
    <b v="0"/>
    <b v="1"/>
    <b v="0"/>
    <n v="1.3"/>
    <n v="8.4"/>
    <n v="3"/>
    <n v="11.1"/>
    <n v="47.78"/>
    <m/>
    <n v="4"/>
    <x v="1"/>
    <m/>
    <m/>
    <m/>
    <m/>
  </r>
  <r>
    <s v="GD0750"/>
    <n v="23"/>
    <x v="1"/>
    <x v="0"/>
    <x v="70"/>
    <x v="1"/>
    <x v="5"/>
    <s v="World of Warcraft"/>
    <s v="Console"/>
    <n v="6.3"/>
    <m/>
    <s v="Poor"/>
    <s v="Never"/>
    <s v="Poor"/>
    <m/>
    <n v="6"/>
    <s v="Excited"/>
    <s v="Rarely"/>
    <b v="0"/>
    <b v="0"/>
    <b v="0"/>
    <b v="1"/>
    <b v="1"/>
    <n v="1.7"/>
    <n v="6.6"/>
    <n v="4"/>
    <n v="7.6"/>
    <n v="51.25"/>
    <m/>
    <n v="8"/>
    <x v="1"/>
    <m/>
    <m/>
    <m/>
    <m/>
  </r>
  <r>
    <s v="GD0751"/>
    <n v="18"/>
    <x v="0"/>
    <x v="0"/>
    <x v="19"/>
    <x v="1"/>
    <x v="3"/>
    <s v="Skyrim"/>
    <s v="Multi-platform"/>
    <n v="5.6"/>
    <m/>
    <s v="Good"/>
    <s v="Never"/>
    <s v="Good"/>
    <n v="1.02"/>
    <m/>
    <s v="Irritable"/>
    <s v="Often"/>
    <b v="0"/>
    <b v="1"/>
    <b v="0"/>
    <b v="1"/>
    <b v="0"/>
    <n v="0.7"/>
    <n v="5.8"/>
    <n v="4"/>
    <n v="10.8"/>
    <n v="10.47"/>
    <m/>
    <n v="5"/>
    <x v="3"/>
    <m/>
    <m/>
    <m/>
    <m/>
  </r>
  <r>
    <s v="GD0752"/>
    <n v="21"/>
    <x v="1"/>
    <x v="0"/>
    <x v="129"/>
    <x v="1"/>
    <x v="6"/>
    <s v="StarCraft II"/>
    <s v="Console"/>
    <n v="4.2"/>
    <m/>
    <s v="Poor"/>
    <s v="Always"/>
    <s v="Poor"/>
    <n v="3.34"/>
    <n v="3"/>
    <s v="Anxious"/>
    <s v="Never"/>
    <b v="1"/>
    <b v="1"/>
    <b v="1"/>
    <b v="1"/>
    <b v="1"/>
    <n v="2.6"/>
    <n v="4.0999999999999996"/>
    <n v="8"/>
    <n v="2.6"/>
    <n v="374.32"/>
    <m/>
    <n v="10"/>
    <x v="0"/>
    <m/>
    <m/>
    <m/>
    <m/>
  </r>
  <r>
    <s v="GD0753"/>
    <n v="21"/>
    <x v="1"/>
    <x v="0"/>
    <x v="99"/>
    <x v="1"/>
    <x v="3"/>
    <s v="Elden Ring"/>
    <s v="PC"/>
    <n v="5.2"/>
    <m/>
    <s v="Fair"/>
    <s v="Always"/>
    <s v="Good"/>
    <n v="2.63"/>
    <n v="9"/>
    <s v="Euphoric"/>
    <s v="Often"/>
    <b v="0"/>
    <b v="0"/>
    <b v="0"/>
    <b v="0"/>
    <b v="0"/>
    <n v="1.3"/>
    <n v="8.6999999999999993"/>
    <n v="3"/>
    <n v="11.2"/>
    <n v="45.63"/>
    <m/>
    <n v="2"/>
    <x v="1"/>
    <m/>
    <m/>
    <m/>
    <m/>
  </r>
  <r>
    <s v="GD0754"/>
    <n v="19"/>
    <x v="0"/>
    <x v="1"/>
    <x v="109"/>
    <x v="1"/>
    <x v="2"/>
    <s v="Call of Duty"/>
    <s v="PC"/>
    <n v="7.4"/>
    <m/>
    <s v="Fair"/>
    <s v="Sometimes"/>
    <s v="Good"/>
    <n v="1.43"/>
    <n v="2"/>
    <s v="Normal"/>
    <s v="Sometimes"/>
    <b v="0"/>
    <b v="0"/>
    <b v="0"/>
    <b v="0"/>
    <b v="0"/>
    <n v="0.1"/>
    <n v="8.8000000000000007"/>
    <n v="1"/>
    <n v="11.8"/>
    <n v="35.119999999999997"/>
    <m/>
    <n v="3"/>
    <x v="1"/>
    <m/>
    <m/>
    <m/>
    <m/>
  </r>
  <r>
    <s v="GD0755"/>
    <n v="17"/>
    <x v="0"/>
    <x v="1"/>
    <x v="96"/>
    <x v="1"/>
    <x v="6"/>
    <s v="StarCraft II"/>
    <s v="PC"/>
    <n v="5.5"/>
    <m/>
    <s v="Fair"/>
    <s v="Rarely"/>
    <s v="Average"/>
    <n v="1.86"/>
    <m/>
    <s v="Euphoric"/>
    <s v="Daily"/>
    <b v="0"/>
    <b v="0"/>
    <b v="0"/>
    <b v="0"/>
    <b v="0"/>
    <n v="0.1"/>
    <n v="6.3"/>
    <n v="1"/>
    <n v="11"/>
    <n v="22.33"/>
    <m/>
    <n v="7"/>
    <x v="1"/>
    <m/>
    <m/>
    <m/>
    <m/>
  </r>
  <r>
    <s v="GD0756"/>
    <n v="23"/>
    <x v="1"/>
    <x v="0"/>
    <x v="91"/>
    <x v="1"/>
    <x v="1"/>
    <s v="League of Legends"/>
    <s v="Multi-platform"/>
    <n v="3.4"/>
    <m/>
    <s v="Very Poor"/>
    <s v="Always"/>
    <s v="Poor"/>
    <m/>
    <n v="6"/>
    <s v="Restless"/>
    <s v="Sometimes"/>
    <b v="1"/>
    <b v="1"/>
    <b v="0"/>
    <b v="1"/>
    <b v="1"/>
    <n v="2.5"/>
    <n v="4.5"/>
    <n v="7"/>
    <n v="0"/>
    <n v="144.47"/>
    <m/>
    <n v="8"/>
    <x v="0"/>
    <m/>
    <m/>
    <m/>
    <m/>
  </r>
  <r>
    <s v="GD0757"/>
    <n v="27"/>
    <x v="1"/>
    <x v="0"/>
    <x v="9"/>
    <x v="1"/>
    <x v="2"/>
    <s v="Valorant"/>
    <s v="Mobile"/>
    <n v="9"/>
    <m/>
    <s v="Good"/>
    <s v="Sometimes"/>
    <s v="Average"/>
    <m/>
    <n v="3"/>
    <s v="Euphoric"/>
    <s v="Often"/>
    <b v="0"/>
    <b v="0"/>
    <b v="0"/>
    <b v="0"/>
    <b v="0"/>
    <n v="0.5"/>
    <n v="10.4"/>
    <n v="1"/>
    <n v="12"/>
    <n v="10.08"/>
    <m/>
    <n v="12"/>
    <x v="1"/>
    <m/>
    <m/>
    <m/>
    <m/>
  </r>
  <r>
    <s v="GD0758"/>
    <n v="17"/>
    <x v="0"/>
    <x v="0"/>
    <x v="28"/>
    <x v="1"/>
    <x v="0"/>
    <s v="Clash of Clans"/>
    <s v="PC"/>
    <n v="3.7"/>
    <m/>
    <s v="Poor"/>
    <s v="Always"/>
    <s v="Below Average"/>
    <n v="1.5"/>
    <m/>
    <s v="Angry"/>
    <s v="Rarely"/>
    <b v="1"/>
    <b v="1"/>
    <b v="0"/>
    <b v="1"/>
    <b v="1"/>
    <n v="1.2"/>
    <n v="5.5"/>
    <n v="6"/>
    <n v="5.3"/>
    <n v="29.91"/>
    <m/>
    <n v="7"/>
    <x v="2"/>
    <m/>
    <m/>
    <m/>
    <m/>
  </r>
  <r>
    <s v="GD0759"/>
    <n v="16"/>
    <x v="0"/>
    <x v="1"/>
    <x v="23"/>
    <x v="1"/>
    <x v="3"/>
    <s v="Skyrim"/>
    <s v="Console"/>
    <n v="6.6"/>
    <m/>
    <s v="Fair"/>
    <s v="Always"/>
    <s v="Below Average"/>
    <n v="1.77"/>
    <m/>
    <s v="Anxious"/>
    <s v="Sometimes"/>
    <b v="0"/>
    <b v="1"/>
    <b v="0"/>
    <b v="1"/>
    <b v="1"/>
    <n v="0.2"/>
    <n v="5.9"/>
    <n v="3"/>
    <n v="6.5"/>
    <n v="19.38"/>
    <m/>
    <n v="2"/>
    <x v="3"/>
    <m/>
    <m/>
    <m/>
    <m/>
  </r>
  <r>
    <s v="GD0760"/>
    <n v="33"/>
    <x v="2"/>
    <x v="1"/>
    <x v="70"/>
    <x v="1"/>
    <x v="1"/>
    <s v="League of Legends"/>
    <s v="PC"/>
    <n v="6.1"/>
    <m/>
    <s v="Good"/>
    <s v="Never"/>
    <s v="Below Average"/>
    <m/>
    <n v="5"/>
    <s v="Normal"/>
    <s v="Never"/>
    <b v="0"/>
    <b v="1"/>
    <b v="0"/>
    <b v="0"/>
    <b v="0"/>
    <n v="1.4"/>
    <n v="8.1"/>
    <n v="3"/>
    <n v="6.4"/>
    <n v="82.37"/>
    <m/>
    <n v="6"/>
    <x v="3"/>
    <m/>
    <m/>
    <m/>
    <m/>
  </r>
  <r>
    <s v="GD0761"/>
    <n v="16"/>
    <x v="0"/>
    <x v="0"/>
    <x v="41"/>
    <x v="1"/>
    <x v="1"/>
    <s v="League of Legends"/>
    <s v="Console"/>
    <n v="3"/>
    <m/>
    <s v="Poor"/>
    <s v="Always"/>
    <s v="Below Average"/>
    <n v="3.91"/>
    <m/>
    <s v="Anxious"/>
    <s v="Sometimes"/>
    <b v="1"/>
    <b v="0"/>
    <b v="1"/>
    <b v="0"/>
    <b v="1"/>
    <n v="1.5"/>
    <n v="5.6"/>
    <n v="7"/>
    <n v="3.1"/>
    <n v="73.87"/>
    <m/>
    <n v="2"/>
    <x v="0"/>
    <m/>
    <m/>
    <m/>
    <m/>
  </r>
  <r>
    <s v="GD0762"/>
    <n v="18"/>
    <x v="0"/>
    <x v="1"/>
    <x v="6"/>
    <x v="1"/>
    <x v="5"/>
    <s v="Elder Scrolls Online"/>
    <s v="Multi-platform"/>
    <n v="8.6"/>
    <m/>
    <s v="Good"/>
    <s v="Often"/>
    <s v="Excellent"/>
    <n v="3.85"/>
    <m/>
    <s v="Normal"/>
    <s v="Often"/>
    <b v="0"/>
    <b v="0"/>
    <b v="0"/>
    <b v="0"/>
    <b v="0"/>
    <n v="0.1"/>
    <n v="6.9"/>
    <n v="1"/>
    <n v="9.6999999999999993"/>
    <n v="42.45"/>
    <m/>
    <n v="3"/>
    <x v="1"/>
    <m/>
    <m/>
    <m/>
    <m/>
  </r>
  <r>
    <s v="GD0763"/>
    <n v="22"/>
    <x v="1"/>
    <x v="0"/>
    <x v="70"/>
    <x v="1"/>
    <x v="2"/>
    <s v="Valorant"/>
    <s v="Console"/>
    <n v="6"/>
    <m/>
    <s v="Insomnia"/>
    <s v="Often"/>
    <s v="Average"/>
    <n v="1.06"/>
    <n v="1"/>
    <s v="Normal"/>
    <s v="Never"/>
    <b v="0"/>
    <b v="0"/>
    <b v="0"/>
    <b v="1"/>
    <b v="0"/>
    <n v="0.8"/>
    <n v="8.8000000000000007"/>
    <n v="3"/>
    <n v="9.6"/>
    <n v="91.34"/>
    <m/>
    <n v="10"/>
    <x v="1"/>
    <m/>
    <m/>
    <m/>
    <m/>
  </r>
  <r>
    <s v="GD0764"/>
    <n v="15"/>
    <x v="0"/>
    <x v="0"/>
    <x v="13"/>
    <x v="1"/>
    <x v="1"/>
    <s v="Mobile Legends"/>
    <s v="Mobile"/>
    <n v="4.5"/>
    <m/>
    <s v="Very Poor"/>
    <s v="Never"/>
    <s v="Average"/>
    <n v="2.89"/>
    <m/>
    <s v="Anxious"/>
    <s v="Daily"/>
    <b v="1"/>
    <b v="1"/>
    <b v="0"/>
    <b v="1"/>
    <b v="1"/>
    <n v="1.6"/>
    <n v="4.9000000000000004"/>
    <n v="5"/>
    <n v="6"/>
    <n v="115.77"/>
    <m/>
    <n v="1"/>
    <x v="2"/>
    <m/>
    <m/>
    <m/>
    <m/>
  </r>
  <r>
    <s v="GD0765"/>
    <n v="24"/>
    <x v="1"/>
    <x v="0"/>
    <x v="76"/>
    <x v="1"/>
    <x v="5"/>
    <s v="World of Warcraft"/>
    <s v="Mobile"/>
    <n v="3.2"/>
    <m/>
    <s v="Poor"/>
    <s v="Often"/>
    <s v="Failing"/>
    <m/>
    <n v="8"/>
    <s v="Euphoric"/>
    <s v="Sometimes"/>
    <b v="1"/>
    <b v="1"/>
    <b v="0"/>
    <b v="1"/>
    <b v="1"/>
    <n v="1"/>
    <n v="5.7"/>
    <n v="3"/>
    <n v="4"/>
    <n v="30.64"/>
    <m/>
    <n v="7"/>
    <x v="2"/>
    <m/>
    <m/>
    <m/>
    <m/>
  </r>
  <r>
    <s v="GD0766"/>
    <n v="19"/>
    <x v="0"/>
    <x v="1"/>
    <x v="56"/>
    <x v="1"/>
    <x v="4"/>
    <s v="Apex Legends"/>
    <s v="Console"/>
    <n v="5.5"/>
    <m/>
    <s v="Poor"/>
    <s v="Always"/>
    <s v="Average"/>
    <n v="1.44"/>
    <n v="10"/>
    <s v="Restless"/>
    <s v="Sometimes"/>
    <b v="1"/>
    <b v="1"/>
    <b v="1"/>
    <b v="0"/>
    <b v="1"/>
    <n v="1.4"/>
    <n v="4.4000000000000004"/>
    <n v="5"/>
    <n v="8.1999999999999993"/>
    <n v="10.32"/>
    <m/>
    <n v="4"/>
    <x v="0"/>
    <m/>
    <m/>
    <m/>
    <m/>
  </r>
  <r>
    <s v="GD0767"/>
    <n v="19"/>
    <x v="0"/>
    <x v="0"/>
    <x v="10"/>
    <x v="1"/>
    <x v="5"/>
    <s v="Elder Scrolls Online"/>
    <s v="Multi-platform"/>
    <n v="4.5999999999999996"/>
    <m/>
    <s v="Very Poor"/>
    <s v="Often"/>
    <s v="Below Average"/>
    <n v="3.65"/>
    <n v="1"/>
    <s v="Normal"/>
    <s v="Daily"/>
    <b v="1"/>
    <b v="0"/>
    <b v="0"/>
    <b v="0"/>
    <b v="1"/>
    <n v="3.4"/>
    <n v="3.7"/>
    <n v="6"/>
    <n v="6.9"/>
    <n v="336.84"/>
    <m/>
    <n v="7"/>
    <x v="2"/>
    <m/>
    <m/>
    <m/>
    <m/>
  </r>
  <r>
    <s v="GD0768"/>
    <n v="20"/>
    <x v="1"/>
    <x v="1"/>
    <x v="77"/>
    <x v="1"/>
    <x v="4"/>
    <s v="PUBG"/>
    <s v="Multi-platform"/>
    <n v="5.3"/>
    <m/>
    <s v="Very Poor"/>
    <s v="Never"/>
    <s v="Below Average"/>
    <n v="2.71"/>
    <n v="7"/>
    <s v="Irritable"/>
    <s v="Never"/>
    <b v="1"/>
    <b v="0"/>
    <b v="0"/>
    <b v="0"/>
    <b v="1"/>
    <n v="5.7"/>
    <n v="6.9"/>
    <n v="5"/>
    <n v="2"/>
    <n v="386.2"/>
    <m/>
    <n v="4"/>
    <x v="2"/>
    <m/>
    <m/>
    <m/>
    <m/>
  </r>
  <r>
    <s v="GD0769"/>
    <n v="27"/>
    <x v="1"/>
    <x v="0"/>
    <x v="30"/>
    <x v="1"/>
    <x v="4"/>
    <s v="Fortnite"/>
    <s v="Console"/>
    <n v="7.3"/>
    <m/>
    <s v="Good"/>
    <s v="Often"/>
    <s v="Average"/>
    <m/>
    <n v="7"/>
    <s v="Normal"/>
    <s v="Never"/>
    <b v="0"/>
    <b v="0"/>
    <b v="0"/>
    <b v="0"/>
    <b v="0"/>
    <n v="2.2000000000000002"/>
    <n v="9.3000000000000007"/>
    <n v="1"/>
    <n v="11.2"/>
    <n v="16.420000000000002"/>
    <m/>
    <n v="14"/>
    <x v="1"/>
    <m/>
    <m/>
    <m/>
    <m/>
  </r>
  <r>
    <s v="GD0770"/>
    <n v="21"/>
    <x v="1"/>
    <x v="0"/>
    <x v="108"/>
    <x v="1"/>
    <x v="1"/>
    <s v="League of Legends"/>
    <s v="Multi-platform"/>
    <n v="4"/>
    <m/>
    <s v="Fair"/>
    <s v="Sometimes"/>
    <s v="Poor"/>
    <n v="2.67"/>
    <n v="4"/>
    <s v="Anxious"/>
    <s v="Rarely"/>
    <b v="1"/>
    <b v="1"/>
    <b v="0"/>
    <b v="1"/>
    <b v="1"/>
    <n v="1.6"/>
    <n v="6.9"/>
    <n v="5"/>
    <n v="1.7"/>
    <n v="471.04"/>
    <m/>
    <n v="2"/>
    <x v="0"/>
    <m/>
    <m/>
    <m/>
    <m/>
  </r>
  <r>
    <s v="GD0771"/>
    <n v="16"/>
    <x v="0"/>
    <x v="1"/>
    <x v="49"/>
    <x v="1"/>
    <x v="6"/>
    <s v="StarCraft II"/>
    <s v="PC"/>
    <n v="5.0999999999999996"/>
    <m/>
    <s v="Poor"/>
    <s v="Always"/>
    <s v="Average"/>
    <n v="3.44"/>
    <m/>
    <s v="Euphoric"/>
    <s v="Often"/>
    <b v="0"/>
    <b v="0"/>
    <b v="0"/>
    <b v="1"/>
    <b v="0"/>
    <n v="0.8"/>
    <n v="9.1999999999999993"/>
    <n v="3"/>
    <n v="9.8000000000000007"/>
    <n v="89.56"/>
    <m/>
    <n v="2"/>
    <x v="1"/>
    <m/>
    <m/>
    <m/>
    <m/>
  </r>
  <r>
    <s v="GD0772"/>
    <n v="17"/>
    <x v="0"/>
    <x v="0"/>
    <x v="22"/>
    <x v="1"/>
    <x v="3"/>
    <s v="Skyrim"/>
    <s v="PC"/>
    <n v="8.8000000000000007"/>
    <m/>
    <s v="Good"/>
    <s v="Sometimes"/>
    <s v="Good"/>
    <n v="2.86"/>
    <m/>
    <s v="Normal"/>
    <s v="Never"/>
    <b v="0"/>
    <b v="0"/>
    <b v="0"/>
    <b v="0"/>
    <b v="0"/>
    <n v="0.8"/>
    <n v="8.5"/>
    <n v="1"/>
    <n v="9.5"/>
    <n v="13.73"/>
    <m/>
    <n v="5"/>
    <x v="1"/>
    <m/>
    <m/>
    <m/>
    <m/>
  </r>
  <r>
    <s v="GD0773"/>
    <n v="19"/>
    <x v="0"/>
    <x v="0"/>
    <x v="85"/>
    <x v="1"/>
    <x v="2"/>
    <s v="Valorant"/>
    <s v="Console"/>
    <n v="8.9"/>
    <m/>
    <s v="Good"/>
    <s v="Always"/>
    <s v="Good"/>
    <n v="1.03"/>
    <n v="10"/>
    <s v="Excited"/>
    <s v="Daily"/>
    <b v="0"/>
    <b v="0"/>
    <b v="0"/>
    <b v="0"/>
    <b v="0"/>
    <n v="0.1"/>
    <n v="9"/>
    <n v="1"/>
    <n v="14"/>
    <n v="38.090000000000003"/>
    <m/>
    <n v="3"/>
    <x v="1"/>
    <m/>
    <m/>
    <m/>
    <m/>
  </r>
  <r>
    <s v="GD0774"/>
    <n v="20"/>
    <x v="1"/>
    <x v="1"/>
    <x v="35"/>
    <x v="1"/>
    <x v="3"/>
    <s v="Elden Ring"/>
    <s v="Console"/>
    <n v="6.1"/>
    <m/>
    <s v="Fair"/>
    <s v="Often"/>
    <s v="Below Average"/>
    <n v="2.77"/>
    <n v="2"/>
    <s v="Normal"/>
    <s v="Sometimes"/>
    <b v="0"/>
    <b v="0"/>
    <b v="0"/>
    <b v="0"/>
    <b v="0"/>
    <n v="1.2"/>
    <n v="7.8"/>
    <n v="3"/>
    <n v="10.9"/>
    <n v="22.92"/>
    <m/>
    <n v="1"/>
    <x v="1"/>
    <m/>
    <m/>
    <m/>
    <m/>
  </r>
  <r>
    <s v="GD0775"/>
    <n v="18"/>
    <x v="0"/>
    <x v="0"/>
    <x v="54"/>
    <x v="1"/>
    <x v="6"/>
    <s v="Age of Empires"/>
    <s v="PC"/>
    <n v="6.4"/>
    <m/>
    <s v="Fair"/>
    <s v="Often"/>
    <s v="Below Average"/>
    <n v="2.76"/>
    <m/>
    <s v="Restless"/>
    <s v="Sometimes"/>
    <b v="0"/>
    <b v="0"/>
    <b v="0"/>
    <b v="0"/>
    <b v="0"/>
    <n v="1.8"/>
    <n v="5.7"/>
    <n v="3"/>
    <n v="8.8000000000000007"/>
    <n v="130.46"/>
    <m/>
    <n v="5"/>
    <x v="1"/>
    <m/>
    <m/>
    <m/>
    <m/>
  </r>
  <r>
    <s v="GD0776"/>
    <n v="21"/>
    <x v="1"/>
    <x v="2"/>
    <x v="36"/>
    <x v="1"/>
    <x v="6"/>
    <s v="StarCraft II"/>
    <s v="PC"/>
    <n v="5.0999999999999996"/>
    <m/>
    <s v="Poor"/>
    <s v="Rarely"/>
    <s v="Poor"/>
    <n v="1.63"/>
    <n v="6"/>
    <s v="Anxious"/>
    <s v="Sometimes"/>
    <b v="0"/>
    <b v="1"/>
    <b v="0"/>
    <b v="0"/>
    <b v="0"/>
    <n v="1.6"/>
    <n v="5.8"/>
    <n v="4"/>
    <n v="6.3"/>
    <n v="70.680000000000007"/>
    <m/>
    <n v="9"/>
    <x v="3"/>
    <m/>
    <m/>
    <m/>
    <m/>
  </r>
  <r>
    <s v="GD0777"/>
    <n v="21"/>
    <x v="1"/>
    <x v="1"/>
    <x v="111"/>
    <x v="1"/>
    <x v="0"/>
    <s v="PUBG Mobile"/>
    <s v="Console"/>
    <n v="3.7"/>
    <m/>
    <s v="Very Poor"/>
    <s v="Often"/>
    <s v="Average"/>
    <n v="1.1299999999999999"/>
    <n v="6"/>
    <s v="Depressed"/>
    <s v="Sometimes"/>
    <b v="1"/>
    <b v="0"/>
    <b v="0"/>
    <b v="1"/>
    <b v="1"/>
    <n v="0.1"/>
    <n v="5.7"/>
    <n v="8"/>
    <n v="0.7"/>
    <n v="394.92"/>
    <m/>
    <n v="2"/>
    <x v="2"/>
    <m/>
    <m/>
    <m/>
    <m/>
  </r>
  <r>
    <s v="GD0778"/>
    <n v="25"/>
    <x v="1"/>
    <x v="0"/>
    <x v="108"/>
    <x v="1"/>
    <x v="4"/>
    <s v="Fortnite"/>
    <s v="PC"/>
    <n v="5.0999999999999996"/>
    <m/>
    <s v="Poor"/>
    <s v="Often"/>
    <s v="Below Average"/>
    <m/>
    <n v="9"/>
    <s v="Anxious"/>
    <s v="Daily"/>
    <b v="0"/>
    <b v="0"/>
    <b v="1"/>
    <b v="0"/>
    <b v="1"/>
    <n v="2.8"/>
    <n v="6.6"/>
    <n v="6"/>
    <n v="5.5"/>
    <n v="141.47"/>
    <m/>
    <n v="5"/>
    <x v="2"/>
    <m/>
    <m/>
    <m/>
    <m/>
  </r>
  <r>
    <s v="GD0779"/>
    <n v="28"/>
    <x v="1"/>
    <x v="1"/>
    <x v="95"/>
    <x v="1"/>
    <x v="1"/>
    <s v="League of Legends"/>
    <s v="Console"/>
    <n v="4.8"/>
    <m/>
    <s v="Poor"/>
    <s v="Rarely"/>
    <s v="Failing"/>
    <m/>
    <n v="5"/>
    <s v="Irritable"/>
    <s v="Sometimes"/>
    <b v="0"/>
    <b v="0"/>
    <b v="1"/>
    <b v="0"/>
    <b v="1"/>
    <n v="4.2"/>
    <n v="7.4"/>
    <n v="6"/>
    <n v="2.5"/>
    <n v="442.42"/>
    <m/>
    <n v="5"/>
    <x v="2"/>
    <m/>
    <m/>
    <m/>
    <m/>
  </r>
  <r>
    <s v="GD0780"/>
    <n v="23"/>
    <x v="1"/>
    <x v="0"/>
    <x v="22"/>
    <x v="1"/>
    <x v="4"/>
    <s v="Fortnite"/>
    <s v="Mobile"/>
    <n v="7.5"/>
    <m/>
    <s v="Good"/>
    <s v="Sometimes"/>
    <s v="Good"/>
    <m/>
    <n v="6"/>
    <s v="Irritable"/>
    <s v="Never"/>
    <b v="0"/>
    <b v="0"/>
    <b v="0"/>
    <b v="0"/>
    <b v="0"/>
    <n v="0.4"/>
    <n v="8.9"/>
    <n v="1"/>
    <n v="13.9"/>
    <n v="36.340000000000003"/>
    <m/>
    <n v="9"/>
    <x v="1"/>
    <m/>
    <m/>
    <m/>
    <m/>
  </r>
  <r>
    <s v="GD0781"/>
    <n v="21"/>
    <x v="1"/>
    <x v="1"/>
    <x v="19"/>
    <x v="1"/>
    <x v="2"/>
    <s v="Valorant"/>
    <s v="PC"/>
    <n v="6.1"/>
    <m/>
    <s v="Good"/>
    <s v="Never"/>
    <s v="Poor"/>
    <n v="1.67"/>
    <n v="4"/>
    <s v="Normal"/>
    <s v="Rarely"/>
    <b v="0"/>
    <b v="1"/>
    <b v="0"/>
    <b v="1"/>
    <b v="1"/>
    <n v="4.0999999999999996"/>
    <n v="5.0999999999999996"/>
    <n v="2"/>
    <n v="9.6"/>
    <n v="120.62"/>
    <m/>
    <n v="11"/>
    <x v="3"/>
    <m/>
    <m/>
    <m/>
    <m/>
  </r>
  <r>
    <s v="GD0782"/>
    <n v="18"/>
    <x v="0"/>
    <x v="0"/>
    <x v="5"/>
    <x v="1"/>
    <x v="2"/>
    <s v="Valorant"/>
    <s v="PC"/>
    <n v="7.4"/>
    <m/>
    <s v="Good"/>
    <s v="Never"/>
    <s v="Excellent"/>
    <n v="1.79"/>
    <m/>
    <s v="Normal"/>
    <s v="Sometimes"/>
    <b v="0"/>
    <b v="0"/>
    <b v="0"/>
    <b v="0"/>
    <b v="0"/>
    <n v="0.3"/>
    <n v="10.6"/>
    <n v="2"/>
    <n v="11.1"/>
    <n v="39.9"/>
    <m/>
    <n v="3"/>
    <x v="1"/>
    <m/>
    <m/>
    <m/>
    <m/>
  </r>
  <r>
    <s v="GD0783"/>
    <n v="17"/>
    <x v="0"/>
    <x v="0"/>
    <x v="29"/>
    <x v="1"/>
    <x v="3"/>
    <s v="Cyberpunk 2077"/>
    <s v="Multi-platform"/>
    <n v="5.0999999999999996"/>
    <m/>
    <s v="Fair"/>
    <s v="Never"/>
    <s v="Below Average"/>
    <n v="1.44"/>
    <m/>
    <s v="Euphoric"/>
    <s v="Sometimes"/>
    <b v="0"/>
    <b v="0"/>
    <b v="0"/>
    <b v="0"/>
    <b v="0"/>
    <n v="2"/>
    <n v="6.1"/>
    <n v="3"/>
    <n v="10.6"/>
    <n v="15.54"/>
    <m/>
    <n v="3"/>
    <x v="1"/>
    <m/>
    <m/>
    <m/>
    <m/>
  </r>
  <r>
    <s v="GD0784"/>
    <n v="25"/>
    <x v="1"/>
    <x v="1"/>
    <x v="67"/>
    <x v="1"/>
    <x v="0"/>
    <s v="Clash of Clans"/>
    <s v="Console"/>
    <n v="5.2"/>
    <m/>
    <s v="Fair"/>
    <s v="Always"/>
    <s v="Poor"/>
    <m/>
    <n v="7"/>
    <s v="Euphoric"/>
    <s v="Often"/>
    <b v="1"/>
    <b v="1"/>
    <b v="1"/>
    <b v="0"/>
    <b v="0"/>
    <n v="8.1"/>
    <n v="3.2"/>
    <n v="6"/>
    <n v="2.2000000000000002"/>
    <n v="63.25"/>
    <m/>
    <n v="10"/>
    <x v="0"/>
    <m/>
    <m/>
    <m/>
    <m/>
  </r>
  <r>
    <s v="GD0785"/>
    <n v="20"/>
    <x v="1"/>
    <x v="0"/>
    <x v="1"/>
    <x v="1"/>
    <x v="4"/>
    <s v="Fortnite"/>
    <s v="Mobile"/>
    <n v="8.1"/>
    <m/>
    <s v="Good"/>
    <s v="Never"/>
    <s v="Excellent"/>
    <n v="3.26"/>
    <n v="1"/>
    <s v="Excited"/>
    <s v="Rarely"/>
    <b v="0"/>
    <b v="0"/>
    <b v="0"/>
    <b v="0"/>
    <b v="0"/>
    <n v="0.7"/>
    <n v="9.6999999999999993"/>
    <n v="1"/>
    <n v="8.9"/>
    <n v="34.880000000000003"/>
    <m/>
    <n v="1"/>
    <x v="1"/>
    <m/>
    <m/>
    <m/>
    <m/>
  </r>
  <r>
    <s v="GD0786"/>
    <n v="14"/>
    <x v="0"/>
    <x v="1"/>
    <x v="68"/>
    <x v="1"/>
    <x v="0"/>
    <s v="Candy Crush"/>
    <s v="Mobile"/>
    <n v="8.6999999999999993"/>
    <m/>
    <s v="Good"/>
    <s v="Always"/>
    <s v="Excellent"/>
    <n v="1.86"/>
    <m/>
    <s v="Angry"/>
    <s v="Sometimes"/>
    <b v="0"/>
    <b v="0"/>
    <b v="0"/>
    <b v="0"/>
    <b v="0"/>
    <n v="0.9"/>
    <n v="9.1999999999999993"/>
    <n v="1"/>
    <n v="12.3"/>
    <n v="0.78"/>
    <m/>
    <n v="4"/>
    <x v="1"/>
    <m/>
    <m/>
    <m/>
    <m/>
  </r>
  <r>
    <s v="GD0787"/>
    <n v="15"/>
    <x v="0"/>
    <x v="0"/>
    <x v="12"/>
    <x v="1"/>
    <x v="5"/>
    <s v="Elder Scrolls Online"/>
    <s v="Multi-platform"/>
    <n v="6.6"/>
    <m/>
    <s v="Fair"/>
    <s v="Often"/>
    <s v="Good"/>
    <n v="1.45"/>
    <m/>
    <s v="Euphoric"/>
    <s v="Sometimes"/>
    <b v="0"/>
    <b v="0"/>
    <b v="0"/>
    <b v="0"/>
    <b v="0"/>
    <n v="0.5"/>
    <n v="7.6"/>
    <n v="4"/>
    <n v="7.5"/>
    <n v="10.87"/>
    <m/>
    <n v="5"/>
    <x v="1"/>
    <m/>
    <m/>
    <m/>
    <m/>
  </r>
  <r>
    <s v="GD0788"/>
    <n v="22"/>
    <x v="1"/>
    <x v="0"/>
    <x v="55"/>
    <x v="1"/>
    <x v="3"/>
    <s v="Elden Ring"/>
    <s v="PC"/>
    <n v="6.8"/>
    <m/>
    <s v="Fair"/>
    <s v="Always"/>
    <s v="Good"/>
    <n v="3.89"/>
    <n v="6"/>
    <s v="Depressed"/>
    <s v="Often"/>
    <b v="0"/>
    <b v="0"/>
    <b v="0"/>
    <b v="0"/>
    <b v="0"/>
    <n v="1.9"/>
    <n v="6.1"/>
    <n v="3"/>
    <n v="6.5"/>
    <n v="44.8"/>
    <m/>
    <n v="9"/>
    <x v="1"/>
    <m/>
    <m/>
    <m/>
    <m/>
  </r>
  <r>
    <s v="GD0789"/>
    <n v="19"/>
    <x v="0"/>
    <x v="0"/>
    <x v="39"/>
    <x v="1"/>
    <x v="6"/>
    <s v="Civilization VI"/>
    <s v="Console"/>
    <n v="3.8"/>
    <m/>
    <s v="Fair"/>
    <s v="Always"/>
    <s v="Excellent"/>
    <n v="3.08"/>
    <n v="1"/>
    <s v="Euphoric"/>
    <s v="Never"/>
    <b v="1"/>
    <b v="1"/>
    <b v="0"/>
    <b v="0"/>
    <b v="1"/>
    <n v="3.3"/>
    <n v="7"/>
    <n v="2"/>
    <n v="9.1999999999999993"/>
    <n v="61.59"/>
    <m/>
    <n v="8"/>
    <x v="2"/>
    <m/>
    <m/>
    <m/>
    <m/>
  </r>
  <r>
    <s v="GD0790"/>
    <n v="15"/>
    <x v="0"/>
    <x v="1"/>
    <x v="36"/>
    <x v="1"/>
    <x v="3"/>
    <s v="Skyrim"/>
    <s v="Multi-platform"/>
    <n v="4.3"/>
    <m/>
    <s v="Good"/>
    <s v="Often"/>
    <s v="Poor"/>
    <n v="3.4"/>
    <m/>
    <s v="Euphoric"/>
    <s v="Often"/>
    <b v="0"/>
    <b v="0"/>
    <b v="0"/>
    <b v="1"/>
    <b v="1"/>
    <n v="0.7"/>
    <n v="7.3"/>
    <n v="5"/>
    <n v="4.5999999999999996"/>
    <n v="80.06"/>
    <m/>
    <n v="4"/>
    <x v="1"/>
    <m/>
    <m/>
    <m/>
    <m/>
  </r>
  <r>
    <s v="GD0791"/>
    <n v="20"/>
    <x v="1"/>
    <x v="0"/>
    <x v="39"/>
    <x v="1"/>
    <x v="6"/>
    <s v="Civilization VI"/>
    <s v="PC"/>
    <n v="3.6"/>
    <m/>
    <s v="Very Poor"/>
    <s v="Never"/>
    <s v="Poor"/>
    <n v="1.4"/>
    <n v="3"/>
    <s v="Angry"/>
    <s v="Often"/>
    <b v="0"/>
    <b v="1"/>
    <b v="0"/>
    <b v="1"/>
    <b v="1"/>
    <n v="4"/>
    <n v="7.6"/>
    <n v="5"/>
    <n v="7.2"/>
    <n v="23.82"/>
    <m/>
    <n v="3"/>
    <x v="3"/>
    <m/>
    <m/>
    <m/>
    <m/>
  </r>
  <r>
    <s v="GD0792"/>
    <n v="34"/>
    <x v="2"/>
    <x v="0"/>
    <x v="8"/>
    <x v="1"/>
    <x v="0"/>
    <s v="PUBG Mobile"/>
    <s v="Multi-platform"/>
    <n v="8.3000000000000007"/>
    <m/>
    <s v="Good"/>
    <s v="Often"/>
    <s v="Good"/>
    <m/>
    <n v="9"/>
    <s v="Restless"/>
    <s v="Never"/>
    <b v="0"/>
    <b v="0"/>
    <b v="0"/>
    <b v="0"/>
    <b v="0"/>
    <n v="0.3"/>
    <n v="10.4"/>
    <n v="1"/>
    <n v="13.5"/>
    <n v="48.31"/>
    <m/>
    <n v="16"/>
    <x v="1"/>
    <m/>
    <m/>
    <m/>
    <m/>
  </r>
  <r>
    <s v="GD0793"/>
    <n v="18"/>
    <x v="0"/>
    <x v="1"/>
    <x v="97"/>
    <x v="1"/>
    <x v="5"/>
    <s v="Final Fantasy XIV"/>
    <s v="Console"/>
    <n v="6"/>
    <m/>
    <s v="Very Poor"/>
    <s v="Often"/>
    <s v="Below Average"/>
    <n v="2.87"/>
    <m/>
    <s v="Depressed"/>
    <s v="Sometimes"/>
    <b v="1"/>
    <b v="1"/>
    <b v="0"/>
    <b v="1"/>
    <b v="1"/>
    <n v="6.7"/>
    <n v="6.6"/>
    <n v="5"/>
    <n v="2.6"/>
    <n v="486.6"/>
    <m/>
    <n v="1"/>
    <x v="0"/>
    <m/>
    <m/>
    <m/>
    <m/>
  </r>
  <r>
    <s v="GD0794"/>
    <n v="16"/>
    <x v="0"/>
    <x v="1"/>
    <x v="44"/>
    <x v="1"/>
    <x v="4"/>
    <s v="Fortnite"/>
    <s v="Console"/>
    <n v="6"/>
    <m/>
    <s v="Fair"/>
    <s v="Always"/>
    <s v="Good"/>
    <n v="1.35"/>
    <m/>
    <s v="Anxious"/>
    <s v="Never"/>
    <b v="0"/>
    <b v="1"/>
    <b v="0"/>
    <b v="0"/>
    <b v="1"/>
    <n v="0.5"/>
    <n v="6"/>
    <n v="3"/>
    <n v="5.5"/>
    <n v="134.04"/>
    <m/>
    <n v="5"/>
    <x v="3"/>
    <m/>
    <m/>
    <m/>
    <m/>
  </r>
  <r>
    <s v="GD0795"/>
    <n v="17"/>
    <x v="0"/>
    <x v="1"/>
    <x v="26"/>
    <x v="1"/>
    <x v="6"/>
    <s v="Civilization VI"/>
    <s v="PC"/>
    <n v="5"/>
    <m/>
    <s v="Good"/>
    <s v="Never"/>
    <s v="Good"/>
    <n v="3.27"/>
    <m/>
    <s v="Irritable"/>
    <s v="Often"/>
    <b v="0"/>
    <b v="0"/>
    <b v="0"/>
    <b v="1"/>
    <b v="0"/>
    <n v="3.1"/>
    <n v="7.9"/>
    <n v="3"/>
    <n v="10.199999999999999"/>
    <n v="22.32"/>
    <m/>
    <n v="7"/>
    <x v="1"/>
    <m/>
    <m/>
    <m/>
    <m/>
  </r>
  <r>
    <s v="GD0796"/>
    <n v="20"/>
    <x v="1"/>
    <x v="1"/>
    <x v="37"/>
    <x v="1"/>
    <x v="6"/>
    <s v="StarCraft II"/>
    <s v="PC"/>
    <n v="6"/>
    <m/>
    <s v="Good"/>
    <s v="Often"/>
    <s v="Below Average"/>
    <n v="1.1599999999999999"/>
    <n v="1"/>
    <s v="Normal"/>
    <s v="Rarely"/>
    <b v="0"/>
    <b v="0"/>
    <b v="0"/>
    <b v="0"/>
    <b v="0"/>
    <n v="1.3"/>
    <n v="8.9"/>
    <n v="3"/>
    <n v="8.6"/>
    <n v="28.45"/>
    <m/>
    <n v="6"/>
    <x v="1"/>
    <m/>
    <m/>
    <m/>
    <m/>
  </r>
  <r>
    <s v="GD0797"/>
    <n v="18"/>
    <x v="0"/>
    <x v="0"/>
    <x v="45"/>
    <x v="1"/>
    <x v="4"/>
    <s v="Apex Legends"/>
    <s v="Multi-platform"/>
    <n v="4.4000000000000004"/>
    <m/>
    <s v="Very Poor"/>
    <s v="Always"/>
    <s v="Below Average"/>
    <n v="1.49"/>
    <m/>
    <s v="Anxious"/>
    <s v="Rarely"/>
    <b v="1"/>
    <b v="1"/>
    <b v="0"/>
    <b v="1"/>
    <b v="1"/>
    <n v="0.4"/>
    <n v="6.3"/>
    <n v="4"/>
    <n v="6.8"/>
    <n v="94.86"/>
    <m/>
    <n v="2"/>
    <x v="2"/>
    <m/>
    <m/>
    <m/>
    <m/>
  </r>
  <r>
    <s v="GD0798"/>
    <n v="20"/>
    <x v="1"/>
    <x v="0"/>
    <x v="68"/>
    <x v="1"/>
    <x v="5"/>
    <s v="Elder Scrolls Online"/>
    <s v="Mobile"/>
    <n v="7.7"/>
    <m/>
    <s v="Good"/>
    <s v="Sometimes"/>
    <s v="Excellent"/>
    <n v="2.13"/>
    <n v="7"/>
    <s v="Euphoric"/>
    <s v="Never"/>
    <b v="0"/>
    <b v="0"/>
    <b v="0"/>
    <b v="0"/>
    <b v="0"/>
    <n v="0.6"/>
    <n v="8.6999999999999993"/>
    <n v="1"/>
    <n v="8.9"/>
    <n v="41.86"/>
    <m/>
    <n v="8"/>
    <x v="1"/>
    <m/>
    <m/>
    <m/>
    <m/>
  </r>
  <r>
    <s v="GD0799"/>
    <n v="22"/>
    <x v="1"/>
    <x v="1"/>
    <x v="84"/>
    <x v="1"/>
    <x v="3"/>
    <s v="Cyberpunk 2077"/>
    <s v="Multi-platform"/>
    <n v="4"/>
    <m/>
    <s v="Poor"/>
    <s v="Sometimes"/>
    <s v="Below Average"/>
    <n v="3.55"/>
    <n v="4"/>
    <s v="Anxious"/>
    <s v="Daily"/>
    <b v="1"/>
    <b v="0"/>
    <b v="0"/>
    <b v="1"/>
    <b v="1"/>
    <n v="3"/>
    <n v="4.5999999999999996"/>
    <n v="4"/>
    <n v="8.1"/>
    <n v="59.16"/>
    <m/>
    <n v="11"/>
    <x v="3"/>
    <m/>
    <m/>
    <m/>
    <m/>
  </r>
  <r>
    <s v="GD0800"/>
    <n v="27"/>
    <x v="1"/>
    <x v="0"/>
    <x v="2"/>
    <x v="1"/>
    <x v="5"/>
    <s v="World of Warcraft"/>
    <s v="Mobile"/>
    <n v="3.3"/>
    <m/>
    <s v="Poor"/>
    <s v="Often"/>
    <s v="Good"/>
    <m/>
    <n v="5"/>
    <s v="Withdrawn"/>
    <s v="Often"/>
    <b v="1"/>
    <b v="0"/>
    <b v="0"/>
    <b v="1"/>
    <b v="1"/>
    <n v="2.2000000000000002"/>
    <n v="4.5999999999999996"/>
    <n v="4"/>
    <n v="2.8"/>
    <n v="114.21"/>
    <m/>
    <n v="15"/>
    <x v="3"/>
    <m/>
    <m/>
    <m/>
    <m/>
  </r>
  <r>
    <s v="GD0801"/>
    <n v="17"/>
    <x v="0"/>
    <x v="0"/>
    <x v="28"/>
    <x v="1"/>
    <x v="5"/>
    <s v="World of Warcraft"/>
    <s v="Mobile"/>
    <n v="5.8"/>
    <m/>
    <s v="Very Poor"/>
    <s v="Never"/>
    <s v="Below Average"/>
    <n v="3.68"/>
    <m/>
    <s v="Anxious"/>
    <s v="Often"/>
    <b v="1"/>
    <b v="0"/>
    <b v="0"/>
    <b v="1"/>
    <b v="1"/>
    <n v="0.3"/>
    <n v="5.3"/>
    <n v="5"/>
    <n v="6.4"/>
    <n v="59.22"/>
    <m/>
    <n v="4"/>
    <x v="3"/>
    <m/>
    <m/>
    <m/>
    <m/>
  </r>
  <r>
    <s v="GD0802"/>
    <n v="19"/>
    <x v="0"/>
    <x v="0"/>
    <x v="82"/>
    <x v="1"/>
    <x v="3"/>
    <s v="Cyberpunk 2077"/>
    <s v="PC"/>
    <n v="5.5"/>
    <m/>
    <s v="Poor"/>
    <s v="Never"/>
    <s v="Average"/>
    <n v="2.2599999999999998"/>
    <n v="2"/>
    <s v="Angry"/>
    <s v="Rarely"/>
    <b v="0"/>
    <b v="0"/>
    <b v="0"/>
    <b v="0"/>
    <b v="0"/>
    <n v="0.2"/>
    <n v="5.6"/>
    <n v="3"/>
    <n v="9.1999999999999993"/>
    <n v="112.89"/>
    <m/>
    <n v="6"/>
    <x v="1"/>
    <m/>
    <m/>
    <m/>
    <m/>
  </r>
  <r>
    <s v="GD0803"/>
    <n v="17"/>
    <x v="0"/>
    <x v="2"/>
    <x v="47"/>
    <x v="1"/>
    <x v="3"/>
    <s v="Skyrim"/>
    <s v="Multi-platform"/>
    <n v="6.3"/>
    <m/>
    <s v="Very Poor"/>
    <s v="Often"/>
    <s v="Excellent"/>
    <n v="1.82"/>
    <m/>
    <s v="Depressed"/>
    <s v="Often"/>
    <b v="0"/>
    <b v="1"/>
    <b v="0"/>
    <b v="1"/>
    <b v="0"/>
    <n v="2.5"/>
    <n v="7.3"/>
    <n v="3"/>
    <n v="9.9"/>
    <n v="148.83000000000001"/>
    <m/>
    <n v="5"/>
    <x v="3"/>
    <m/>
    <m/>
    <m/>
    <m/>
  </r>
  <r>
    <s v="GD0804"/>
    <n v="15"/>
    <x v="0"/>
    <x v="0"/>
    <x v="22"/>
    <x v="1"/>
    <x v="1"/>
    <s v="Mobile Legends"/>
    <s v="Console"/>
    <n v="8.4"/>
    <m/>
    <s v="Good"/>
    <s v="Sometimes"/>
    <s v="Below Average"/>
    <n v="3.17"/>
    <m/>
    <s v="Normal"/>
    <s v="Rarely"/>
    <b v="0"/>
    <b v="0"/>
    <b v="0"/>
    <b v="0"/>
    <b v="0"/>
    <n v="1"/>
    <n v="7.2"/>
    <n v="3"/>
    <n v="11.9"/>
    <n v="28.03"/>
    <m/>
    <n v="4"/>
    <x v="1"/>
    <m/>
    <m/>
    <m/>
    <m/>
  </r>
  <r>
    <s v="GD0805"/>
    <n v="15"/>
    <x v="0"/>
    <x v="0"/>
    <x v="24"/>
    <x v="1"/>
    <x v="6"/>
    <s v="StarCraft II"/>
    <s v="Mobile"/>
    <n v="5.3"/>
    <m/>
    <s v="Poor"/>
    <s v="Always"/>
    <s v="Below Average"/>
    <n v="2.36"/>
    <m/>
    <s v="Anxious"/>
    <s v="Often"/>
    <b v="0"/>
    <b v="0"/>
    <b v="0"/>
    <b v="1"/>
    <b v="0"/>
    <n v="1.6"/>
    <n v="5.8"/>
    <n v="5"/>
    <n v="4.5999999999999996"/>
    <n v="88.12"/>
    <m/>
    <n v="1"/>
    <x v="1"/>
    <m/>
    <m/>
    <m/>
    <m/>
  </r>
  <r>
    <s v="GD0806"/>
    <n v="22"/>
    <x v="1"/>
    <x v="0"/>
    <x v="92"/>
    <x v="1"/>
    <x v="2"/>
    <s v="Overwatch"/>
    <s v="Console"/>
    <n v="4.8"/>
    <m/>
    <s v="Very Poor"/>
    <s v="Always"/>
    <s v="Poor"/>
    <n v="1.41"/>
    <n v="6"/>
    <s v="Irritable"/>
    <s v="Often"/>
    <b v="1"/>
    <b v="1"/>
    <b v="1"/>
    <b v="1"/>
    <b v="0"/>
    <n v="3.1"/>
    <n v="4.9000000000000004"/>
    <n v="6"/>
    <n v="0.1"/>
    <n v="443.88"/>
    <m/>
    <n v="11"/>
    <x v="0"/>
    <m/>
    <m/>
    <m/>
    <m/>
  </r>
  <r>
    <s v="GD0807"/>
    <n v="22"/>
    <x v="1"/>
    <x v="0"/>
    <x v="110"/>
    <x v="1"/>
    <x v="3"/>
    <s v="Cyberpunk 2077"/>
    <s v="PC"/>
    <n v="3.2"/>
    <m/>
    <s v="Very Poor"/>
    <s v="Always"/>
    <s v="Below Average"/>
    <n v="2.8"/>
    <n v="5"/>
    <s v="Angry"/>
    <s v="Often"/>
    <b v="0"/>
    <b v="1"/>
    <b v="0"/>
    <b v="1"/>
    <b v="0"/>
    <n v="2.6"/>
    <n v="8.1999999999999993"/>
    <n v="4"/>
    <n v="4.5999999999999996"/>
    <n v="20.41"/>
    <m/>
    <n v="6"/>
    <x v="3"/>
    <m/>
    <m/>
    <m/>
    <m/>
  </r>
  <r>
    <s v="GD0808"/>
    <n v="27"/>
    <x v="1"/>
    <x v="0"/>
    <x v="26"/>
    <x v="1"/>
    <x v="4"/>
    <s v="PUBG"/>
    <s v="Mobile"/>
    <n v="5.9"/>
    <m/>
    <s v="Poor"/>
    <s v="Never"/>
    <s v="Below Average"/>
    <m/>
    <n v="6"/>
    <s v="Depressed"/>
    <s v="Rarely"/>
    <b v="0"/>
    <b v="0"/>
    <b v="0"/>
    <b v="1"/>
    <b v="0"/>
    <n v="1.5"/>
    <n v="5.9"/>
    <n v="1"/>
    <n v="11.6"/>
    <n v="121.89"/>
    <m/>
    <n v="6"/>
    <x v="1"/>
    <m/>
    <m/>
    <m/>
    <m/>
  </r>
  <r>
    <s v="GD0809"/>
    <n v="16"/>
    <x v="0"/>
    <x v="0"/>
    <x v="54"/>
    <x v="1"/>
    <x v="0"/>
    <s v="PUBG Mobile"/>
    <s v="PC"/>
    <n v="6.1"/>
    <m/>
    <s v="Fair"/>
    <s v="Sometimes"/>
    <s v="Below Average"/>
    <n v="3.18"/>
    <m/>
    <s v="Anxious"/>
    <s v="Rarely"/>
    <b v="0"/>
    <b v="0"/>
    <b v="0"/>
    <b v="1"/>
    <b v="0"/>
    <n v="1.5"/>
    <n v="8.8000000000000007"/>
    <n v="2"/>
    <n v="9.6999999999999993"/>
    <n v="90.52"/>
    <m/>
    <n v="2"/>
    <x v="1"/>
    <m/>
    <m/>
    <m/>
    <m/>
  </r>
  <r>
    <s v="GD0810"/>
    <n v="22"/>
    <x v="1"/>
    <x v="0"/>
    <x v="49"/>
    <x v="1"/>
    <x v="6"/>
    <s v="StarCraft II"/>
    <s v="Mobile"/>
    <n v="5.3"/>
    <m/>
    <s v="Poor"/>
    <s v="Often"/>
    <s v="Below Average"/>
    <n v="3.98"/>
    <n v="9"/>
    <s v="Angry"/>
    <s v="Often"/>
    <b v="0"/>
    <b v="0"/>
    <b v="0"/>
    <b v="1"/>
    <b v="0"/>
    <n v="0.4"/>
    <n v="8.9"/>
    <n v="5"/>
    <n v="8.9"/>
    <n v="40.15"/>
    <m/>
    <n v="6"/>
    <x v="1"/>
    <m/>
    <m/>
    <m/>
    <m/>
  </r>
  <r>
    <s v="GD0811"/>
    <n v="14"/>
    <x v="0"/>
    <x v="0"/>
    <x v="97"/>
    <x v="1"/>
    <x v="3"/>
    <s v="Cyberpunk 2077"/>
    <s v="PC"/>
    <n v="5.0999999999999996"/>
    <m/>
    <s v="Poor"/>
    <s v="Always"/>
    <s v="Below Average"/>
    <n v="2.0699999999999998"/>
    <m/>
    <s v="Euphoric"/>
    <s v="Sometimes"/>
    <b v="0"/>
    <b v="1"/>
    <b v="1"/>
    <b v="1"/>
    <b v="1"/>
    <n v="1.5"/>
    <n v="7.2"/>
    <n v="6"/>
    <n v="5.2"/>
    <n v="259.52"/>
    <m/>
    <n v="3"/>
    <x v="0"/>
    <m/>
    <m/>
    <m/>
    <m/>
  </r>
  <r>
    <s v="GD0812"/>
    <n v="19"/>
    <x v="0"/>
    <x v="0"/>
    <x v="43"/>
    <x v="1"/>
    <x v="3"/>
    <s v="Cyberpunk 2077"/>
    <s v="Multi-platform"/>
    <n v="7.4"/>
    <m/>
    <s v="Poor"/>
    <s v="Sometimes"/>
    <s v="Good"/>
    <n v="2.27"/>
    <n v="3"/>
    <s v="Normal"/>
    <s v="Rarely"/>
    <b v="0"/>
    <b v="0"/>
    <b v="0"/>
    <b v="0"/>
    <b v="0"/>
    <n v="0.5"/>
    <n v="9.3000000000000007"/>
    <n v="1"/>
    <n v="11.2"/>
    <n v="16.37"/>
    <m/>
    <n v="5"/>
    <x v="1"/>
    <m/>
    <m/>
    <m/>
    <m/>
  </r>
  <r>
    <s v="GD0813"/>
    <n v="18"/>
    <x v="0"/>
    <x v="0"/>
    <x v="4"/>
    <x v="1"/>
    <x v="0"/>
    <s v="Genshin Impact"/>
    <s v="PC"/>
    <n v="5.2"/>
    <m/>
    <s v="Insomnia"/>
    <s v="Always"/>
    <s v="Failing"/>
    <n v="3.29"/>
    <m/>
    <s v="Anxious"/>
    <s v="Often"/>
    <b v="1"/>
    <b v="0"/>
    <b v="0"/>
    <b v="0"/>
    <b v="1"/>
    <n v="0.2"/>
    <n v="6.8"/>
    <n v="6"/>
    <n v="7.9"/>
    <n v="26.83"/>
    <m/>
    <n v="7"/>
    <x v="3"/>
    <m/>
    <m/>
    <m/>
    <m/>
  </r>
  <r>
    <s v="GD0814"/>
    <n v="24"/>
    <x v="1"/>
    <x v="0"/>
    <x v="20"/>
    <x v="1"/>
    <x v="5"/>
    <s v="Final Fantasy XIV"/>
    <s v="PC"/>
    <n v="4.7"/>
    <m/>
    <s v="Very Poor"/>
    <s v="Never"/>
    <s v="Good"/>
    <m/>
    <n v="4"/>
    <s v="Restless"/>
    <s v="Often"/>
    <b v="1"/>
    <b v="1"/>
    <b v="0"/>
    <b v="1"/>
    <b v="1"/>
    <n v="5"/>
    <n v="4.3"/>
    <n v="7"/>
    <n v="2.8"/>
    <n v="391.6"/>
    <m/>
    <n v="5"/>
    <x v="0"/>
    <m/>
    <m/>
    <m/>
    <m/>
  </r>
  <r>
    <s v="GD0815"/>
    <n v="25"/>
    <x v="1"/>
    <x v="0"/>
    <x v="35"/>
    <x v="1"/>
    <x v="3"/>
    <s v="Elden Ring"/>
    <s v="Console"/>
    <n v="5.3"/>
    <m/>
    <s v="Good"/>
    <s v="Often"/>
    <s v="Excellent"/>
    <m/>
    <n v="5"/>
    <s v="Restless"/>
    <s v="Often"/>
    <b v="0"/>
    <b v="0"/>
    <b v="0"/>
    <b v="0"/>
    <b v="0"/>
    <n v="1.1000000000000001"/>
    <n v="8.5"/>
    <n v="2"/>
    <n v="12.8"/>
    <n v="48.39"/>
    <m/>
    <n v="13"/>
    <x v="1"/>
    <m/>
    <m/>
    <m/>
    <m/>
  </r>
  <r>
    <s v="GD0816"/>
    <n v="18"/>
    <x v="0"/>
    <x v="0"/>
    <x v="79"/>
    <x v="1"/>
    <x v="6"/>
    <s v="Civilization VI"/>
    <s v="Console"/>
    <n v="5.7"/>
    <m/>
    <s v="Poor"/>
    <s v="Often"/>
    <s v="Below Average"/>
    <n v="3.77"/>
    <m/>
    <s v="Restless"/>
    <s v="Sometimes"/>
    <b v="1"/>
    <b v="1"/>
    <b v="0"/>
    <b v="0"/>
    <b v="0"/>
    <n v="3.6"/>
    <n v="7.5"/>
    <n v="3"/>
    <n v="9.4"/>
    <n v="146.82"/>
    <m/>
    <n v="7"/>
    <x v="2"/>
    <m/>
    <m/>
    <m/>
    <m/>
  </r>
  <r>
    <s v="GD0817"/>
    <n v="27"/>
    <x v="1"/>
    <x v="0"/>
    <x v="44"/>
    <x v="1"/>
    <x v="1"/>
    <s v="Dota 2"/>
    <s v="Multi-platform"/>
    <n v="6.3"/>
    <m/>
    <s v="Very Poor"/>
    <s v="Rarely"/>
    <s v="Excellent"/>
    <m/>
    <n v="10"/>
    <s v="Euphoric"/>
    <s v="Daily"/>
    <b v="0"/>
    <b v="1"/>
    <b v="0"/>
    <b v="1"/>
    <b v="1"/>
    <n v="1.1000000000000001"/>
    <n v="5.6"/>
    <n v="3"/>
    <n v="9.4"/>
    <n v="107.64"/>
    <m/>
    <n v="10"/>
    <x v="3"/>
    <m/>
    <m/>
    <m/>
    <m/>
  </r>
  <r>
    <s v="GD0818"/>
    <n v="19"/>
    <x v="0"/>
    <x v="0"/>
    <x v="91"/>
    <x v="1"/>
    <x v="0"/>
    <s v="Clash of Clans"/>
    <s v="Console"/>
    <n v="5.3"/>
    <m/>
    <s v="Insomnia"/>
    <s v="Sometimes"/>
    <s v="Failing"/>
    <n v="1.88"/>
    <n v="9"/>
    <s v="Euphoric"/>
    <s v="Often"/>
    <b v="0"/>
    <b v="0"/>
    <b v="0"/>
    <b v="1"/>
    <b v="0"/>
    <n v="1.4"/>
    <n v="4.7"/>
    <n v="6"/>
    <n v="0"/>
    <n v="341.34"/>
    <m/>
    <n v="1"/>
    <x v="3"/>
    <m/>
    <m/>
    <m/>
    <m/>
  </r>
  <r>
    <s v="GD0819"/>
    <n v="18"/>
    <x v="0"/>
    <x v="0"/>
    <x v="129"/>
    <x v="1"/>
    <x v="1"/>
    <s v="Dota 2"/>
    <s v="Multi-platform"/>
    <n v="5.7"/>
    <m/>
    <s v="Good"/>
    <s v="Always"/>
    <s v="Average"/>
    <n v="1.03"/>
    <m/>
    <s v="Restless"/>
    <s v="Daily"/>
    <b v="1"/>
    <b v="1"/>
    <b v="0"/>
    <b v="1"/>
    <b v="0"/>
    <n v="0.7"/>
    <n v="3.6"/>
    <n v="7"/>
    <n v="1.7"/>
    <n v="97.11"/>
    <m/>
    <n v="8"/>
    <x v="0"/>
    <m/>
    <m/>
    <m/>
    <m/>
  </r>
  <r>
    <s v="GD0820"/>
    <n v="18"/>
    <x v="0"/>
    <x v="0"/>
    <x v="19"/>
    <x v="1"/>
    <x v="3"/>
    <s v="Skyrim"/>
    <s v="Multi-platform"/>
    <n v="6"/>
    <m/>
    <s v="Fair"/>
    <s v="Often"/>
    <s v="Average"/>
    <n v="3.41"/>
    <m/>
    <s v="Irritable"/>
    <s v="Rarely"/>
    <b v="0"/>
    <b v="1"/>
    <b v="0"/>
    <b v="1"/>
    <b v="0"/>
    <n v="0.2"/>
    <n v="6.2"/>
    <n v="3"/>
    <n v="5.8"/>
    <n v="147.18"/>
    <m/>
    <n v="5"/>
    <x v="3"/>
    <m/>
    <m/>
    <m/>
    <m/>
  </r>
  <r>
    <s v="GD0821"/>
    <n v="21"/>
    <x v="1"/>
    <x v="0"/>
    <x v="85"/>
    <x v="1"/>
    <x v="0"/>
    <s v="Candy Crush"/>
    <s v="Console"/>
    <n v="7.7"/>
    <m/>
    <s v="Fair"/>
    <s v="Often"/>
    <s v="Excellent"/>
    <n v="3.16"/>
    <n v="1"/>
    <s v="Euphoric"/>
    <s v="Often"/>
    <b v="0"/>
    <b v="0"/>
    <b v="0"/>
    <b v="0"/>
    <b v="0"/>
    <n v="0"/>
    <n v="9.8000000000000007"/>
    <n v="1"/>
    <n v="14.8"/>
    <n v="0.44"/>
    <m/>
    <n v="5"/>
    <x v="1"/>
    <m/>
    <m/>
    <m/>
    <m/>
  </r>
  <r>
    <s v="GD0822"/>
    <n v="23"/>
    <x v="1"/>
    <x v="1"/>
    <x v="38"/>
    <x v="1"/>
    <x v="1"/>
    <s v="Dota 2"/>
    <s v="Mobile"/>
    <n v="5.3"/>
    <m/>
    <s v="Good"/>
    <s v="Sometimes"/>
    <s v="Good"/>
    <m/>
    <n v="10"/>
    <s v="Anxious"/>
    <s v="Daily"/>
    <b v="0"/>
    <b v="1"/>
    <b v="0"/>
    <b v="0"/>
    <b v="0"/>
    <n v="2.7"/>
    <n v="8.6"/>
    <n v="3"/>
    <n v="5.9"/>
    <n v="130.71"/>
    <m/>
    <n v="5"/>
    <x v="3"/>
    <m/>
    <m/>
    <m/>
    <m/>
  </r>
  <r>
    <s v="GD0823"/>
    <n v="22"/>
    <x v="1"/>
    <x v="1"/>
    <x v="59"/>
    <x v="1"/>
    <x v="2"/>
    <s v="Call of Duty"/>
    <s v="Multi-platform"/>
    <n v="5.4"/>
    <m/>
    <s v="Very Poor"/>
    <s v="Often"/>
    <s v="Poor"/>
    <n v="3.56"/>
    <n v="10"/>
    <s v="Restless"/>
    <s v="Often"/>
    <b v="1"/>
    <b v="1"/>
    <b v="1"/>
    <b v="1"/>
    <b v="1"/>
    <n v="1.5"/>
    <n v="3.7"/>
    <n v="6"/>
    <n v="4"/>
    <n v="377.17"/>
    <m/>
    <n v="1"/>
    <x v="0"/>
    <m/>
    <m/>
    <m/>
    <m/>
  </r>
  <r>
    <s v="GD0824"/>
    <n v="20"/>
    <x v="1"/>
    <x v="0"/>
    <x v="47"/>
    <x v="1"/>
    <x v="1"/>
    <s v="Mobile Legends"/>
    <s v="Multi-platform"/>
    <n v="5.9"/>
    <m/>
    <s v="Fair"/>
    <s v="Never"/>
    <s v="Poor"/>
    <n v="3.33"/>
    <n v="9"/>
    <s v="Anxious"/>
    <s v="Rarely"/>
    <b v="0"/>
    <b v="1"/>
    <b v="0"/>
    <b v="1"/>
    <b v="1"/>
    <n v="1.9"/>
    <n v="8"/>
    <n v="4"/>
    <n v="9"/>
    <n v="141.66999999999999"/>
    <m/>
    <n v="1"/>
    <x v="3"/>
    <m/>
    <m/>
    <m/>
    <m/>
  </r>
  <r>
    <s v="GD0825"/>
    <n v="20"/>
    <x v="1"/>
    <x v="0"/>
    <x v="38"/>
    <x v="1"/>
    <x v="4"/>
    <s v="Fortnite"/>
    <s v="PC"/>
    <n v="5.6"/>
    <m/>
    <s v="Good"/>
    <s v="Always"/>
    <s v="Good"/>
    <n v="2.19"/>
    <n v="3"/>
    <s v="Euphoric"/>
    <s v="Daily"/>
    <b v="0"/>
    <b v="1"/>
    <b v="0"/>
    <b v="1"/>
    <b v="1"/>
    <n v="0.2"/>
    <n v="8.5"/>
    <n v="3"/>
    <n v="10"/>
    <n v="142.94999999999999"/>
    <m/>
    <n v="6"/>
    <x v="3"/>
    <m/>
    <m/>
    <m/>
    <m/>
  </r>
  <r>
    <s v="GD0826"/>
    <n v="19"/>
    <x v="0"/>
    <x v="1"/>
    <x v="45"/>
    <x v="1"/>
    <x v="1"/>
    <s v="Mobile Legends"/>
    <s v="Mobile"/>
    <n v="5.0999999999999996"/>
    <m/>
    <s v="Very Poor"/>
    <s v="Never"/>
    <s v="Average"/>
    <n v="1.38"/>
    <n v="6"/>
    <s v="Anxious"/>
    <s v="Daily"/>
    <b v="1"/>
    <b v="0"/>
    <b v="0"/>
    <b v="1"/>
    <b v="1"/>
    <n v="1"/>
    <n v="5.2"/>
    <n v="3"/>
    <n v="9.6"/>
    <n v="83.29"/>
    <m/>
    <n v="6"/>
    <x v="3"/>
    <m/>
    <m/>
    <m/>
    <m/>
  </r>
  <r>
    <s v="GD0827"/>
    <n v="30"/>
    <x v="1"/>
    <x v="0"/>
    <x v="39"/>
    <x v="1"/>
    <x v="4"/>
    <s v="PUBG"/>
    <s v="Console"/>
    <n v="3.7"/>
    <m/>
    <s v="Fair"/>
    <s v="Often"/>
    <s v="Below Average"/>
    <m/>
    <n v="1"/>
    <s v="Anxious"/>
    <s v="Daily"/>
    <b v="1"/>
    <b v="1"/>
    <b v="0"/>
    <b v="0"/>
    <b v="1"/>
    <n v="4.7"/>
    <n v="8.5"/>
    <n v="4"/>
    <n v="6.8"/>
    <n v="44.15"/>
    <m/>
    <n v="5"/>
    <x v="2"/>
    <m/>
    <m/>
    <m/>
    <m/>
  </r>
  <r>
    <s v="GD0828"/>
    <n v="16"/>
    <x v="0"/>
    <x v="0"/>
    <x v="96"/>
    <x v="1"/>
    <x v="6"/>
    <s v="Age of Empires"/>
    <s v="Multi-platform"/>
    <n v="6.6"/>
    <m/>
    <s v="Good"/>
    <s v="Always"/>
    <s v="Good"/>
    <n v="2.89"/>
    <m/>
    <s v="Euphoric"/>
    <s v="Rarely"/>
    <b v="0"/>
    <b v="0"/>
    <b v="0"/>
    <b v="0"/>
    <b v="0"/>
    <n v="0.4"/>
    <n v="9.1999999999999993"/>
    <n v="3"/>
    <n v="12.8"/>
    <n v="6.16"/>
    <m/>
    <n v="4"/>
    <x v="1"/>
    <m/>
    <m/>
    <m/>
    <m/>
  </r>
  <r>
    <s v="GD0829"/>
    <n v="23"/>
    <x v="1"/>
    <x v="0"/>
    <x v="123"/>
    <x v="1"/>
    <x v="4"/>
    <s v="PUBG"/>
    <s v="Console"/>
    <n v="7.4"/>
    <m/>
    <s v="Fair"/>
    <s v="Often"/>
    <s v="Excellent"/>
    <m/>
    <n v="3"/>
    <s v="Normal"/>
    <s v="Often"/>
    <b v="0"/>
    <b v="0"/>
    <b v="0"/>
    <b v="0"/>
    <b v="0"/>
    <n v="0.6"/>
    <n v="6.8"/>
    <n v="1"/>
    <n v="8.8000000000000007"/>
    <n v="44.8"/>
    <m/>
    <n v="6"/>
    <x v="1"/>
    <m/>
    <m/>
    <m/>
    <m/>
  </r>
  <r>
    <s v="GD0830"/>
    <n v="21"/>
    <x v="1"/>
    <x v="0"/>
    <x v="2"/>
    <x v="1"/>
    <x v="0"/>
    <s v="PUBG Mobile"/>
    <s v="Console"/>
    <n v="5.7"/>
    <m/>
    <s v="Poor"/>
    <s v="Rarely"/>
    <s v="Good"/>
    <n v="3.53"/>
    <n v="6"/>
    <s v="Anxious"/>
    <s v="Often"/>
    <b v="0"/>
    <b v="1"/>
    <b v="0"/>
    <b v="1"/>
    <b v="0"/>
    <n v="0.8"/>
    <n v="6.4"/>
    <n v="3"/>
    <n v="7.1"/>
    <n v="80.72"/>
    <m/>
    <n v="2"/>
    <x v="3"/>
    <m/>
    <m/>
    <m/>
    <m/>
  </r>
  <r>
    <s v="GD0831"/>
    <n v="22"/>
    <x v="1"/>
    <x v="1"/>
    <x v="60"/>
    <x v="1"/>
    <x v="4"/>
    <s v="Warzone"/>
    <s v="Multi-platform"/>
    <n v="5.4"/>
    <m/>
    <s v="Very Poor"/>
    <s v="Sometimes"/>
    <s v="Average"/>
    <n v="2.1800000000000002"/>
    <n v="2"/>
    <s v="Excited"/>
    <s v="Sometimes"/>
    <b v="0"/>
    <b v="1"/>
    <b v="0"/>
    <b v="1"/>
    <b v="0"/>
    <n v="1.6"/>
    <n v="7.3"/>
    <n v="4"/>
    <n v="10.3"/>
    <n v="18.13"/>
    <m/>
    <n v="5"/>
    <x v="3"/>
    <m/>
    <m/>
    <m/>
    <m/>
  </r>
  <r>
    <s v="GD0832"/>
    <n v="24"/>
    <x v="1"/>
    <x v="0"/>
    <x v="54"/>
    <x v="1"/>
    <x v="4"/>
    <s v="Warzone"/>
    <s v="Console"/>
    <n v="5.0999999999999996"/>
    <m/>
    <s v="Poor"/>
    <s v="Never"/>
    <s v="Below Average"/>
    <m/>
    <n v="7"/>
    <s v="Restless"/>
    <s v="Often"/>
    <b v="0"/>
    <b v="0"/>
    <b v="0"/>
    <b v="1"/>
    <b v="0"/>
    <n v="0"/>
    <n v="8.4"/>
    <n v="4"/>
    <n v="11.4"/>
    <n v="120.77"/>
    <m/>
    <n v="2"/>
    <x v="1"/>
    <m/>
    <m/>
    <m/>
    <m/>
  </r>
  <r>
    <s v="GD0833"/>
    <n v="19"/>
    <x v="0"/>
    <x v="1"/>
    <x v="35"/>
    <x v="1"/>
    <x v="6"/>
    <s v="Age of Empires"/>
    <s v="PC"/>
    <n v="5.3"/>
    <m/>
    <s v="Very Poor"/>
    <s v="Never"/>
    <s v="Average"/>
    <n v="3.38"/>
    <n v="8"/>
    <s v="Euphoric"/>
    <s v="Sometimes"/>
    <b v="0"/>
    <b v="0"/>
    <b v="0"/>
    <b v="0"/>
    <b v="0"/>
    <n v="0.8"/>
    <n v="7.5"/>
    <n v="1"/>
    <n v="8.3000000000000007"/>
    <n v="28.98"/>
    <m/>
    <n v="5"/>
    <x v="1"/>
    <m/>
    <m/>
    <m/>
    <m/>
  </r>
  <r>
    <s v="GD0834"/>
    <n v="23"/>
    <x v="1"/>
    <x v="1"/>
    <x v="80"/>
    <x v="1"/>
    <x v="6"/>
    <s v="Civilization VI"/>
    <s v="Mobile"/>
    <n v="5.0999999999999996"/>
    <m/>
    <s v="Very Poor"/>
    <s v="Never"/>
    <s v="Below Average"/>
    <m/>
    <n v="5"/>
    <s v="Anxious"/>
    <s v="Sometimes"/>
    <b v="1"/>
    <b v="0"/>
    <b v="1"/>
    <b v="1"/>
    <b v="1"/>
    <n v="1"/>
    <n v="3.1"/>
    <n v="8"/>
    <n v="0.7"/>
    <n v="307.08"/>
    <m/>
    <n v="9"/>
    <x v="0"/>
    <m/>
    <m/>
    <m/>
    <m/>
  </r>
  <r>
    <s v="GD0835"/>
    <n v="19"/>
    <x v="0"/>
    <x v="0"/>
    <x v="11"/>
    <x v="1"/>
    <x v="1"/>
    <s v="Mobile Legends"/>
    <s v="Console"/>
    <n v="6.5"/>
    <m/>
    <s v="Fair"/>
    <s v="Often"/>
    <s v="Below Average"/>
    <n v="2.29"/>
    <n v="3"/>
    <s v="Normal"/>
    <s v="Never"/>
    <b v="0"/>
    <b v="0"/>
    <b v="0"/>
    <b v="1"/>
    <b v="0"/>
    <n v="1.4"/>
    <n v="7.1"/>
    <n v="3"/>
    <n v="9.3000000000000007"/>
    <n v="111.43"/>
    <m/>
    <n v="7"/>
    <x v="1"/>
    <m/>
    <m/>
    <m/>
    <m/>
  </r>
  <r>
    <s v="GD0836"/>
    <n v="20"/>
    <x v="1"/>
    <x v="1"/>
    <x v="63"/>
    <x v="1"/>
    <x v="4"/>
    <s v="Fortnite"/>
    <s v="Console"/>
    <n v="5.7"/>
    <m/>
    <s v="Very Poor"/>
    <s v="Never"/>
    <s v="Poor"/>
    <n v="1.79"/>
    <n v="5"/>
    <s v="Euphoric"/>
    <s v="Never"/>
    <b v="1"/>
    <b v="1"/>
    <b v="1"/>
    <b v="0"/>
    <b v="1"/>
    <n v="0.8"/>
    <n v="7.8"/>
    <n v="6"/>
    <n v="7.9"/>
    <n v="47.01"/>
    <m/>
    <n v="7"/>
    <x v="0"/>
    <m/>
    <m/>
    <m/>
    <m/>
  </r>
  <r>
    <s v="GD0837"/>
    <n v="19"/>
    <x v="0"/>
    <x v="0"/>
    <x v="79"/>
    <x v="1"/>
    <x v="0"/>
    <s v="Clash of Clans"/>
    <s v="PC"/>
    <n v="3.5"/>
    <m/>
    <s v="Very Poor"/>
    <s v="Sometimes"/>
    <s v="Poor"/>
    <n v="2.0699999999999998"/>
    <n v="2"/>
    <s v="Restless"/>
    <s v="Sometimes"/>
    <b v="1"/>
    <b v="1"/>
    <b v="0"/>
    <b v="1"/>
    <b v="0"/>
    <n v="4.3"/>
    <n v="5.2"/>
    <n v="3"/>
    <n v="7.6"/>
    <n v="127.17"/>
    <m/>
    <n v="7"/>
    <x v="2"/>
    <m/>
    <m/>
    <m/>
    <m/>
  </r>
  <r>
    <s v="GD0838"/>
    <n v="24"/>
    <x v="1"/>
    <x v="0"/>
    <x v="112"/>
    <x v="1"/>
    <x v="0"/>
    <s v="Genshin Impact"/>
    <s v="Multi-platform"/>
    <n v="6.6"/>
    <m/>
    <s v="Fair"/>
    <s v="Sometimes"/>
    <s v="Average"/>
    <m/>
    <n v="5"/>
    <s v="Normal"/>
    <s v="Often"/>
    <b v="0"/>
    <b v="0"/>
    <b v="0"/>
    <b v="1"/>
    <b v="0"/>
    <n v="2.2000000000000002"/>
    <n v="8.5"/>
    <n v="2"/>
    <n v="6.3"/>
    <n v="145.25"/>
    <m/>
    <n v="3"/>
    <x v="1"/>
    <m/>
    <m/>
    <m/>
    <m/>
  </r>
  <r>
    <s v="GD0839"/>
    <n v="18"/>
    <x v="0"/>
    <x v="1"/>
    <x v="18"/>
    <x v="1"/>
    <x v="3"/>
    <s v="Elden Ring"/>
    <s v="Multi-platform"/>
    <n v="6.6"/>
    <m/>
    <s v="Fair"/>
    <s v="Rarely"/>
    <s v="Excellent"/>
    <n v="3.87"/>
    <m/>
    <s v="Normal"/>
    <s v="Often"/>
    <b v="0"/>
    <b v="1"/>
    <b v="0"/>
    <b v="1"/>
    <b v="0"/>
    <n v="2.2000000000000002"/>
    <n v="7.4"/>
    <n v="4"/>
    <n v="6.9"/>
    <n v="31.46"/>
    <m/>
    <n v="4"/>
    <x v="3"/>
    <m/>
    <m/>
    <m/>
    <m/>
  </r>
  <r>
    <s v="GD0840"/>
    <n v="27"/>
    <x v="1"/>
    <x v="2"/>
    <x v="95"/>
    <x v="1"/>
    <x v="2"/>
    <s v="Call of Duty"/>
    <s v="Console"/>
    <n v="3.4"/>
    <m/>
    <s v="Very Poor"/>
    <s v="Rarely"/>
    <s v="Average"/>
    <m/>
    <n v="10"/>
    <s v="Irritable"/>
    <s v="Daily"/>
    <b v="1"/>
    <b v="1"/>
    <b v="1"/>
    <b v="0"/>
    <b v="1"/>
    <n v="0.5"/>
    <n v="6"/>
    <n v="6"/>
    <n v="5.2"/>
    <n v="66.849999999999994"/>
    <m/>
    <n v="7"/>
    <x v="0"/>
    <m/>
    <m/>
    <m/>
    <m/>
  </r>
  <r>
    <s v="GD0841"/>
    <n v="19"/>
    <x v="0"/>
    <x v="1"/>
    <x v="82"/>
    <x v="1"/>
    <x v="5"/>
    <s v="World of Warcraft"/>
    <s v="Multi-platform"/>
    <n v="5.7"/>
    <m/>
    <s v="Fair"/>
    <s v="Often"/>
    <s v="Below Average"/>
    <n v="1.54"/>
    <n v="9"/>
    <s v="Restless"/>
    <s v="Never"/>
    <b v="0"/>
    <b v="0"/>
    <b v="0"/>
    <b v="1"/>
    <b v="0"/>
    <n v="1.9"/>
    <n v="5.7"/>
    <n v="5"/>
    <n v="6.6"/>
    <n v="36.25"/>
    <m/>
    <n v="2"/>
    <x v="1"/>
    <m/>
    <m/>
    <m/>
    <m/>
  </r>
  <r>
    <s v="GD0842"/>
    <n v="16"/>
    <x v="0"/>
    <x v="0"/>
    <x v="57"/>
    <x v="1"/>
    <x v="2"/>
    <s v="Call of Duty"/>
    <s v="Multi-platform"/>
    <n v="5.8"/>
    <m/>
    <s v="Poor"/>
    <s v="Rarely"/>
    <s v="Poor"/>
    <n v="2.8"/>
    <m/>
    <s v="Irritable"/>
    <s v="Rarely"/>
    <b v="1"/>
    <b v="1"/>
    <b v="1"/>
    <b v="0"/>
    <b v="1"/>
    <n v="0.3"/>
    <n v="7"/>
    <n v="6"/>
    <n v="3.8"/>
    <n v="315.72000000000003"/>
    <m/>
    <n v="5"/>
    <x v="0"/>
    <m/>
    <m/>
    <m/>
    <m/>
  </r>
  <r>
    <s v="GD0843"/>
    <n v="23"/>
    <x v="1"/>
    <x v="0"/>
    <x v="56"/>
    <x v="1"/>
    <x v="6"/>
    <s v="StarCraft II"/>
    <s v="PC"/>
    <n v="3.8"/>
    <m/>
    <s v="Very Poor"/>
    <s v="Always"/>
    <s v="Failing"/>
    <m/>
    <n v="4"/>
    <s v="Restless"/>
    <s v="Sometimes"/>
    <b v="0"/>
    <b v="0"/>
    <b v="0"/>
    <b v="1"/>
    <b v="0"/>
    <n v="7.6"/>
    <n v="7.6"/>
    <n v="5"/>
    <n v="3.1"/>
    <n v="14.06"/>
    <m/>
    <n v="10"/>
    <x v="1"/>
    <m/>
    <m/>
    <m/>
    <m/>
  </r>
  <r>
    <s v="GD0844"/>
    <n v="20"/>
    <x v="1"/>
    <x v="0"/>
    <x v="101"/>
    <x v="1"/>
    <x v="2"/>
    <s v="CS:GO"/>
    <s v="Mobile"/>
    <n v="7"/>
    <m/>
    <s v="Good"/>
    <s v="Always"/>
    <s v="Good"/>
    <n v="2.36"/>
    <n v="5"/>
    <s v="Euphoric"/>
    <s v="Rarely"/>
    <b v="0"/>
    <b v="0"/>
    <b v="0"/>
    <b v="0"/>
    <b v="0"/>
    <n v="0.4"/>
    <n v="8.3000000000000007"/>
    <n v="1"/>
    <n v="14.2"/>
    <n v="16.79"/>
    <m/>
    <n v="2"/>
    <x v="1"/>
    <m/>
    <m/>
    <m/>
    <m/>
  </r>
  <r>
    <s v="GD0845"/>
    <n v="19"/>
    <x v="0"/>
    <x v="0"/>
    <x v="90"/>
    <x v="1"/>
    <x v="6"/>
    <s v="StarCraft II"/>
    <s v="Console"/>
    <n v="5.7"/>
    <m/>
    <s v="Very Poor"/>
    <s v="Always"/>
    <s v="Good"/>
    <n v="2.39"/>
    <n v="5"/>
    <s v="Anxious"/>
    <s v="Never"/>
    <b v="1"/>
    <b v="0"/>
    <b v="1"/>
    <b v="1"/>
    <b v="1"/>
    <n v="3.7"/>
    <n v="4.5999999999999996"/>
    <n v="7"/>
    <n v="0"/>
    <n v="486.86"/>
    <m/>
    <n v="8"/>
    <x v="0"/>
    <m/>
    <m/>
    <m/>
    <m/>
  </r>
  <r>
    <s v="GD0846"/>
    <n v="21"/>
    <x v="1"/>
    <x v="1"/>
    <x v="89"/>
    <x v="1"/>
    <x v="6"/>
    <s v="Civilization VI"/>
    <s v="PC"/>
    <n v="4.0999999999999996"/>
    <m/>
    <s v="Poor"/>
    <s v="Always"/>
    <s v="Below Average"/>
    <n v="3.04"/>
    <n v="2"/>
    <s v="Anxious"/>
    <s v="Rarely"/>
    <b v="0"/>
    <b v="0"/>
    <b v="1"/>
    <b v="1"/>
    <b v="1"/>
    <n v="2.4"/>
    <n v="5.2"/>
    <n v="8"/>
    <n v="0.8"/>
    <n v="216.97"/>
    <m/>
    <n v="9"/>
    <x v="2"/>
    <m/>
    <m/>
    <m/>
    <m/>
  </r>
  <r>
    <s v="GD0847"/>
    <n v="20"/>
    <x v="1"/>
    <x v="1"/>
    <x v="55"/>
    <x v="1"/>
    <x v="5"/>
    <s v="Elder Scrolls Online"/>
    <s v="Mobile"/>
    <n v="6.1"/>
    <m/>
    <s v="Fair"/>
    <s v="Rarely"/>
    <s v="Below Average"/>
    <n v="3.04"/>
    <n v="9"/>
    <s v="Depressed"/>
    <s v="Sometimes"/>
    <b v="0"/>
    <b v="0"/>
    <b v="0"/>
    <b v="1"/>
    <b v="1"/>
    <n v="0.7"/>
    <n v="5"/>
    <n v="4"/>
    <n v="6.2"/>
    <n v="45.63"/>
    <m/>
    <n v="4"/>
    <x v="1"/>
    <m/>
    <m/>
    <m/>
    <m/>
  </r>
  <r>
    <s v="GD0848"/>
    <n v="21"/>
    <x v="1"/>
    <x v="0"/>
    <x v="39"/>
    <x v="1"/>
    <x v="5"/>
    <s v="World of Warcraft"/>
    <s v="Console"/>
    <n v="5.9"/>
    <m/>
    <s v="Insomnia"/>
    <s v="Rarely"/>
    <s v="Failing"/>
    <n v="3.46"/>
    <n v="6"/>
    <s v="Restless"/>
    <s v="Often"/>
    <b v="1"/>
    <b v="1"/>
    <b v="0"/>
    <b v="1"/>
    <b v="1"/>
    <n v="1.4"/>
    <n v="5.6"/>
    <n v="5"/>
    <n v="6.1"/>
    <n v="100.91"/>
    <m/>
    <n v="11"/>
    <x v="2"/>
    <m/>
    <m/>
    <m/>
    <m/>
  </r>
  <r>
    <s v="GD0849"/>
    <n v="23"/>
    <x v="1"/>
    <x v="0"/>
    <x v="13"/>
    <x v="1"/>
    <x v="1"/>
    <s v="League of Legends"/>
    <s v="Multi-platform"/>
    <n v="5.6"/>
    <m/>
    <s v="Very Poor"/>
    <s v="Often"/>
    <s v="Poor"/>
    <m/>
    <n v="4"/>
    <s v="Restless"/>
    <s v="Sometimes"/>
    <b v="0"/>
    <b v="0"/>
    <b v="0"/>
    <b v="0"/>
    <b v="1"/>
    <n v="0.4"/>
    <n v="8.5"/>
    <n v="3"/>
    <n v="5.2"/>
    <n v="29.85"/>
    <m/>
    <n v="9"/>
    <x v="1"/>
    <m/>
    <m/>
    <m/>
    <m/>
  </r>
  <r>
    <s v="GD0850"/>
    <n v="21"/>
    <x v="1"/>
    <x v="1"/>
    <x v="18"/>
    <x v="1"/>
    <x v="6"/>
    <s v="Civilization VI"/>
    <s v="PC"/>
    <n v="6.4"/>
    <m/>
    <s v="Very Poor"/>
    <s v="Never"/>
    <s v="Poor"/>
    <n v="3.62"/>
    <n v="8"/>
    <s v="Irritable"/>
    <s v="Often"/>
    <b v="0"/>
    <b v="1"/>
    <b v="0"/>
    <b v="0"/>
    <b v="1"/>
    <n v="1.9"/>
    <n v="5.0999999999999996"/>
    <n v="4"/>
    <n v="9.4"/>
    <n v="102.56"/>
    <m/>
    <n v="11"/>
    <x v="3"/>
    <m/>
    <m/>
    <m/>
    <m/>
  </r>
  <r>
    <s v="GD0851"/>
    <n v="23"/>
    <x v="1"/>
    <x v="0"/>
    <x v="45"/>
    <x v="1"/>
    <x v="1"/>
    <s v="League of Legends"/>
    <s v="Multi-platform"/>
    <n v="3.7"/>
    <m/>
    <s v="Good"/>
    <s v="Never"/>
    <s v="Average"/>
    <m/>
    <n v="5"/>
    <s v="Euphoric"/>
    <s v="Never"/>
    <b v="1"/>
    <b v="1"/>
    <b v="0"/>
    <b v="1"/>
    <b v="0"/>
    <n v="0.6"/>
    <n v="6.4"/>
    <n v="4"/>
    <n v="4.5"/>
    <n v="89.72"/>
    <m/>
    <n v="5"/>
    <x v="2"/>
    <m/>
    <m/>
    <m/>
    <m/>
  </r>
  <r>
    <s v="GD0852"/>
    <n v="15"/>
    <x v="0"/>
    <x v="1"/>
    <x v="99"/>
    <x v="1"/>
    <x v="3"/>
    <s v="Skyrim"/>
    <s v="Multi-platform"/>
    <n v="6.2"/>
    <m/>
    <s v="Fair"/>
    <s v="Rarely"/>
    <s v="Excellent"/>
    <n v="2.62"/>
    <m/>
    <s v="Anxious"/>
    <s v="Never"/>
    <b v="0"/>
    <b v="0"/>
    <b v="0"/>
    <b v="0"/>
    <b v="0"/>
    <n v="1"/>
    <n v="9.6"/>
    <n v="3"/>
    <n v="9.5"/>
    <n v="47"/>
    <m/>
    <n v="1"/>
    <x v="1"/>
    <m/>
    <m/>
    <m/>
    <m/>
  </r>
  <r>
    <s v="GD0853"/>
    <n v="23"/>
    <x v="1"/>
    <x v="1"/>
    <x v="112"/>
    <x v="1"/>
    <x v="5"/>
    <s v="Final Fantasy XIV"/>
    <s v="Console"/>
    <n v="5.7"/>
    <m/>
    <s v="Very Poor"/>
    <s v="Often"/>
    <s v="Average"/>
    <m/>
    <n v="9"/>
    <s v="Restless"/>
    <s v="Sometimes"/>
    <b v="0"/>
    <b v="0"/>
    <b v="0"/>
    <b v="1"/>
    <b v="0"/>
    <n v="0.4"/>
    <n v="7.1"/>
    <n v="3"/>
    <n v="7.4"/>
    <n v="40.72"/>
    <m/>
    <n v="12"/>
    <x v="1"/>
    <m/>
    <m/>
    <m/>
    <m/>
  </r>
  <r>
    <s v="GD0854"/>
    <n v="21"/>
    <x v="1"/>
    <x v="2"/>
    <x v="21"/>
    <x v="1"/>
    <x v="3"/>
    <s v="Cyberpunk 2077"/>
    <s v="Multi-platform"/>
    <n v="5.9"/>
    <m/>
    <s v="Poor"/>
    <s v="Rarely"/>
    <s v="Average"/>
    <n v="3.62"/>
    <n v="6"/>
    <s v="Anxious"/>
    <s v="Daily"/>
    <b v="0"/>
    <b v="0"/>
    <b v="0"/>
    <b v="1"/>
    <b v="0"/>
    <n v="1.3"/>
    <n v="6.8"/>
    <n v="3"/>
    <n v="8.5"/>
    <n v="27.48"/>
    <m/>
    <n v="3"/>
    <x v="1"/>
    <m/>
    <m/>
    <m/>
    <m/>
  </r>
  <r>
    <s v="GD0855"/>
    <n v="18"/>
    <x v="0"/>
    <x v="0"/>
    <x v="31"/>
    <x v="1"/>
    <x v="6"/>
    <s v="StarCraft II"/>
    <s v="Multi-platform"/>
    <n v="7.9"/>
    <m/>
    <s v="Good"/>
    <s v="Rarely"/>
    <s v="Excellent"/>
    <n v="3.38"/>
    <m/>
    <s v="Euphoric"/>
    <s v="Daily"/>
    <b v="0"/>
    <b v="0"/>
    <b v="0"/>
    <b v="0"/>
    <b v="0"/>
    <n v="0.6"/>
    <n v="10.8"/>
    <n v="1"/>
    <n v="13.8"/>
    <n v="40.47"/>
    <m/>
    <n v="2"/>
    <x v="1"/>
    <m/>
    <m/>
    <m/>
    <m/>
  </r>
  <r>
    <s v="GD0856"/>
    <n v="26"/>
    <x v="1"/>
    <x v="2"/>
    <x v="88"/>
    <x v="1"/>
    <x v="1"/>
    <s v="Dota 2"/>
    <s v="Mobile"/>
    <n v="5.7"/>
    <m/>
    <s v="Poor"/>
    <s v="Never"/>
    <s v="Below Average"/>
    <m/>
    <n v="9"/>
    <s v="Depressed"/>
    <s v="Never"/>
    <b v="0"/>
    <b v="0"/>
    <b v="0"/>
    <b v="1"/>
    <b v="0"/>
    <n v="0.9"/>
    <n v="6.7"/>
    <n v="6"/>
    <n v="3.2"/>
    <n v="413.14"/>
    <m/>
    <n v="9"/>
    <x v="3"/>
    <m/>
    <m/>
    <m/>
    <m/>
  </r>
  <r>
    <s v="GD0857"/>
    <n v="18"/>
    <x v="0"/>
    <x v="0"/>
    <x v="24"/>
    <x v="1"/>
    <x v="5"/>
    <s v="World of Warcraft"/>
    <s v="Console"/>
    <n v="5.2"/>
    <m/>
    <s v="Very Poor"/>
    <s v="Never"/>
    <s v="Below Average"/>
    <n v="3.83"/>
    <m/>
    <s v="Irritable"/>
    <s v="Rarely"/>
    <b v="0"/>
    <b v="1"/>
    <b v="1"/>
    <b v="1"/>
    <b v="0"/>
    <n v="0.7"/>
    <n v="6.1"/>
    <n v="8"/>
    <n v="2.6"/>
    <n v="75.11"/>
    <m/>
    <n v="3"/>
    <x v="2"/>
    <m/>
    <m/>
    <m/>
    <m/>
  </r>
  <r>
    <s v="GD0858"/>
    <n v="20"/>
    <x v="1"/>
    <x v="0"/>
    <x v="112"/>
    <x v="1"/>
    <x v="5"/>
    <s v="Final Fantasy XIV"/>
    <s v="Console"/>
    <n v="6.6"/>
    <m/>
    <s v="Fair"/>
    <s v="Often"/>
    <s v="Good"/>
    <n v="2.23"/>
    <n v="6"/>
    <s v="Restless"/>
    <s v="Often"/>
    <b v="0"/>
    <b v="0"/>
    <b v="0"/>
    <b v="1"/>
    <b v="0"/>
    <n v="0.1"/>
    <n v="6.2"/>
    <n v="4"/>
    <n v="10.6"/>
    <n v="25.62"/>
    <m/>
    <n v="1"/>
    <x v="1"/>
    <m/>
    <m/>
    <m/>
    <m/>
  </r>
  <r>
    <s v="GD0859"/>
    <n v="30"/>
    <x v="1"/>
    <x v="0"/>
    <x v="19"/>
    <x v="1"/>
    <x v="4"/>
    <s v="Fortnite"/>
    <s v="Console"/>
    <n v="6.5"/>
    <m/>
    <s v="Good"/>
    <s v="Rarely"/>
    <s v="Excellent"/>
    <m/>
    <n v="1"/>
    <s v="Angry"/>
    <s v="Sometimes"/>
    <b v="0"/>
    <b v="1"/>
    <b v="0"/>
    <b v="1"/>
    <b v="0"/>
    <n v="0.3"/>
    <n v="5.0999999999999996"/>
    <n v="3"/>
    <n v="8.8000000000000007"/>
    <n v="90.63"/>
    <m/>
    <n v="16"/>
    <x v="3"/>
    <m/>
    <m/>
    <m/>
    <m/>
  </r>
  <r>
    <s v="GD0860"/>
    <n v="24"/>
    <x v="1"/>
    <x v="1"/>
    <x v="18"/>
    <x v="1"/>
    <x v="5"/>
    <s v="Elder Scrolls Online"/>
    <s v="PC"/>
    <n v="5.9"/>
    <m/>
    <s v="Fair"/>
    <s v="Sometimes"/>
    <s v="Below Average"/>
    <m/>
    <n v="1"/>
    <s v="Depressed"/>
    <s v="Often"/>
    <b v="0"/>
    <b v="0"/>
    <b v="0"/>
    <b v="1"/>
    <b v="0"/>
    <n v="2.7"/>
    <n v="5.4"/>
    <n v="4"/>
    <n v="10.4"/>
    <n v="49.79"/>
    <m/>
    <n v="10"/>
    <x v="1"/>
    <m/>
    <m/>
    <m/>
    <m/>
  </r>
  <r>
    <s v="GD0861"/>
    <n v="20"/>
    <x v="1"/>
    <x v="0"/>
    <x v="63"/>
    <x v="1"/>
    <x v="0"/>
    <s v="Clash of Clans"/>
    <s v="Console"/>
    <n v="3.3"/>
    <m/>
    <s v="Fair"/>
    <s v="Always"/>
    <s v="Failing"/>
    <n v="3.11"/>
    <n v="3"/>
    <s v="Euphoric"/>
    <s v="Sometimes"/>
    <b v="1"/>
    <b v="1"/>
    <b v="1"/>
    <b v="0"/>
    <b v="0"/>
    <n v="0.3"/>
    <n v="6.2"/>
    <n v="6"/>
    <n v="8"/>
    <n v="84.8"/>
    <m/>
    <n v="8"/>
    <x v="0"/>
    <m/>
    <m/>
    <m/>
    <m/>
  </r>
  <r>
    <s v="GD0862"/>
    <n v="23"/>
    <x v="1"/>
    <x v="1"/>
    <x v="47"/>
    <x v="1"/>
    <x v="0"/>
    <s v="PUBG Mobile"/>
    <s v="Console"/>
    <n v="5.2"/>
    <m/>
    <s v="Fair"/>
    <s v="Never"/>
    <s v="Below Average"/>
    <m/>
    <n v="5"/>
    <s v="Normal"/>
    <s v="Never"/>
    <b v="0"/>
    <b v="1"/>
    <b v="0"/>
    <b v="0"/>
    <b v="1"/>
    <n v="1.7"/>
    <n v="5.2"/>
    <n v="4"/>
    <n v="9.9"/>
    <n v="98.62"/>
    <m/>
    <n v="13"/>
    <x v="3"/>
    <m/>
    <m/>
    <m/>
    <m/>
  </r>
  <r>
    <s v="GD0863"/>
    <n v="19"/>
    <x v="0"/>
    <x v="0"/>
    <x v="46"/>
    <x v="1"/>
    <x v="1"/>
    <s v="Mobile Legends"/>
    <s v="Console"/>
    <n v="7.8"/>
    <m/>
    <s v="Fair"/>
    <s v="Always"/>
    <s v="Average"/>
    <n v="3.18"/>
    <n v="1"/>
    <s v="Restless"/>
    <s v="Sometimes"/>
    <b v="0"/>
    <b v="0"/>
    <b v="0"/>
    <b v="0"/>
    <b v="0"/>
    <n v="0"/>
    <n v="8.9"/>
    <n v="2"/>
    <n v="13.2"/>
    <n v="20.329999999999998"/>
    <m/>
    <n v="3"/>
    <x v="1"/>
    <m/>
    <m/>
    <m/>
    <m/>
  </r>
  <r>
    <s v="GD0864"/>
    <n v="19"/>
    <x v="0"/>
    <x v="0"/>
    <x v="28"/>
    <x v="1"/>
    <x v="1"/>
    <s v="League of Legends"/>
    <s v="PC"/>
    <n v="6"/>
    <m/>
    <s v="Very Poor"/>
    <s v="Sometimes"/>
    <s v="Below Average"/>
    <n v="2.36"/>
    <n v="3"/>
    <s v="Normal"/>
    <s v="Rarely"/>
    <b v="1"/>
    <b v="0"/>
    <b v="0"/>
    <b v="1"/>
    <b v="0"/>
    <n v="1.8"/>
    <n v="6.7"/>
    <n v="5"/>
    <n v="6.9"/>
    <n v="60.38"/>
    <m/>
    <n v="4"/>
    <x v="3"/>
    <m/>
    <m/>
    <m/>
    <m/>
  </r>
  <r>
    <s v="GD0865"/>
    <n v="18"/>
    <x v="0"/>
    <x v="0"/>
    <x v="34"/>
    <x v="1"/>
    <x v="0"/>
    <s v="PUBG Mobile"/>
    <s v="Mobile"/>
    <n v="4.5"/>
    <m/>
    <s v="Fair"/>
    <s v="Often"/>
    <s v="Below Average"/>
    <n v="3"/>
    <m/>
    <s v="Irritable"/>
    <s v="Sometimes"/>
    <b v="1"/>
    <b v="1"/>
    <b v="0"/>
    <b v="1"/>
    <b v="1"/>
    <n v="3.1"/>
    <n v="5.3"/>
    <n v="5"/>
    <n v="3.5"/>
    <n v="14.54"/>
    <m/>
    <n v="8"/>
    <x v="2"/>
    <m/>
    <m/>
    <m/>
    <m/>
  </r>
  <r>
    <s v="GD0866"/>
    <n v="19"/>
    <x v="0"/>
    <x v="0"/>
    <x v="130"/>
    <x v="1"/>
    <x v="0"/>
    <s v="Genshin Impact"/>
    <s v="Multi-platform"/>
    <n v="3.5"/>
    <m/>
    <s v="Poor"/>
    <s v="Never"/>
    <s v="Below Average"/>
    <n v="2.2799999999999998"/>
    <n v="5"/>
    <s v="Withdrawn"/>
    <s v="Often"/>
    <b v="0"/>
    <b v="1"/>
    <b v="0"/>
    <b v="1"/>
    <b v="1"/>
    <n v="2.1"/>
    <n v="1.3"/>
    <n v="10"/>
    <n v="0"/>
    <n v="178.29"/>
    <m/>
    <n v="1"/>
    <x v="2"/>
    <m/>
    <m/>
    <m/>
    <m/>
  </r>
  <r>
    <s v="GD0867"/>
    <n v="23"/>
    <x v="1"/>
    <x v="1"/>
    <x v="24"/>
    <x v="1"/>
    <x v="4"/>
    <s v="Apex Legends"/>
    <s v="Console"/>
    <n v="5"/>
    <m/>
    <s v="Fair"/>
    <s v="Often"/>
    <s v="Below Average"/>
    <m/>
    <n v="5"/>
    <s v="Restless"/>
    <s v="Rarely"/>
    <b v="1"/>
    <b v="1"/>
    <b v="1"/>
    <b v="1"/>
    <b v="0"/>
    <n v="2.7"/>
    <n v="5.7"/>
    <n v="5"/>
    <n v="8.4"/>
    <n v="140.71"/>
    <m/>
    <n v="8"/>
    <x v="0"/>
    <m/>
    <m/>
    <m/>
    <m/>
  </r>
  <r>
    <s v="GD0868"/>
    <n v="19"/>
    <x v="0"/>
    <x v="1"/>
    <x v="78"/>
    <x v="1"/>
    <x v="0"/>
    <s v="Candy Crush"/>
    <s v="Console"/>
    <n v="6.3"/>
    <m/>
    <s v="Fair"/>
    <s v="Rarely"/>
    <s v="Below Average"/>
    <n v="3.87"/>
    <n v="3"/>
    <s v="Irritable"/>
    <s v="Daily"/>
    <b v="0"/>
    <b v="0"/>
    <b v="0"/>
    <b v="0"/>
    <b v="0"/>
    <n v="0.2"/>
    <n v="8.5"/>
    <n v="2"/>
    <n v="8.3000000000000007"/>
    <n v="24.27"/>
    <m/>
    <n v="5"/>
    <x v="1"/>
    <m/>
    <m/>
    <m/>
    <m/>
  </r>
  <r>
    <s v="GD0869"/>
    <n v="14"/>
    <x v="0"/>
    <x v="0"/>
    <x v="107"/>
    <x v="1"/>
    <x v="2"/>
    <s v="CS:GO"/>
    <s v="Console"/>
    <n v="6.3"/>
    <m/>
    <s v="Poor"/>
    <s v="Sometimes"/>
    <s v="Below Average"/>
    <n v="1.1200000000000001"/>
    <m/>
    <s v="Angry"/>
    <s v="Never"/>
    <b v="0"/>
    <b v="0"/>
    <b v="0"/>
    <b v="0"/>
    <b v="0"/>
    <n v="0.6"/>
    <n v="9.3000000000000007"/>
    <n v="2"/>
    <n v="8.9"/>
    <n v="26"/>
    <m/>
    <n v="4"/>
    <x v="1"/>
    <m/>
    <m/>
    <m/>
    <m/>
  </r>
  <r>
    <s v="GD0870"/>
    <n v="17"/>
    <x v="0"/>
    <x v="0"/>
    <x v="12"/>
    <x v="1"/>
    <x v="0"/>
    <s v="Genshin Impact"/>
    <s v="Multi-platform"/>
    <n v="6.4"/>
    <m/>
    <s v="Good"/>
    <s v="Always"/>
    <s v="Average"/>
    <n v="1.49"/>
    <m/>
    <s v="Euphoric"/>
    <s v="Often"/>
    <b v="0"/>
    <b v="0"/>
    <b v="0"/>
    <b v="1"/>
    <b v="1"/>
    <n v="3.1"/>
    <n v="6.8"/>
    <n v="4"/>
    <n v="5.8"/>
    <n v="10.29"/>
    <m/>
    <n v="6"/>
    <x v="1"/>
    <m/>
    <m/>
    <m/>
    <m/>
  </r>
  <r>
    <s v="GD0871"/>
    <n v="13"/>
    <x v="0"/>
    <x v="0"/>
    <x v="68"/>
    <x v="1"/>
    <x v="1"/>
    <s v="Mobile Legends"/>
    <s v="Multi-platform"/>
    <n v="8.5"/>
    <m/>
    <s v="Fair"/>
    <s v="Sometimes"/>
    <s v="Good"/>
    <n v="2.27"/>
    <m/>
    <s v="Euphoric"/>
    <s v="Daily"/>
    <b v="0"/>
    <b v="0"/>
    <b v="0"/>
    <b v="0"/>
    <b v="0"/>
    <n v="0.7"/>
    <n v="9.1"/>
    <n v="2"/>
    <n v="9.8000000000000007"/>
    <n v="36"/>
    <m/>
    <n v="3"/>
    <x v="1"/>
    <m/>
    <m/>
    <m/>
    <m/>
  </r>
  <r>
    <s v="GD0872"/>
    <n v="14"/>
    <x v="0"/>
    <x v="0"/>
    <x v="49"/>
    <x v="1"/>
    <x v="4"/>
    <s v="Warzone"/>
    <s v="Mobile"/>
    <n v="6.1"/>
    <m/>
    <s v="Poor"/>
    <s v="Often"/>
    <s v="Excellent"/>
    <n v="1.78"/>
    <m/>
    <s v="Normal"/>
    <s v="Sometimes"/>
    <b v="0"/>
    <b v="0"/>
    <b v="0"/>
    <b v="1"/>
    <b v="0"/>
    <n v="0.4"/>
    <n v="7.1"/>
    <n v="3"/>
    <n v="7.9"/>
    <n v="128.35"/>
    <m/>
    <n v="4"/>
    <x v="1"/>
    <m/>
    <m/>
    <m/>
    <m/>
  </r>
  <r>
    <s v="GD0873"/>
    <n v="17"/>
    <x v="0"/>
    <x v="0"/>
    <x v="84"/>
    <x v="1"/>
    <x v="4"/>
    <s v="PUBG"/>
    <s v="PC"/>
    <n v="3.4"/>
    <m/>
    <s v="Good"/>
    <s v="Rarely"/>
    <s v="Below Average"/>
    <n v="2.99"/>
    <m/>
    <s v="Withdrawn"/>
    <s v="Never"/>
    <b v="1"/>
    <b v="0"/>
    <b v="0"/>
    <b v="1"/>
    <b v="0"/>
    <n v="2.7"/>
    <n v="7.5"/>
    <n v="4"/>
    <n v="6.2"/>
    <n v="10.6"/>
    <m/>
    <n v="3"/>
    <x v="3"/>
    <m/>
    <m/>
    <m/>
    <m/>
  </r>
  <r>
    <s v="GD0874"/>
    <n v="25"/>
    <x v="1"/>
    <x v="1"/>
    <x v="10"/>
    <x v="1"/>
    <x v="4"/>
    <s v="Fortnite"/>
    <s v="PC"/>
    <n v="4.7"/>
    <m/>
    <s v="Poor"/>
    <s v="Sometimes"/>
    <s v="Below Average"/>
    <m/>
    <n v="1"/>
    <s v="Angry"/>
    <s v="Daily"/>
    <b v="1"/>
    <b v="0"/>
    <b v="1"/>
    <b v="0"/>
    <b v="0"/>
    <n v="1.1000000000000001"/>
    <n v="5.5"/>
    <n v="7"/>
    <n v="1.9"/>
    <n v="204.58"/>
    <m/>
    <n v="13"/>
    <x v="0"/>
    <m/>
    <m/>
    <m/>
    <m/>
  </r>
  <r>
    <s v="GD0875"/>
    <n v="15"/>
    <x v="0"/>
    <x v="0"/>
    <x v="55"/>
    <x v="1"/>
    <x v="5"/>
    <s v="World of Warcraft"/>
    <s v="PC"/>
    <n v="6"/>
    <m/>
    <s v="Poor"/>
    <s v="Often"/>
    <s v="Below Average"/>
    <n v="2.59"/>
    <m/>
    <s v="Withdrawn"/>
    <s v="Never"/>
    <b v="0"/>
    <b v="0"/>
    <b v="0"/>
    <b v="0"/>
    <b v="1"/>
    <n v="1.6"/>
    <n v="6.5"/>
    <n v="4"/>
    <n v="7.1"/>
    <n v="30.98"/>
    <m/>
    <n v="2"/>
    <x v="1"/>
    <m/>
    <m/>
    <m/>
    <m/>
  </r>
  <r>
    <s v="GD0876"/>
    <n v="20"/>
    <x v="1"/>
    <x v="0"/>
    <x v="45"/>
    <x v="1"/>
    <x v="2"/>
    <s v="Overwatch"/>
    <s v="Mobile"/>
    <n v="4.2"/>
    <m/>
    <s v="Fair"/>
    <s v="Always"/>
    <s v="Failing"/>
    <n v="2.85"/>
    <n v="7"/>
    <s v="Depressed"/>
    <s v="Daily"/>
    <b v="1"/>
    <b v="1"/>
    <b v="0"/>
    <b v="0"/>
    <b v="1"/>
    <n v="1.1000000000000001"/>
    <n v="6.6"/>
    <n v="4"/>
    <n v="6.6"/>
    <n v="78.44"/>
    <m/>
    <n v="2"/>
    <x v="2"/>
    <m/>
    <m/>
    <m/>
    <m/>
  </r>
  <r>
    <s v="GD0877"/>
    <n v="27"/>
    <x v="1"/>
    <x v="1"/>
    <x v="62"/>
    <x v="1"/>
    <x v="0"/>
    <s v="PUBG Mobile"/>
    <s v="Multi-platform"/>
    <n v="3.4"/>
    <m/>
    <s v="Poor"/>
    <s v="Often"/>
    <s v="Average"/>
    <m/>
    <n v="3"/>
    <s v="Irritable"/>
    <s v="Sometimes"/>
    <b v="0"/>
    <b v="1"/>
    <b v="0"/>
    <b v="1"/>
    <b v="1"/>
    <n v="0.2"/>
    <n v="6.4"/>
    <n v="5"/>
    <n v="4.4000000000000004"/>
    <n v="143.88999999999999"/>
    <m/>
    <n v="12"/>
    <x v="3"/>
    <m/>
    <m/>
    <m/>
    <m/>
  </r>
  <r>
    <s v="GD0878"/>
    <n v="22"/>
    <x v="1"/>
    <x v="1"/>
    <x v="49"/>
    <x v="1"/>
    <x v="3"/>
    <s v="Elden Ring"/>
    <s v="Multi-platform"/>
    <n v="6.9"/>
    <m/>
    <s v="Fair"/>
    <s v="Rarely"/>
    <s v="Average"/>
    <n v="1.42"/>
    <n v="3"/>
    <s v="Normal"/>
    <s v="Sometimes"/>
    <b v="0"/>
    <b v="0"/>
    <b v="0"/>
    <b v="1"/>
    <b v="0"/>
    <n v="1"/>
    <n v="9"/>
    <n v="2"/>
    <n v="11.6"/>
    <n v="85.49"/>
    <m/>
    <n v="1"/>
    <x v="1"/>
    <m/>
    <m/>
    <m/>
    <m/>
  </r>
  <r>
    <s v="GD0879"/>
    <n v="20"/>
    <x v="1"/>
    <x v="1"/>
    <x v="54"/>
    <x v="1"/>
    <x v="4"/>
    <s v="Fortnite"/>
    <s v="PC"/>
    <n v="5.9"/>
    <m/>
    <s v="Poor"/>
    <s v="Never"/>
    <s v="Average"/>
    <n v="1.85"/>
    <n v="1"/>
    <s v="Anxious"/>
    <s v="Daily"/>
    <b v="0"/>
    <b v="0"/>
    <b v="0"/>
    <b v="1"/>
    <b v="0"/>
    <n v="0.7"/>
    <n v="8.1999999999999993"/>
    <n v="3"/>
    <n v="9.3000000000000007"/>
    <n v="48.66"/>
    <m/>
    <n v="6"/>
    <x v="1"/>
    <m/>
    <m/>
    <m/>
    <m/>
  </r>
  <r>
    <s v="GD0880"/>
    <n v="18"/>
    <x v="0"/>
    <x v="1"/>
    <x v="93"/>
    <x v="1"/>
    <x v="0"/>
    <s v="Candy Crush"/>
    <s v="PC"/>
    <n v="8.5"/>
    <m/>
    <s v="Fair"/>
    <s v="Sometimes"/>
    <s v="Good"/>
    <n v="3.34"/>
    <m/>
    <s v="Euphoric"/>
    <s v="Often"/>
    <b v="0"/>
    <b v="0"/>
    <b v="0"/>
    <b v="0"/>
    <b v="0"/>
    <n v="0.6"/>
    <n v="8.1999999999999993"/>
    <n v="1"/>
    <n v="13"/>
    <n v="14.51"/>
    <m/>
    <n v="5"/>
    <x v="1"/>
    <m/>
    <m/>
    <m/>
    <m/>
  </r>
  <r>
    <s v="GD0881"/>
    <n v="17"/>
    <x v="0"/>
    <x v="0"/>
    <x v="12"/>
    <x v="1"/>
    <x v="5"/>
    <s v="World of Warcraft"/>
    <s v="Mobile"/>
    <n v="5.8"/>
    <m/>
    <s v="Fair"/>
    <s v="Rarely"/>
    <s v="Average"/>
    <n v="2.9"/>
    <m/>
    <s v="Restless"/>
    <s v="Daily"/>
    <b v="0"/>
    <b v="1"/>
    <b v="0"/>
    <b v="1"/>
    <b v="1"/>
    <n v="0.7"/>
    <n v="7.5"/>
    <n v="5"/>
    <n v="8"/>
    <n v="40.86"/>
    <m/>
    <n v="7"/>
    <x v="3"/>
    <m/>
    <m/>
    <m/>
    <m/>
  </r>
  <r>
    <s v="GD0882"/>
    <n v="19"/>
    <x v="0"/>
    <x v="0"/>
    <x v="49"/>
    <x v="1"/>
    <x v="5"/>
    <s v="World of Warcraft"/>
    <s v="PC"/>
    <n v="6.6"/>
    <m/>
    <s v="Fair"/>
    <s v="Often"/>
    <s v="Average"/>
    <n v="1.5"/>
    <n v="1"/>
    <s v="Euphoric"/>
    <s v="Sometimes"/>
    <b v="0"/>
    <b v="0"/>
    <b v="0"/>
    <b v="1"/>
    <b v="0"/>
    <n v="1.1000000000000001"/>
    <n v="7.2"/>
    <n v="5"/>
    <n v="8.8000000000000007"/>
    <n v="104.88"/>
    <m/>
    <n v="3"/>
    <x v="1"/>
    <m/>
    <m/>
    <m/>
    <m/>
  </r>
  <r>
    <s v="GD0883"/>
    <n v="25"/>
    <x v="1"/>
    <x v="1"/>
    <x v="104"/>
    <x v="1"/>
    <x v="6"/>
    <s v="StarCraft II"/>
    <s v="Multi-platform"/>
    <n v="8.5"/>
    <m/>
    <s v="Good"/>
    <s v="Always"/>
    <s v="Good"/>
    <m/>
    <n v="3"/>
    <s v="Depressed"/>
    <s v="Never"/>
    <b v="0"/>
    <b v="0"/>
    <b v="0"/>
    <b v="0"/>
    <b v="0"/>
    <n v="1.2"/>
    <n v="7.5"/>
    <n v="1"/>
    <n v="13.4"/>
    <n v="19.61"/>
    <m/>
    <n v="1"/>
    <x v="1"/>
    <m/>
    <m/>
    <m/>
    <m/>
  </r>
  <r>
    <s v="GD0884"/>
    <n v="25"/>
    <x v="1"/>
    <x v="1"/>
    <x v="49"/>
    <x v="1"/>
    <x v="1"/>
    <s v="Dota 2"/>
    <s v="Console"/>
    <n v="6.9"/>
    <m/>
    <s v="Poor"/>
    <s v="Always"/>
    <s v="Good"/>
    <m/>
    <n v="10"/>
    <s v="Angry"/>
    <s v="Sometimes"/>
    <b v="0"/>
    <b v="0"/>
    <b v="0"/>
    <b v="0"/>
    <b v="0"/>
    <n v="2.1"/>
    <n v="6.3"/>
    <n v="5"/>
    <n v="7.5"/>
    <n v="109.21"/>
    <m/>
    <n v="1"/>
    <x v="1"/>
    <m/>
    <m/>
    <m/>
    <m/>
  </r>
  <r>
    <s v="GD0885"/>
    <n v="21"/>
    <x v="1"/>
    <x v="0"/>
    <x v="52"/>
    <x v="1"/>
    <x v="5"/>
    <s v="Elder Scrolls Online"/>
    <s v="Multi-platform"/>
    <n v="7.2"/>
    <m/>
    <s v="Fair"/>
    <s v="Often"/>
    <s v="Good"/>
    <n v="2.2200000000000002"/>
    <n v="4"/>
    <s v="Normal"/>
    <s v="Rarely"/>
    <b v="0"/>
    <b v="0"/>
    <b v="0"/>
    <b v="0"/>
    <b v="0"/>
    <n v="1.4"/>
    <n v="7.8"/>
    <n v="1"/>
    <n v="13.6"/>
    <n v="35.729999999999997"/>
    <m/>
    <n v="8"/>
    <x v="1"/>
    <m/>
    <m/>
    <m/>
    <m/>
  </r>
  <r>
    <s v="GD0886"/>
    <n v="17"/>
    <x v="0"/>
    <x v="0"/>
    <x v="27"/>
    <x v="1"/>
    <x v="6"/>
    <s v="Civilization VI"/>
    <s v="PC"/>
    <n v="8.1999999999999993"/>
    <m/>
    <s v="Good"/>
    <s v="Sometimes"/>
    <s v="Poor"/>
    <n v="3.18"/>
    <m/>
    <s v="Excited"/>
    <s v="Rarely"/>
    <b v="0"/>
    <b v="0"/>
    <b v="0"/>
    <b v="0"/>
    <b v="0"/>
    <n v="0.4"/>
    <n v="11.3"/>
    <n v="1"/>
    <n v="15.7"/>
    <n v="42.85"/>
    <m/>
    <n v="6"/>
    <x v="1"/>
    <m/>
    <m/>
    <m/>
    <m/>
  </r>
  <r>
    <s v="GD0887"/>
    <n v="19"/>
    <x v="0"/>
    <x v="1"/>
    <x v="37"/>
    <x v="1"/>
    <x v="0"/>
    <s v="Genshin Impact"/>
    <s v="PC"/>
    <n v="5.9"/>
    <m/>
    <s v="Poor"/>
    <s v="Always"/>
    <s v="Below Average"/>
    <n v="3.15"/>
    <n v="7"/>
    <s v="Depressed"/>
    <s v="Daily"/>
    <b v="0"/>
    <b v="0"/>
    <b v="0"/>
    <b v="0"/>
    <b v="0"/>
    <n v="0.1"/>
    <n v="6.3"/>
    <n v="1"/>
    <n v="9.4"/>
    <n v="29.14"/>
    <m/>
    <n v="1"/>
    <x v="1"/>
    <m/>
    <m/>
    <m/>
    <m/>
  </r>
  <r>
    <s v="GD0888"/>
    <n v="19"/>
    <x v="0"/>
    <x v="0"/>
    <x v="60"/>
    <x v="1"/>
    <x v="5"/>
    <s v="World of Warcraft"/>
    <s v="Console"/>
    <n v="5.6"/>
    <m/>
    <s v="Fair"/>
    <s v="Never"/>
    <s v="Average"/>
    <n v="1.88"/>
    <n v="10"/>
    <s v="Depressed"/>
    <s v="Often"/>
    <b v="0"/>
    <b v="1"/>
    <b v="0"/>
    <b v="1"/>
    <b v="1"/>
    <n v="1.3"/>
    <n v="6"/>
    <n v="4"/>
    <n v="8"/>
    <n v="126.52"/>
    <m/>
    <n v="7"/>
    <x v="3"/>
    <m/>
    <m/>
    <m/>
    <m/>
  </r>
  <r>
    <s v="GD0889"/>
    <n v="15"/>
    <x v="0"/>
    <x v="1"/>
    <x v="10"/>
    <x v="1"/>
    <x v="6"/>
    <s v="Civilization VI"/>
    <s v="Console"/>
    <n v="4.4000000000000004"/>
    <m/>
    <s v="Poor"/>
    <s v="Rarely"/>
    <s v="Good"/>
    <n v="1.61"/>
    <m/>
    <s v="Irritable"/>
    <s v="Never"/>
    <b v="0"/>
    <b v="0"/>
    <b v="0"/>
    <b v="1"/>
    <b v="1"/>
    <n v="2.9"/>
    <n v="4.7"/>
    <n v="6"/>
    <n v="2.9"/>
    <n v="133.69"/>
    <m/>
    <n v="5"/>
    <x v="3"/>
    <m/>
    <m/>
    <m/>
    <m/>
  </r>
  <r>
    <s v="GD0890"/>
    <n v="20"/>
    <x v="1"/>
    <x v="2"/>
    <x v="110"/>
    <x v="1"/>
    <x v="6"/>
    <s v="Civilization VI"/>
    <s v="Console"/>
    <n v="5.6"/>
    <m/>
    <s v="Insomnia"/>
    <s v="Never"/>
    <s v="Below Average"/>
    <n v="2.5499999999999998"/>
    <n v="1"/>
    <s v="Angry"/>
    <s v="Sometimes"/>
    <b v="1"/>
    <b v="1"/>
    <b v="0"/>
    <b v="1"/>
    <b v="1"/>
    <n v="1.1000000000000001"/>
    <n v="6.8"/>
    <n v="4"/>
    <n v="5.2"/>
    <n v="101.34"/>
    <m/>
    <n v="9"/>
    <x v="2"/>
    <m/>
    <m/>
    <m/>
    <m/>
  </r>
  <r>
    <s v="GD0891"/>
    <n v="25"/>
    <x v="1"/>
    <x v="1"/>
    <x v="18"/>
    <x v="1"/>
    <x v="4"/>
    <s v="Apex Legends"/>
    <s v="PC"/>
    <n v="6.4"/>
    <m/>
    <s v="Fair"/>
    <s v="Rarely"/>
    <s v="Excellent"/>
    <m/>
    <n v="7"/>
    <s v="Restless"/>
    <s v="Often"/>
    <b v="0"/>
    <b v="0"/>
    <b v="0"/>
    <b v="1"/>
    <b v="0"/>
    <n v="3.3"/>
    <n v="5.6"/>
    <n v="5"/>
    <n v="8.1"/>
    <n v="67.489999999999995"/>
    <m/>
    <n v="4"/>
    <x v="1"/>
    <m/>
    <m/>
    <m/>
    <m/>
  </r>
  <r>
    <s v="GD0892"/>
    <n v="28"/>
    <x v="1"/>
    <x v="0"/>
    <x v="66"/>
    <x v="1"/>
    <x v="6"/>
    <s v="Age of Empires"/>
    <s v="Mobile"/>
    <n v="6.4"/>
    <m/>
    <s v="Poor"/>
    <s v="Rarely"/>
    <s v="Good"/>
    <m/>
    <n v="2"/>
    <s v="Irritable"/>
    <s v="Never"/>
    <b v="0"/>
    <b v="0"/>
    <b v="0"/>
    <b v="0"/>
    <b v="0"/>
    <n v="1.2"/>
    <n v="8.3000000000000007"/>
    <n v="6"/>
    <n v="11.2"/>
    <n v="49.34"/>
    <m/>
    <n v="18"/>
    <x v="1"/>
    <m/>
    <m/>
    <m/>
    <m/>
  </r>
  <r>
    <s v="GD0893"/>
    <n v="17"/>
    <x v="0"/>
    <x v="0"/>
    <x v="3"/>
    <x v="1"/>
    <x v="6"/>
    <s v="Civilization VI"/>
    <s v="PC"/>
    <n v="4.5999999999999996"/>
    <m/>
    <s v="Very Poor"/>
    <s v="Rarely"/>
    <s v="Poor"/>
    <n v="1.4"/>
    <m/>
    <s v="Anxious"/>
    <s v="Often"/>
    <b v="1"/>
    <b v="0"/>
    <b v="0"/>
    <b v="0"/>
    <b v="0"/>
    <n v="3.1"/>
    <n v="6.2"/>
    <n v="3"/>
    <n v="4.4000000000000004"/>
    <n v="59.25"/>
    <m/>
    <n v="4"/>
    <x v="3"/>
    <m/>
    <m/>
    <m/>
    <m/>
  </r>
  <r>
    <s v="GD0894"/>
    <n v="21"/>
    <x v="1"/>
    <x v="0"/>
    <x v="43"/>
    <x v="1"/>
    <x v="5"/>
    <s v="World of Warcraft"/>
    <s v="Mobile"/>
    <n v="8.3000000000000007"/>
    <m/>
    <s v="Poor"/>
    <s v="Rarely"/>
    <s v="Below Average"/>
    <n v="1.44"/>
    <n v="9"/>
    <s v="Normal"/>
    <s v="Rarely"/>
    <b v="0"/>
    <b v="0"/>
    <b v="0"/>
    <b v="0"/>
    <b v="0"/>
    <n v="0.1"/>
    <n v="8.8000000000000007"/>
    <n v="1"/>
    <n v="13.7"/>
    <n v="0.8"/>
    <m/>
    <n v="9"/>
    <x v="1"/>
    <m/>
    <m/>
    <m/>
    <m/>
  </r>
  <r>
    <s v="GD0895"/>
    <n v="20"/>
    <x v="1"/>
    <x v="0"/>
    <x v="10"/>
    <x v="1"/>
    <x v="2"/>
    <s v="Call of Duty"/>
    <s v="PC"/>
    <n v="5.4"/>
    <m/>
    <s v="Poor"/>
    <s v="Always"/>
    <s v="Poor"/>
    <n v="2.79"/>
    <n v="2"/>
    <s v="Anxious"/>
    <s v="Daily"/>
    <b v="0"/>
    <b v="1"/>
    <b v="1"/>
    <b v="1"/>
    <b v="0"/>
    <n v="2.2999999999999998"/>
    <n v="7.5"/>
    <n v="6"/>
    <n v="2.5"/>
    <n v="72.16"/>
    <m/>
    <n v="7"/>
    <x v="0"/>
    <m/>
    <m/>
    <m/>
    <m/>
  </r>
  <r>
    <s v="GD0896"/>
    <n v="30"/>
    <x v="1"/>
    <x v="0"/>
    <x v="130"/>
    <x v="1"/>
    <x v="2"/>
    <s v="Call of Duty"/>
    <s v="Console"/>
    <n v="4.2"/>
    <m/>
    <s v="Poor"/>
    <s v="Sometimes"/>
    <s v="Failing"/>
    <m/>
    <n v="5"/>
    <s v="Angry"/>
    <s v="Daily"/>
    <b v="0"/>
    <b v="1"/>
    <b v="1"/>
    <b v="0"/>
    <b v="1"/>
    <n v="5"/>
    <n v="2.4"/>
    <n v="10"/>
    <n v="0"/>
    <n v="380.97"/>
    <m/>
    <n v="19"/>
    <x v="0"/>
    <m/>
    <m/>
    <m/>
    <m/>
  </r>
  <r>
    <s v="GD0897"/>
    <n v="22"/>
    <x v="1"/>
    <x v="2"/>
    <x v="12"/>
    <x v="1"/>
    <x v="1"/>
    <s v="Mobile Legends"/>
    <s v="Console"/>
    <n v="6.5"/>
    <m/>
    <s v="Fair"/>
    <s v="Never"/>
    <s v="Good"/>
    <n v="1.1299999999999999"/>
    <n v="9"/>
    <s v="Withdrawn"/>
    <s v="Sometimes"/>
    <b v="0"/>
    <b v="1"/>
    <b v="0"/>
    <b v="1"/>
    <b v="0"/>
    <n v="1.2"/>
    <n v="7.7"/>
    <n v="4"/>
    <n v="9.6999999999999993"/>
    <n v="114.03"/>
    <m/>
    <n v="3"/>
    <x v="3"/>
    <m/>
    <m/>
    <m/>
    <m/>
  </r>
  <r>
    <s v="GD0898"/>
    <n v="24"/>
    <x v="1"/>
    <x v="0"/>
    <x v="104"/>
    <x v="1"/>
    <x v="6"/>
    <s v="Civilization VI"/>
    <s v="Mobile"/>
    <n v="7.2"/>
    <m/>
    <s v="Good"/>
    <s v="Often"/>
    <s v="Good"/>
    <m/>
    <n v="6"/>
    <s v="Normal"/>
    <s v="Rarely"/>
    <b v="0"/>
    <b v="0"/>
    <b v="0"/>
    <b v="0"/>
    <b v="0"/>
    <n v="0.1"/>
    <n v="10.9"/>
    <n v="2"/>
    <n v="13.5"/>
    <n v="5.62"/>
    <m/>
    <n v="12"/>
    <x v="1"/>
    <m/>
    <m/>
    <m/>
    <m/>
  </r>
  <r>
    <s v="GD0899"/>
    <n v="22"/>
    <x v="1"/>
    <x v="0"/>
    <x v="78"/>
    <x v="1"/>
    <x v="0"/>
    <s v="Candy Crush"/>
    <s v="Multi-platform"/>
    <n v="5.2"/>
    <m/>
    <s v="Good"/>
    <s v="Sometimes"/>
    <s v="Excellent"/>
    <n v="2.4700000000000002"/>
    <n v="9"/>
    <s v="Normal"/>
    <s v="Daily"/>
    <b v="0"/>
    <b v="0"/>
    <b v="0"/>
    <b v="0"/>
    <b v="0"/>
    <n v="1.2"/>
    <n v="7.9"/>
    <n v="1"/>
    <n v="12.5"/>
    <n v="33.26"/>
    <m/>
    <n v="5"/>
    <x v="1"/>
    <m/>
    <m/>
    <m/>
    <m/>
  </r>
  <r>
    <s v="GD0900"/>
    <n v="15"/>
    <x v="0"/>
    <x v="0"/>
    <x v="28"/>
    <x v="1"/>
    <x v="3"/>
    <s v="Elden Ring"/>
    <s v="Console"/>
    <n v="4.0999999999999996"/>
    <m/>
    <s v="Poor"/>
    <s v="Never"/>
    <s v="Failing"/>
    <n v="1.3"/>
    <m/>
    <s v="Anxious"/>
    <s v="Sometimes"/>
    <b v="0"/>
    <b v="1"/>
    <b v="0"/>
    <b v="1"/>
    <b v="0"/>
    <n v="3.7"/>
    <n v="5.9"/>
    <n v="4"/>
    <n v="7.6"/>
    <n v="92.99"/>
    <m/>
    <n v="5"/>
    <x v="3"/>
    <m/>
    <m/>
    <m/>
    <m/>
  </r>
  <r>
    <s v="GD0901"/>
    <n v="21"/>
    <x v="1"/>
    <x v="0"/>
    <x v="19"/>
    <x v="1"/>
    <x v="5"/>
    <s v="Final Fantasy XIV"/>
    <s v="PC"/>
    <n v="5.0999999999999996"/>
    <m/>
    <s v="Poor"/>
    <s v="Always"/>
    <s v="Good"/>
    <n v="2.0099999999999998"/>
    <n v="6"/>
    <s v="Irritable"/>
    <s v="Sometimes"/>
    <b v="0"/>
    <b v="1"/>
    <b v="0"/>
    <b v="1"/>
    <b v="1"/>
    <n v="1.6"/>
    <n v="7"/>
    <n v="3"/>
    <n v="5.3"/>
    <n v="14.97"/>
    <m/>
    <n v="5"/>
    <x v="3"/>
    <m/>
    <m/>
    <m/>
    <m/>
  </r>
  <r>
    <s v="GD0902"/>
    <n v="17"/>
    <x v="0"/>
    <x v="0"/>
    <x v="30"/>
    <x v="1"/>
    <x v="0"/>
    <s v="Genshin Impact"/>
    <s v="PC"/>
    <n v="7.2"/>
    <m/>
    <s v="Good"/>
    <s v="Rarely"/>
    <s v="Good"/>
    <n v="3.36"/>
    <m/>
    <s v="Euphoric"/>
    <s v="Sometimes"/>
    <b v="0"/>
    <b v="0"/>
    <b v="0"/>
    <b v="0"/>
    <b v="0"/>
    <n v="0.6"/>
    <n v="10.199999999999999"/>
    <n v="2"/>
    <n v="10.5"/>
    <n v="49.53"/>
    <m/>
    <n v="5"/>
    <x v="1"/>
    <m/>
    <m/>
    <m/>
    <m/>
  </r>
  <r>
    <s v="GD0903"/>
    <n v="15"/>
    <x v="0"/>
    <x v="0"/>
    <x v="63"/>
    <x v="1"/>
    <x v="1"/>
    <s v="Dota 2"/>
    <s v="Multi-platform"/>
    <n v="4.9000000000000004"/>
    <m/>
    <s v="Very Poor"/>
    <s v="Often"/>
    <s v="Average"/>
    <n v="2.72"/>
    <m/>
    <s v="Angry"/>
    <s v="Daily"/>
    <b v="0"/>
    <b v="1"/>
    <b v="1"/>
    <b v="1"/>
    <b v="0"/>
    <n v="1.2"/>
    <n v="6.4"/>
    <n v="4"/>
    <n v="6.6"/>
    <n v="60.41"/>
    <m/>
    <n v="3"/>
    <x v="2"/>
    <m/>
    <m/>
    <m/>
    <m/>
  </r>
  <r>
    <s v="GD0904"/>
    <n v="27"/>
    <x v="1"/>
    <x v="0"/>
    <x v="28"/>
    <x v="1"/>
    <x v="0"/>
    <s v="Candy Crush"/>
    <s v="Console"/>
    <n v="5.0999999999999996"/>
    <m/>
    <s v="Poor"/>
    <s v="Sometimes"/>
    <s v="Poor"/>
    <m/>
    <n v="6"/>
    <s v="Anxious"/>
    <s v="Rarely"/>
    <b v="1"/>
    <b v="0"/>
    <b v="0"/>
    <b v="1"/>
    <b v="0"/>
    <n v="2.5"/>
    <n v="6.1"/>
    <n v="5"/>
    <n v="3.8"/>
    <n v="59.86"/>
    <m/>
    <n v="2"/>
    <x v="3"/>
    <m/>
    <m/>
    <m/>
    <m/>
  </r>
  <r>
    <s v="GD0905"/>
    <n v="21"/>
    <x v="1"/>
    <x v="1"/>
    <x v="12"/>
    <x v="1"/>
    <x v="1"/>
    <s v="League of Legends"/>
    <s v="Multi-platform"/>
    <n v="6.2"/>
    <m/>
    <s v="Good"/>
    <s v="Rarely"/>
    <s v="Average"/>
    <n v="3.39"/>
    <n v="9"/>
    <s v="Depressed"/>
    <s v="Often"/>
    <b v="0"/>
    <b v="1"/>
    <b v="0"/>
    <b v="1"/>
    <b v="1"/>
    <n v="4.4000000000000004"/>
    <n v="5.8"/>
    <n v="3"/>
    <n v="6.2"/>
    <n v="107.95"/>
    <m/>
    <n v="10"/>
    <x v="3"/>
    <m/>
    <m/>
    <m/>
    <m/>
  </r>
  <r>
    <s v="GD0906"/>
    <n v="19"/>
    <x v="0"/>
    <x v="0"/>
    <x v="104"/>
    <x v="1"/>
    <x v="2"/>
    <s v="Call of Duty"/>
    <s v="Multi-platform"/>
    <n v="7.6"/>
    <m/>
    <s v="Good"/>
    <s v="Sometimes"/>
    <s v="Excellent"/>
    <n v="1.69"/>
    <n v="9"/>
    <s v="Normal"/>
    <s v="Rarely"/>
    <b v="0"/>
    <b v="0"/>
    <b v="0"/>
    <b v="0"/>
    <b v="0"/>
    <n v="0.5"/>
    <n v="10.5"/>
    <n v="2"/>
    <n v="10.199999999999999"/>
    <n v="16.989999999999998"/>
    <m/>
    <n v="4"/>
    <x v="1"/>
    <m/>
    <m/>
    <m/>
    <m/>
  </r>
  <r>
    <s v="GD0907"/>
    <n v="24"/>
    <x v="1"/>
    <x v="1"/>
    <x v="78"/>
    <x v="1"/>
    <x v="1"/>
    <s v="Dota 2"/>
    <s v="Console"/>
    <n v="6.9"/>
    <m/>
    <s v="Good"/>
    <s v="Always"/>
    <s v="Excellent"/>
    <m/>
    <n v="6"/>
    <s v="Anxious"/>
    <s v="Daily"/>
    <b v="0"/>
    <b v="0"/>
    <b v="0"/>
    <b v="0"/>
    <b v="0"/>
    <n v="0.9"/>
    <n v="6.1"/>
    <n v="1"/>
    <n v="9.6999999999999993"/>
    <n v="33.21"/>
    <m/>
    <n v="13"/>
    <x v="1"/>
    <m/>
    <m/>
    <m/>
    <m/>
  </r>
  <r>
    <s v="GD0908"/>
    <n v="20"/>
    <x v="1"/>
    <x v="0"/>
    <x v="66"/>
    <x v="1"/>
    <x v="5"/>
    <s v="Elder Scrolls Online"/>
    <s v="PC"/>
    <n v="6.9"/>
    <m/>
    <s v="Very Poor"/>
    <s v="Sometimes"/>
    <s v="Excellent"/>
    <n v="2.08"/>
    <n v="8"/>
    <s v="Euphoric"/>
    <s v="Sometimes"/>
    <b v="0"/>
    <b v="0"/>
    <b v="0"/>
    <b v="1"/>
    <b v="0"/>
    <n v="0.1"/>
    <n v="8.6"/>
    <n v="3"/>
    <n v="8.9"/>
    <n v="69.06"/>
    <m/>
    <n v="7"/>
    <x v="1"/>
    <m/>
    <m/>
    <m/>
    <m/>
  </r>
  <r>
    <s v="GD0909"/>
    <n v="18"/>
    <x v="0"/>
    <x v="0"/>
    <x v="69"/>
    <x v="1"/>
    <x v="0"/>
    <s v="PUBG Mobile"/>
    <s v="Multi-platform"/>
    <n v="5.8"/>
    <m/>
    <s v="Very Poor"/>
    <s v="Rarely"/>
    <s v="Poor"/>
    <n v="3.02"/>
    <m/>
    <s v="Restless"/>
    <s v="Daily"/>
    <b v="0"/>
    <b v="1"/>
    <b v="1"/>
    <b v="1"/>
    <b v="0"/>
    <n v="2.2000000000000002"/>
    <n v="2.4"/>
    <n v="7"/>
    <n v="2.2000000000000002"/>
    <n v="405.19"/>
    <m/>
    <n v="3"/>
    <x v="0"/>
    <m/>
    <m/>
    <m/>
    <m/>
  </r>
  <r>
    <s v="GD0910"/>
    <n v="19"/>
    <x v="0"/>
    <x v="0"/>
    <x v="95"/>
    <x v="1"/>
    <x v="5"/>
    <s v="Final Fantasy XIV"/>
    <s v="PC"/>
    <n v="3.5"/>
    <m/>
    <s v="Insomnia"/>
    <s v="Sometimes"/>
    <s v="Below Average"/>
    <n v="3.73"/>
    <n v="10"/>
    <s v="Irritable"/>
    <s v="Sometimes"/>
    <b v="1"/>
    <b v="0"/>
    <b v="1"/>
    <b v="1"/>
    <b v="0"/>
    <n v="2.1"/>
    <n v="6.5"/>
    <n v="6"/>
    <n v="1.6"/>
    <n v="456.77"/>
    <m/>
    <n v="9"/>
    <x v="0"/>
    <m/>
    <m/>
    <m/>
    <m/>
  </r>
  <r>
    <s v="GD0911"/>
    <n v="20"/>
    <x v="1"/>
    <x v="2"/>
    <x v="37"/>
    <x v="1"/>
    <x v="3"/>
    <s v="Elden Ring"/>
    <s v="Multi-platform"/>
    <n v="6.8"/>
    <m/>
    <s v="Poor"/>
    <s v="Sometimes"/>
    <s v="Average"/>
    <n v="3.63"/>
    <n v="1"/>
    <s v="Irritable"/>
    <s v="Rarely"/>
    <b v="0"/>
    <b v="0"/>
    <b v="0"/>
    <b v="0"/>
    <b v="0"/>
    <n v="0.9"/>
    <n v="6.5"/>
    <n v="2"/>
    <n v="11.6"/>
    <n v="45.92"/>
    <m/>
    <n v="8"/>
    <x v="1"/>
    <m/>
    <m/>
    <m/>
    <m/>
  </r>
  <r>
    <s v="GD0912"/>
    <n v="21"/>
    <x v="1"/>
    <x v="0"/>
    <x v="120"/>
    <x v="1"/>
    <x v="3"/>
    <s v="Cyberpunk 2077"/>
    <s v="Multi-platform"/>
    <n v="3.7"/>
    <m/>
    <s v="Poor"/>
    <s v="Never"/>
    <s v="Failing"/>
    <n v="2.96"/>
    <n v="8"/>
    <s v="Angry"/>
    <s v="Sometimes"/>
    <b v="0"/>
    <b v="1"/>
    <b v="0"/>
    <b v="1"/>
    <b v="0"/>
    <n v="3.2"/>
    <n v="4.0999999999999996"/>
    <n v="8"/>
    <n v="3.1"/>
    <n v="131.29"/>
    <m/>
    <n v="9"/>
    <x v="2"/>
    <m/>
    <m/>
    <m/>
    <m/>
  </r>
  <r>
    <s v="GD0913"/>
    <n v="28"/>
    <x v="1"/>
    <x v="0"/>
    <x v="21"/>
    <x v="1"/>
    <x v="2"/>
    <s v="Call of Duty"/>
    <s v="PC"/>
    <n v="5.3"/>
    <m/>
    <s v="Good"/>
    <s v="Often"/>
    <s v="Good"/>
    <m/>
    <n v="2"/>
    <s v="Irritable"/>
    <s v="Daily"/>
    <b v="0"/>
    <b v="0"/>
    <b v="0"/>
    <b v="1"/>
    <b v="0"/>
    <n v="2.7"/>
    <n v="8.1999999999999993"/>
    <n v="3"/>
    <n v="9.8000000000000007"/>
    <n v="12.79"/>
    <m/>
    <n v="18"/>
    <x v="1"/>
    <m/>
    <m/>
    <m/>
    <m/>
  </r>
  <r>
    <s v="GD0914"/>
    <n v="19"/>
    <x v="0"/>
    <x v="0"/>
    <x v="99"/>
    <x v="1"/>
    <x v="2"/>
    <s v="CS:GO"/>
    <s v="Mobile"/>
    <n v="5.2"/>
    <m/>
    <s v="Fair"/>
    <s v="Sometimes"/>
    <s v="Good"/>
    <n v="3.98"/>
    <n v="9"/>
    <s v="Anxious"/>
    <s v="Never"/>
    <b v="0"/>
    <b v="0"/>
    <b v="0"/>
    <b v="0"/>
    <b v="0"/>
    <n v="2.8"/>
    <n v="6.1"/>
    <n v="3"/>
    <n v="7.7"/>
    <n v="1.99"/>
    <m/>
    <n v="3"/>
    <x v="1"/>
    <m/>
    <m/>
    <m/>
    <m/>
  </r>
  <r>
    <s v="GD0915"/>
    <n v="30"/>
    <x v="1"/>
    <x v="0"/>
    <x v="59"/>
    <x v="1"/>
    <x v="1"/>
    <s v="Mobile Legends"/>
    <s v="PC"/>
    <n v="4.4000000000000004"/>
    <m/>
    <s v="Very Poor"/>
    <s v="Sometimes"/>
    <s v="Poor"/>
    <m/>
    <n v="6"/>
    <s v="Anxious"/>
    <s v="Sometimes"/>
    <b v="1"/>
    <b v="1"/>
    <b v="1"/>
    <b v="1"/>
    <b v="0"/>
    <n v="4.4000000000000004"/>
    <n v="4"/>
    <n v="4"/>
    <n v="6.9"/>
    <n v="458.97"/>
    <m/>
    <n v="18"/>
    <x v="0"/>
    <m/>
    <m/>
    <m/>
    <m/>
  </r>
  <r>
    <s v="GD0916"/>
    <n v="19"/>
    <x v="0"/>
    <x v="0"/>
    <x v="116"/>
    <x v="1"/>
    <x v="4"/>
    <s v="Warzone"/>
    <s v="PC"/>
    <n v="7.4"/>
    <m/>
    <s v="Fair"/>
    <s v="Never"/>
    <s v="Average"/>
    <n v="1.5"/>
    <n v="9"/>
    <s v="Excited"/>
    <s v="Daily"/>
    <b v="0"/>
    <b v="0"/>
    <b v="0"/>
    <b v="0"/>
    <b v="0"/>
    <n v="0.3"/>
    <n v="9.6999999999999993"/>
    <n v="3"/>
    <n v="14.4"/>
    <n v="45.05"/>
    <m/>
    <n v="5"/>
    <x v="1"/>
    <m/>
    <m/>
    <m/>
    <m/>
  </r>
  <r>
    <s v="GD0917"/>
    <n v="22"/>
    <x v="1"/>
    <x v="0"/>
    <x v="71"/>
    <x v="1"/>
    <x v="4"/>
    <s v="Warzone"/>
    <s v="Multi-platform"/>
    <n v="5.6"/>
    <m/>
    <s v="Poor"/>
    <s v="Never"/>
    <s v="Below Average"/>
    <n v="1.76"/>
    <n v="10"/>
    <s v="Irritable"/>
    <s v="Never"/>
    <b v="0"/>
    <b v="0"/>
    <b v="0"/>
    <b v="0"/>
    <b v="0"/>
    <n v="0.3"/>
    <n v="8.3000000000000007"/>
    <n v="1"/>
    <n v="11.6"/>
    <n v="1.38"/>
    <m/>
    <n v="1"/>
    <x v="1"/>
    <m/>
    <m/>
    <m/>
    <m/>
  </r>
  <r>
    <s v="GD0918"/>
    <n v="19"/>
    <x v="0"/>
    <x v="1"/>
    <x v="20"/>
    <x v="1"/>
    <x v="6"/>
    <s v="StarCraft II"/>
    <s v="Console"/>
    <n v="5.9"/>
    <m/>
    <s v="Very Poor"/>
    <s v="Sometimes"/>
    <s v="Failing"/>
    <n v="2.44"/>
    <n v="5"/>
    <s v="Withdrawn"/>
    <s v="Rarely"/>
    <b v="1"/>
    <b v="1"/>
    <b v="0"/>
    <b v="1"/>
    <b v="0"/>
    <n v="0.8"/>
    <n v="5.6"/>
    <n v="5"/>
    <n v="2.6"/>
    <n v="190.37"/>
    <m/>
    <n v="7"/>
    <x v="0"/>
    <m/>
    <m/>
    <m/>
    <m/>
  </r>
  <r>
    <s v="GD0919"/>
    <n v="20"/>
    <x v="1"/>
    <x v="0"/>
    <x v="26"/>
    <x v="1"/>
    <x v="1"/>
    <s v="Mobile Legends"/>
    <s v="PC"/>
    <n v="5.9"/>
    <m/>
    <s v="Fair"/>
    <s v="Sometimes"/>
    <s v="Average"/>
    <n v="3.63"/>
    <n v="8"/>
    <s v="Anxious"/>
    <s v="Rarely"/>
    <b v="0"/>
    <b v="0"/>
    <b v="0"/>
    <b v="1"/>
    <b v="0"/>
    <n v="0.4"/>
    <n v="8.1999999999999993"/>
    <n v="4"/>
    <n v="9.6"/>
    <n v="79.06"/>
    <m/>
    <n v="9"/>
    <x v="1"/>
    <m/>
    <m/>
    <m/>
    <m/>
  </r>
  <r>
    <s v="GD0920"/>
    <n v="22"/>
    <x v="1"/>
    <x v="1"/>
    <x v="19"/>
    <x v="1"/>
    <x v="2"/>
    <s v="Call of Duty"/>
    <s v="PC"/>
    <n v="6.8"/>
    <m/>
    <s v="Poor"/>
    <s v="Rarely"/>
    <s v="Average"/>
    <n v="2.0499999999999998"/>
    <n v="2"/>
    <s v="Angry"/>
    <s v="Never"/>
    <b v="0"/>
    <b v="1"/>
    <b v="0"/>
    <b v="1"/>
    <b v="1"/>
    <n v="0.4"/>
    <n v="7.8"/>
    <n v="5"/>
    <n v="6.3"/>
    <n v="50.08"/>
    <m/>
    <n v="4"/>
    <x v="3"/>
    <m/>
    <m/>
    <m/>
    <m/>
  </r>
  <r>
    <s v="GD0921"/>
    <n v="20"/>
    <x v="1"/>
    <x v="1"/>
    <x v="105"/>
    <x v="1"/>
    <x v="1"/>
    <s v="League of Legends"/>
    <s v="Mobile"/>
    <n v="8.8000000000000007"/>
    <m/>
    <s v="Good"/>
    <s v="Rarely"/>
    <s v="Good"/>
    <n v="3.8"/>
    <n v="7"/>
    <s v="Excited"/>
    <s v="Sometimes"/>
    <b v="0"/>
    <b v="0"/>
    <b v="0"/>
    <b v="0"/>
    <b v="0"/>
    <n v="0.2"/>
    <n v="7.8"/>
    <n v="1"/>
    <n v="10.199999999999999"/>
    <n v="47.37"/>
    <m/>
    <n v="9"/>
    <x v="1"/>
    <m/>
    <m/>
    <m/>
    <m/>
  </r>
  <r>
    <s v="GD0922"/>
    <n v="27"/>
    <x v="1"/>
    <x v="0"/>
    <x v="48"/>
    <x v="1"/>
    <x v="0"/>
    <s v="Clash of Clans"/>
    <s v="PC"/>
    <n v="5.0999999999999996"/>
    <m/>
    <s v="Poor"/>
    <s v="Rarely"/>
    <s v="Good"/>
    <m/>
    <n v="7"/>
    <s v="Depressed"/>
    <s v="Rarely"/>
    <b v="1"/>
    <b v="1"/>
    <b v="1"/>
    <b v="0"/>
    <b v="0"/>
    <n v="1.4"/>
    <n v="2.9"/>
    <n v="8"/>
    <n v="0"/>
    <n v="331.29"/>
    <m/>
    <n v="2"/>
    <x v="0"/>
    <m/>
    <m/>
    <m/>
    <m/>
  </r>
  <r>
    <s v="GD0923"/>
    <n v="17"/>
    <x v="0"/>
    <x v="0"/>
    <x v="99"/>
    <x v="1"/>
    <x v="0"/>
    <s v="Genshin Impact"/>
    <s v="Mobile"/>
    <n v="6.4"/>
    <m/>
    <s v="Good"/>
    <s v="Sometimes"/>
    <s v="Average"/>
    <n v="1.1200000000000001"/>
    <m/>
    <s v="Anxious"/>
    <s v="Daily"/>
    <b v="0"/>
    <b v="0"/>
    <b v="0"/>
    <b v="0"/>
    <b v="0"/>
    <n v="0.7"/>
    <n v="6.8"/>
    <n v="2"/>
    <n v="11.2"/>
    <n v="12.42"/>
    <m/>
    <n v="1"/>
    <x v="1"/>
    <m/>
    <m/>
    <m/>
    <m/>
  </r>
  <r>
    <s v="GD0924"/>
    <n v="18"/>
    <x v="0"/>
    <x v="0"/>
    <x v="63"/>
    <x v="1"/>
    <x v="3"/>
    <s v="Elden Ring"/>
    <s v="Mobile"/>
    <n v="4.5"/>
    <m/>
    <s v="Poor"/>
    <s v="Always"/>
    <s v="Below Average"/>
    <n v="3.42"/>
    <m/>
    <s v="Anxious"/>
    <s v="Often"/>
    <b v="1"/>
    <b v="1"/>
    <b v="0"/>
    <b v="1"/>
    <b v="0"/>
    <n v="2.6"/>
    <n v="5"/>
    <n v="6"/>
    <n v="8.1999999999999993"/>
    <n v="82.51"/>
    <m/>
    <n v="7"/>
    <x v="2"/>
    <m/>
    <m/>
    <m/>
    <m/>
  </r>
  <r>
    <s v="GD0925"/>
    <n v="20"/>
    <x v="1"/>
    <x v="0"/>
    <x v="94"/>
    <x v="1"/>
    <x v="6"/>
    <s v="StarCraft II"/>
    <s v="Mobile"/>
    <n v="5"/>
    <m/>
    <s v="Poor"/>
    <s v="Always"/>
    <s v="Below Average"/>
    <n v="1.1200000000000001"/>
    <n v="2"/>
    <s v="Anxious"/>
    <s v="Often"/>
    <b v="1"/>
    <b v="1"/>
    <b v="0"/>
    <b v="1"/>
    <b v="1"/>
    <n v="5.5"/>
    <n v="5.7"/>
    <n v="6"/>
    <n v="2.2999999999999998"/>
    <n v="339.42"/>
    <m/>
    <n v="9"/>
    <x v="0"/>
    <m/>
    <m/>
    <m/>
    <m/>
  </r>
  <r>
    <s v="GD0926"/>
    <n v="26"/>
    <x v="1"/>
    <x v="0"/>
    <x v="14"/>
    <x v="1"/>
    <x v="1"/>
    <s v="Dota 2"/>
    <s v="Multi-platform"/>
    <n v="3.2"/>
    <m/>
    <s v="Very Poor"/>
    <s v="Sometimes"/>
    <s v="Poor"/>
    <m/>
    <n v="7"/>
    <s v="Restless"/>
    <s v="Sometimes"/>
    <b v="1"/>
    <b v="0"/>
    <b v="1"/>
    <b v="1"/>
    <b v="1"/>
    <n v="2.1"/>
    <n v="6.2"/>
    <n v="7"/>
    <n v="1.2"/>
    <n v="334.36"/>
    <m/>
    <n v="3"/>
    <x v="0"/>
    <m/>
    <m/>
    <m/>
    <m/>
  </r>
  <r>
    <s v="GD0927"/>
    <n v="20"/>
    <x v="1"/>
    <x v="0"/>
    <x v="26"/>
    <x v="1"/>
    <x v="6"/>
    <s v="StarCraft II"/>
    <s v="Mobile"/>
    <n v="5.7"/>
    <m/>
    <s v="Good"/>
    <s v="Never"/>
    <s v="Excellent"/>
    <n v="2.63"/>
    <n v="8"/>
    <s v="Normal"/>
    <s v="Often"/>
    <b v="0"/>
    <b v="0"/>
    <b v="0"/>
    <b v="1"/>
    <b v="0"/>
    <n v="1.8"/>
    <n v="7.3"/>
    <n v="1"/>
    <n v="7.7"/>
    <n v="74.39"/>
    <m/>
    <n v="9"/>
    <x v="1"/>
    <m/>
    <m/>
    <m/>
    <m/>
  </r>
  <r>
    <s v="GD0928"/>
    <n v="17"/>
    <x v="0"/>
    <x v="0"/>
    <x v="47"/>
    <x v="1"/>
    <x v="6"/>
    <s v="StarCraft II"/>
    <s v="Console"/>
    <n v="6.2"/>
    <m/>
    <s v="Very Poor"/>
    <s v="Rarely"/>
    <s v="Average"/>
    <n v="3.11"/>
    <m/>
    <s v="Irritable"/>
    <s v="Sometimes"/>
    <b v="0"/>
    <b v="1"/>
    <b v="0"/>
    <b v="1"/>
    <b v="0"/>
    <n v="2.4"/>
    <n v="8.6"/>
    <n v="3"/>
    <n v="5.6"/>
    <n v="36.119999999999997"/>
    <m/>
    <n v="3"/>
    <x v="3"/>
    <m/>
    <m/>
    <m/>
    <m/>
  </r>
  <r>
    <s v="GD0929"/>
    <n v="20"/>
    <x v="1"/>
    <x v="0"/>
    <x v="47"/>
    <x v="1"/>
    <x v="1"/>
    <s v="League of Legends"/>
    <s v="PC"/>
    <n v="5.4"/>
    <m/>
    <s v="Good"/>
    <s v="Sometimes"/>
    <s v="Below Average"/>
    <n v="3.24"/>
    <n v="3"/>
    <s v="Depressed"/>
    <s v="Rarely"/>
    <b v="0"/>
    <b v="0"/>
    <b v="0"/>
    <b v="1"/>
    <b v="1"/>
    <n v="0.7"/>
    <n v="8.4"/>
    <n v="3"/>
    <n v="5"/>
    <n v="68.45"/>
    <m/>
    <n v="1"/>
    <x v="1"/>
    <m/>
    <m/>
    <m/>
    <m/>
  </r>
  <r>
    <s v="GD0930"/>
    <n v="28"/>
    <x v="1"/>
    <x v="0"/>
    <x v="76"/>
    <x v="1"/>
    <x v="2"/>
    <s v="Overwatch"/>
    <s v="PC"/>
    <n v="3.1"/>
    <m/>
    <s v="Good"/>
    <s v="Never"/>
    <s v="Poor"/>
    <m/>
    <n v="3"/>
    <s v="Irritable"/>
    <s v="Never"/>
    <b v="1"/>
    <b v="0"/>
    <b v="0"/>
    <b v="1"/>
    <b v="1"/>
    <n v="1.8"/>
    <n v="7.2"/>
    <n v="5"/>
    <n v="7.8"/>
    <n v="129.71"/>
    <m/>
    <n v="5"/>
    <x v="3"/>
    <m/>
    <m/>
    <m/>
    <m/>
  </r>
  <r>
    <s v="GD0931"/>
    <n v="15"/>
    <x v="0"/>
    <x v="0"/>
    <x v="54"/>
    <x v="1"/>
    <x v="3"/>
    <s v="Elden Ring"/>
    <s v="Multi-platform"/>
    <n v="5.6"/>
    <m/>
    <s v="Fair"/>
    <s v="Always"/>
    <s v="Average"/>
    <n v="3.43"/>
    <m/>
    <s v="Anxious"/>
    <s v="Daily"/>
    <b v="0"/>
    <b v="0"/>
    <b v="0"/>
    <b v="1"/>
    <b v="0"/>
    <n v="1.5"/>
    <n v="7.7"/>
    <n v="4"/>
    <n v="11.1"/>
    <n v="36.799999999999997"/>
    <m/>
    <n v="2"/>
    <x v="1"/>
    <m/>
    <m/>
    <m/>
    <m/>
  </r>
  <r>
    <s v="GD0932"/>
    <n v="20"/>
    <x v="1"/>
    <x v="2"/>
    <x v="80"/>
    <x v="1"/>
    <x v="6"/>
    <s v="Civilization VI"/>
    <s v="Console"/>
    <n v="4.8"/>
    <m/>
    <s v="Very Poor"/>
    <s v="Never"/>
    <s v="Below Average"/>
    <n v="3.81"/>
    <n v="8"/>
    <s v="Euphoric"/>
    <s v="Daily"/>
    <b v="1"/>
    <b v="1"/>
    <b v="0"/>
    <b v="0"/>
    <b v="0"/>
    <n v="1.7"/>
    <n v="3.9"/>
    <n v="5"/>
    <n v="5.7"/>
    <n v="312.2"/>
    <m/>
    <n v="8"/>
    <x v="0"/>
    <m/>
    <m/>
    <m/>
    <m/>
  </r>
  <r>
    <s v="GD0933"/>
    <n v="15"/>
    <x v="0"/>
    <x v="0"/>
    <x v="41"/>
    <x v="1"/>
    <x v="3"/>
    <s v="Elden Ring"/>
    <s v="Mobile"/>
    <n v="3.9"/>
    <m/>
    <s v="Very Poor"/>
    <s v="Never"/>
    <s v="Average"/>
    <n v="2.48"/>
    <m/>
    <s v="Irritable"/>
    <s v="Daily"/>
    <b v="1"/>
    <b v="1"/>
    <b v="0"/>
    <b v="0"/>
    <b v="0"/>
    <n v="8.6999999999999993"/>
    <n v="5.9"/>
    <n v="9"/>
    <n v="2.9"/>
    <n v="367.71"/>
    <m/>
    <n v="2"/>
    <x v="0"/>
    <m/>
    <m/>
    <m/>
    <m/>
  </r>
  <r>
    <s v="GD0934"/>
    <n v="28"/>
    <x v="1"/>
    <x v="1"/>
    <x v="89"/>
    <x v="1"/>
    <x v="3"/>
    <s v="Cyberpunk 2077"/>
    <s v="Console"/>
    <n v="3.2"/>
    <m/>
    <s v="Good"/>
    <s v="Rarely"/>
    <s v="Failing"/>
    <m/>
    <n v="7"/>
    <s v="Restless"/>
    <s v="Often"/>
    <b v="0"/>
    <b v="0"/>
    <b v="1"/>
    <b v="1"/>
    <b v="0"/>
    <n v="2.7"/>
    <n v="4.4000000000000004"/>
    <n v="9"/>
    <n v="2.8"/>
    <n v="154.85"/>
    <m/>
    <n v="15"/>
    <x v="2"/>
    <m/>
    <m/>
    <m/>
    <m/>
  </r>
  <r>
    <s v="GD0935"/>
    <n v="20"/>
    <x v="1"/>
    <x v="1"/>
    <x v="18"/>
    <x v="1"/>
    <x v="4"/>
    <s v="Warzone"/>
    <s v="Console"/>
    <n v="6.3"/>
    <m/>
    <s v="Fair"/>
    <s v="Rarely"/>
    <s v="Good"/>
    <n v="3.58"/>
    <n v="6"/>
    <s v="Anxious"/>
    <s v="Daily"/>
    <b v="0"/>
    <b v="1"/>
    <b v="0"/>
    <b v="1"/>
    <b v="1"/>
    <n v="0.2"/>
    <n v="8.4"/>
    <n v="3"/>
    <n v="7.8"/>
    <n v="135.6"/>
    <m/>
    <n v="2"/>
    <x v="3"/>
    <m/>
    <m/>
    <m/>
    <m/>
  </r>
  <r>
    <s v="GD0936"/>
    <n v="20"/>
    <x v="1"/>
    <x v="0"/>
    <x v="67"/>
    <x v="1"/>
    <x v="6"/>
    <s v="Civilization VI"/>
    <s v="Console"/>
    <n v="6"/>
    <m/>
    <s v="Fair"/>
    <s v="Always"/>
    <s v="Poor"/>
    <n v="2.02"/>
    <n v="6"/>
    <s v="Anxious"/>
    <s v="Rarely"/>
    <b v="1"/>
    <b v="0"/>
    <b v="1"/>
    <b v="1"/>
    <b v="1"/>
    <n v="1.7"/>
    <n v="5.2"/>
    <n v="6"/>
    <n v="2"/>
    <n v="444.67"/>
    <m/>
    <n v="6"/>
    <x v="0"/>
    <m/>
    <m/>
    <m/>
    <m/>
  </r>
  <r>
    <s v="GD0937"/>
    <n v="27"/>
    <x v="1"/>
    <x v="0"/>
    <x v="49"/>
    <x v="1"/>
    <x v="2"/>
    <s v="Valorant"/>
    <s v="Console"/>
    <n v="6.1"/>
    <m/>
    <s v="Good"/>
    <s v="Sometimes"/>
    <s v="Average"/>
    <m/>
    <n v="8"/>
    <s v="Depressed"/>
    <s v="Never"/>
    <b v="0"/>
    <b v="0"/>
    <b v="0"/>
    <b v="0"/>
    <b v="0"/>
    <n v="2.2000000000000002"/>
    <n v="6.7"/>
    <n v="2"/>
    <n v="6.4"/>
    <n v="36.17"/>
    <m/>
    <n v="14"/>
    <x v="1"/>
    <m/>
    <m/>
    <m/>
    <m/>
  </r>
  <r>
    <s v="GD0938"/>
    <n v="22"/>
    <x v="1"/>
    <x v="1"/>
    <x v="22"/>
    <x v="1"/>
    <x v="2"/>
    <s v="Overwatch"/>
    <s v="Mobile"/>
    <n v="7.3"/>
    <m/>
    <s v="Good"/>
    <s v="Rarely"/>
    <s v="Excellent"/>
    <n v="2.91"/>
    <n v="1"/>
    <s v="Normal"/>
    <s v="Never"/>
    <b v="0"/>
    <b v="0"/>
    <b v="0"/>
    <b v="0"/>
    <b v="0"/>
    <n v="0.2"/>
    <n v="9.3000000000000007"/>
    <n v="3"/>
    <n v="14.1"/>
    <n v="47.32"/>
    <m/>
    <n v="12"/>
    <x v="1"/>
    <m/>
    <m/>
    <m/>
    <m/>
  </r>
  <r>
    <s v="GD0939"/>
    <n v="22"/>
    <x v="1"/>
    <x v="0"/>
    <x v="108"/>
    <x v="1"/>
    <x v="4"/>
    <s v="Apex Legends"/>
    <s v="Mobile"/>
    <n v="3.8"/>
    <m/>
    <s v="Very Poor"/>
    <s v="Often"/>
    <s v="Below Average"/>
    <n v="1.31"/>
    <n v="6"/>
    <s v="Irritable"/>
    <s v="Daily"/>
    <b v="1"/>
    <b v="0"/>
    <b v="0"/>
    <b v="1"/>
    <b v="0"/>
    <n v="0.1"/>
    <n v="4.2"/>
    <n v="6"/>
    <n v="4.3"/>
    <n v="455.29"/>
    <m/>
    <n v="1"/>
    <x v="2"/>
    <m/>
    <m/>
    <m/>
    <m/>
  </r>
  <r>
    <s v="GD0940"/>
    <n v="25"/>
    <x v="1"/>
    <x v="0"/>
    <x v="75"/>
    <x v="1"/>
    <x v="3"/>
    <s v="Skyrim"/>
    <s v="PC"/>
    <n v="3.5"/>
    <m/>
    <s v="Poor"/>
    <s v="Never"/>
    <s v="Failing"/>
    <m/>
    <n v="4"/>
    <s v="Anxious"/>
    <s v="Rarely"/>
    <b v="1"/>
    <b v="1"/>
    <b v="1"/>
    <b v="1"/>
    <b v="1"/>
    <n v="7.6"/>
    <n v="2"/>
    <n v="8"/>
    <n v="0"/>
    <n v="227.37"/>
    <m/>
    <n v="14"/>
    <x v="0"/>
    <m/>
    <m/>
    <m/>
    <m/>
  </r>
  <r>
    <s v="GD0941"/>
    <n v="24"/>
    <x v="1"/>
    <x v="1"/>
    <x v="66"/>
    <x v="1"/>
    <x v="0"/>
    <s v="PUBG Mobile"/>
    <s v="Mobile"/>
    <n v="5.7"/>
    <m/>
    <s v="Fair"/>
    <s v="Rarely"/>
    <s v="Average"/>
    <m/>
    <n v="9"/>
    <s v="Irritable"/>
    <s v="Never"/>
    <b v="0"/>
    <b v="0"/>
    <b v="0"/>
    <b v="1"/>
    <b v="0"/>
    <n v="0.1"/>
    <n v="6.2"/>
    <n v="4"/>
    <n v="10.9"/>
    <n v="88.2"/>
    <m/>
    <n v="13"/>
    <x v="1"/>
    <m/>
    <m/>
    <m/>
    <m/>
  </r>
  <r>
    <s v="GD0942"/>
    <n v="18"/>
    <x v="0"/>
    <x v="0"/>
    <x v="107"/>
    <x v="1"/>
    <x v="1"/>
    <s v="League of Legends"/>
    <s v="PC"/>
    <n v="6.8"/>
    <m/>
    <s v="Good"/>
    <s v="Sometimes"/>
    <s v="Average"/>
    <n v="3.48"/>
    <m/>
    <s v="Normal"/>
    <s v="Sometimes"/>
    <b v="0"/>
    <b v="0"/>
    <b v="0"/>
    <b v="0"/>
    <b v="0"/>
    <n v="0.9"/>
    <n v="8.8000000000000007"/>
    <n v="1"/>
    <n v="12.8"/>
    <n v="46.64"/>
    <m/>
    <n v="3"/>
    <x v="1"/>
    <m/>
    <m/>
    <m/>
    <m/>
  </r>
  <r>
    <s v="GD0943"/>
    <n v="16"/>
    <x v="0"/>
    <x v="0"/>
    <x v="97"/>
    <x v="1"/>
    <x v="5"/>
    <s v="Elder Scrolls Online"/>
    <s v="PC"/>
    <n v="4.3"/>
    <m/>
    <s v="Fair"/>
    <s v="Always"/>
    <s v="Below Average"/>
    <n v="1.65"/>
    <m/>
    <s v="Restless"/>
    <s v="Sometimes"/>
    <b v="1"/>
    <b v="0"/>
    <b v="0"/>
    <b v="1"/>
    <b v="0"/>
    <n v="2.1"/>
    <n v="4.5999999999999996"/>
    <n v="7"/>
    <n v="5.0999999999999996"/>
    <n v="466.73"/>
    <m/>
    <n v="5"/>
    <x v="2"/>
    <m/>
    <m/>
    <m/>
    <m/>
  </r>
  <r>
    <s v="GD0944"/>
    <n v="19"/>
    <x v="0"/>
    <x v="0"/>
    <x v="14"/>
    <x v="1"/>
    <x v="4"/>
    <s v="Fortnite"/>
    <s v="PC"/>
    <n v="4.5"/>
    <m/>
    <s v="Very Poor"/>
    <s v="Sometimes"/>
    <s v="Average"/>
    <n v="2.06"/>
    <n v="7"/>
    <s v="Anxious"/>
    <s v="Sometimes"/>
    <b v="1"/>
    <b v="0"/>
    <b v="1"/>
    <b v="1"/>
    <b v="0"/>
    <n v="6.8"/>
    <n v="3.4"/>
    <n v="6"/>
    <n v="1.1000000000000001"/>
    <n v="446.72"/>
    <m/>
    <n v="3"/>
    <x v="0"/>
    <m/>
    <m/>
    <m/>
    <m/>
  </r>
  <r>
    <s v="GD0945"/>
    <n v="25"/>
    <x v="1"/>
    <x v="1"/>
    <x v="96"/>
    <x v="1"/>
    <x v="2"/>
    <s v="Overwatch"/>
    <s v="Mobile"/>
    <n v="6.8"/>
    <m/>
    <s v="Good"/>
    <s v="Often"/>
    <s v="Average"/>
    <m/>
    <n v="5"/>
    <s v="Anxious"/>
    <s v="Sometimes"/>
    <b v="0"/>
    <b v="0"/>
    <b v="0"/>
    <b v="0"/>
    <b v="0"/>
    <n v="0.4"/>
    <n v="8.1999999999999993"/>
    <n v="2"/>
    <n v="9.1999999999999993"/>
    <n v="27.83"/>
    <m/>
    <n v="10"/>
    <x v="1"/>
    <m/>
    <m/>
    <m/>
    <m/>
  </r>
  <r>
    <s v="GD0946"/>
    <n v="23"/>
    <x v="1"/>
    <x v="0"/>
    <x v="116"/>
    <x v="1"/>
    <x v="2"/>
    <s v="Valorant"/>
    <s v="Console"/>
    <n v="8.1999999999999993"/>
    <m/>
    <s v="Good"/>
    <s v="Sometimes"/>
    <s v="Good"/>
    <m/>
    <n v="8"/>
    <s v="Normal"/>
    <s v="Often"/>
    <b v="0"/>
    <b v="0"/>
    <b v="0"/>
    <b v="0"/>
    <b v="0"/>
    <n v="0.7"/>
    <n v="10.199999999999999"/>
    <n v="1"/>
    <n v="11.1"/>
    <n v="16.97"/>
    <m/>
    <n v="4"/>
    <x v="1"/>
    <m/>
    <m/>
    <m/>
    <m/>
  </r>
  <r>
    <s v="GD0947"/>
    <n v="33"/>
    <x v="2"/>
    <x v="0"/>
    <x v="20"/>
    <x v="1"/>
    <x v="1"/>
    <s v="Dota 2"/>
    <s v="Multi-platform"/>
    <n v="5.5"/>
    <m/>
    <s v="Poor"/>
    <s v="Always"/>
    <s v="Below Average"/>
    <m/>
    <n v="6"/>
    <s v="Irritable"/>
    <s v="Never"/>
    <b v="1"/>
    <b v="0"/>
    <b v="0"/>
    <b v="1"/>
    <b v="1"/>
    <n v="5.3"/>
    <n v="7.5"/>
    <n v="4"/>
    <n v="3.6"/>
    <n v="129.13"/>
    <m/>
    <n v="1"/>
    <x v="2"/>
    <m/>
    <m/>
    <m/>
    <m/>
  </r>
  <r>
    <s v="GD0948"/>
    <n v="29"/>
    <x v="1"/>
    <x v="0"/>
    <x v="123"/>
    <x v="1"/>
    <x v="6"/>
    <s v="Civilization VI"/>
    <s v="Mobile"/>
    <n v="8.5"/>
    <m/>
    <s v="Good"/>
    <s v="Always"/>
    <s v="Excellent"/>
    <m/>
    <n v="1"/>
    <s v="Euphoric"/>
    <s v="Often"/>
    <b v="0"/>
    <b v="0"/>
    <b v="0"/>
    <b v="0"/>
    <b v="0"/>
    <n v="0.2"/>
    <n v="7.3"/>
    <n v="3"/>
    <n v="13.4"/>
    <n v="24"/>
    <m/>
    <n v="17"/>
    <x v="1"/>
    <m/>
    <m/>
    <m/>
    <m/>
  </r>
  <r>
    <s v="GD0949"/>
    <n v="19"/>
    <x v="0"/>
    <x v="0"/>
    <x v="76"/>
    <x v="1"/>
    <x v="0"/>
    <s v="PUBG Mobile"/>
    <s v="Multi-platform"/>
    <n v="3.9"/>
    <m/>
    <s v="Poor"/>
    <s v="Sometimes"/>
    <s v="Below Average"/>
    <n v="2.5299999999999998"/>
    <n v="1"/>
    <s v="Irritable"/>
    <s v="Rarely"/>
    <b v="1"/>
    <b v="1"/>
    <b v="0"/>
    <b v="0"/>
    <b v="0"/>
    <n v="2.7"/>
    <n v="7.9"/>
    <n v="6"/>
    <n v="6.4"/>
    <n v="67.61"/>
    <m/>
    <n v="6"/>
    <x v="2"/>
    <m/>
    <m/>
    <m/>
    <m/>
  </r>
  <r>
    <s v="GD0950"/>
    <n v="19"/>
    <x v="0"/>
    <x v="0"/>
    <x v="61"/>
    <x v="1"/>
    <x v="0"/>
    <s v="Candy Crush"/>
    <s v="Mobile"/>
    <n v="7.7"/>
    <m/>
    <s v="Good"/>
    <s v="Often"/>
    <s v="Excellent"/>
    <n v="1.78"/>
    <n v="4"/>
    <s v="Anxious"/>
    <s v="Often"/>
    <b v="0"/>
    <b v="0"/>
    <b v="0"/>
    <b v="0"/>
    <b v="0"/>
    <n v="0.2"/>
    <n v="7.6"/>
    <n v="1"/>
    <n v="12.4"/>
    <n v="5.41"/>
    <m/>
    <n v="2"/>
    <x v="1"/>
    <m/>
    <m/>
    <m/>
    <m/>
  </r>
  <r>
    <s v="GD0951"/>
    <n v="24"/>
    <x v="1"/>
    <x v="1"/>
    <x v="3"/>
    <x v="1"/>
    <x v="1"/>
    <s v="Dota 2"/>
    <s v="Mobile"/>
    <n v="3.5"/>
    <m/>
    <s v="Poor"/>
    <s v="Sometimes"/>
    <s v="Poor"/>
    <m/>
    <n v="7"/>
    <s v="Irritable"/>
    <s v="Never"/>
    <b v="1"/>
    <b v="0"/>
    <b v="0"/>
    <b v="1"/>
    <b v="1"/>
    <n v="2.6"/>
    <n v="7.2"/>
    <n v="4"/>
    <n v="8.3000000000000007"/>
    <n v="141.29"/>
    <m/>
    <n v="3"/>
    <x v="3"/>
    <m/>
    <m/>
    <m/>
    <m/>
  </r>
  <r>
    <s v="GD0952"/>
    <n v="21"/>
    <x v="1"/>
    <x v="0"/>
    <x v="56"/>
    <x v="1"/>
    <x v="2"/>
    <s v="Overwatch"/>
    <s v="Multi-platform"/>
    <n v="3.7"/>
    <m/>
    <s v="Poor"/>
    <s v="Never"/>
    <s v="Failing"/>
    <n v="1.1200000000000001"/>
    <n v="1"/>
    <s v="Irritable"/>
    <s v="Often"/>
    <b v="0"/>
    <b v="0"/>
    <b v="1"/>
    <b v="1"/>
    <b v="0"/>
    <n v="0.7"/>
    <n v="6.8"/>
    <n v="7"/>
    <n v="2.7"/>
    <n v="17.93"/>
    <m/>
    <n v="5"/>
    <x v="3"/>
    <m/>
    <m/>
    <m/>
    <m/>
  </r>
  <r>
    <s v="GD0953"/>
    <n v="20"/>
    <x v="1"/>
    <x v="0"/>
    <x v="30"/>
    <x v="1"/>
    <x v="2"/>
    <s v="Call of Duty"/>
    <s v="Console"/>
    <n v="8.1999999999999993"/>
    <m/>
    <s v="Fair"/>
    <s v="Rarely"/>
    <s v="Good"/>
    <n v="1.64"/>
    <n v="1"/>
    <s v="Normal"/>
    <s v="Never"/>
    <b v="0"/>
    <b v="0"/>
    <b v="0"/>
    <b v="0"/>
    <b v="0"/>
    <n v="2.2999999999999998"/>
    <n v="6.9"/>
    <n v="1"/>
    <n v="11.5"/>
    <n v="18.690000000000001"/>
    <m/>
    <n v="9"/>
    <x v="1"/>
    <m/>
    <m/>
    <m/>
    <m/>
  </r>
  <r>
    <s v="GD0954"/>
    <n v="22"/>
    <x v="1"/>
    <x v="1"/>
    <x v="70"/>
    <x v="1"/>
    <x v="3"/>
    <s v="Cyberpunk 2077"/>
    <s v="Multi-platform"/>
    <n v="5"/>
    <m/>
    <s v="Poor"/>
    <s v="Often"/>
    <s v="Good"/>
    <n v="3.13"/>
    <n v="2"/>
    <s v="Angry"/>
    <s v="Daily"/>
    <b v="0"/>
    <b v="0"/>
    <b v="0"/>
    <b v="1"/>
    <b v="0"/>
    <n v="1.5"/>
    <n v="9.3000000000000007"/>
    <n v="3"/>
    <n v="11.8"/>
    <n v="33.67"/>
    <m/>
    <n v="10"/>
    <x v="1"/>
    <m/>
    <m/>
    <m/>
    <m/>
  </r>
  <r>
    <s v="GD0955"/>
    <n v="26"/>
    <x v="1"/>
    <x v="0"/>
    <x v="55"/>
    <x v="1"/>
    <x v="3"/>
    <s v="Elden Ring"/>
    <s v="Multi-platform"/>
    <n v="5.4"/>
    <m/>
    <s v="Poor"/>
    <s v="Never"/>
    <s v="Good"/>
    <m/>
    <n v="8"/>
    <s v="Irritable"/>
    <s v="Daily"/>
    <b v="0"/>
    <b v="1"/>
    <b v="0"/>
    <b v="0"/>
    <b v="1"/>
    <n v="1.4"/>
    <n v="7.6"/>
    <n v="3"/>
    <n v="10.4"/>
    <n v="96.14"/>
    <m/>
    <n v="5"/>
    <x v="3"/>
    <m/>
    <m/>
    <m/>
    <m/>
  </r>
  <r>
    <s v="GD0956"/>
    <n v="23"/>
    <x v="1"/>
    <x v="2"/>
    <x v="44"/>
    <x v="1"/>
    <x v="4"/>
    <s v="Fortnite"/>
    <s v="PC"/>
    <n v="6.2"/>
    <m/>
    <s v="Fair"/>
    <s v="Always"/>
    <s v="Below Average"/>
    <m/>
    <n v="2"/>
    <s v="Withdrawn"/>
    <s v="Sometimes"/>
    <b v="0"/>
    <b v="0"/>
    <b v="0"/>
    <b v="1"/>
    <b v="1"/>
    <n v="1.4"/>
    <n v="6.8"/>
    <n v="4"/>
    <n v="5.9"/>
    <n v="28.31"/>
    <m/>
    <n v="11"/>
    <x v="1"/>
    <m/>
    <m/>
    <m/>
    <m/>
  </r>
  <r>
    <s v="GD0957"/>
    <n v="21"/>
    <x v="1"/>
    <x v="0"/>
    <x v="23"/>
    <x v="1"/>
    <x v="5"/>
    <s v="Final Fantasy XIV"/>
    <s v="Mobile"/>
    <n v="6.2"/>
    <m/>
    <s v="Insomnia"/>
    <s v="Sometimes"/>
    <s v="Below Average"/>
    <n v="2.35"/>
    <n v="5"/>
    <s v="Angry"/>
    <s v="Rarely"/>
    <b v="0"/>
    <b v="1"/>
    <b v="0"/>
    <b v="1"/>
    <b v="1"/>
    <n v="0.5"/>
    <n v="7.9"/>
    <n v="3"/>
    <n v="5.8"/>
    <n v="142.99"/>
    <m/>
    <n v="3"/>
    <x v="3"/>
    <m/>
    <m/>
    <m/>
    <m/>
  </r>
  <r>
    <s v="GD0958"/>
    <n v="20"/>
    <x v="1"/>
    <x v="0"/>
    <x v="76"/>
    <x v="1"/>
    <x v="3"/>
    <s v="Elden Ring"/>
    <s v="Mobile"/>
    <n v="5.2"/>
    <m/>
    <s v="Very Poor"/>
    <s v="Never"/>
    <s v="Below Average"/>
    <n v="3.71"/>
    <n v="2"/>
    <s v="Irritable"/>
    <s v="Never"/>
    <b v="1"/>
    <b v="0"/>
    <b v="1"/>
    <b v="1"/>
    <b v="0"/>
    <n v="0.4"/>
    <n v="6.2"/>
    <n v="6"/>
    <n v="7.7"/>
    <n v="37.020000000000003"/>
    <m/>
    <n v="5"/>
    <x v="2"/>
    <m/>
    <m/>
    <m/>
    <m/>
  </r>
  <r>
    <s v="GD0959"/>
    <n v="25"/>
    <x v="1"/>
    <x v="0"/>
    <x v="49"/>
    <x v="1"/>
    <x v="4"/>
    <s v="Fortnite"/>
    <s v="PC"/>
    <n v="6.6"/>
    <m/>
    <s v="Fair"/>
    <s v="Often"/>
    <s v="Average"/>
    <m/>
    <n v="2"/>
    <s v="Anxious"/>
    <s v="Sometimes"/>
    <b v="0"/>
    <b v="0"/>
    <b v="0"/>
    <b v="1"/>
    <b v="0"/>
    <n v="1.2"/>
    <n v="6.1"/>
    <n v="3"/>
    <n v="10.7"/>
    <n v="21.48"/>
    <m/>
    <n v="9"/>
    <x v="1"/>
    <m/>
    <m/>
    <m/>
    <m/>
  </r>
  <r>
    <s v="GD0960"/>
    <n v="16"/>
    <x v="0"/>
    <x v="0"/>
    <x v="2"/>
    <x v="1"/>
    <x v="2"/>
    <s v="CS:GO"/>
    <s v="Multi-platform"/>
    <n v="4"/>
    <m/>
    <s v="Poor"/>
    <s v="Sometimes"/>
    <s v="Poor"/>
    <n v="1.6"/>
    <m/>
    <s v="Anxious"/>
    <s v="Daily"/>
    <b v="0"/>
    <b v="1"/>
    <b v="1"/>
    <b v="1"/>
    <b v="0"/>
    <n v="2.5"/>
    <n v="6.6"/>
    <n v="4"/>
    <n v="5"/>
    <n v="138.82"/>
    <m/>
    <n v="1"/>
    <x v="2"/>
    <m/>
    <m/>
    <m/>
    <m/>
  </r>
  <r>
    <s v="GD0961"/>
    <n v="15"/>
    <x v="0"/>
    <x v="1"/>
    <x v="21"/>
    <x v="1"/>
    <x v="1"/>
    <s v="Mobile Legends"/>
    <s v="PC"/>
    <n v="5.0999999999999996"/>
    <m/>
    <s v="Good"/>
    <s v="Often"/>
    <s v="Average"/>
    <n v="3.82"/>
    <m/>
    <s v="Normal"/>
    <s v="Daily"/>
    <b v="0"/>
    <b v="0"/>
    <b v="0"/>
    <b v="1"/>
    <b v="0"/>
    <n v="1.1000000000000001"/>
    <n v="6.4"/>
    <n v="4"/>
    <n v="9.8000000000000007"/>
    <n v="77.03"/>
    <m/>
    <n v="3"/>
    <x v="1"/>
    <m/>
    <m/>
    <m/>
    <m/>
  </r>
  <r>
    <s v="GD0962"/>
    <n v="20"/>
    <x v="1"/>
    <x v="1"/>
    <x v="4"/>
    <x v="1"/>
    <x v="0"/>
    <s v="Candy Crush"/>
    <s v="Mobile"/>
    <n v="5.3"/>
    <m/>
    <s v="Very Poor"/>
    <s v="Sometimes"/>
    <s v="Poor"/>
    <n v="2.5499999999999998"/>
    <n v="1"/>
    <s v="Restless"/>
    <s v="Never"/>
    <b v="1"/>
    <b v="1"/>
    <b v="0"/>
    <b v="1"/>
    <b v="0"/>
    <n v="2.5"/>
    <n v="5.4"/>
    <n v="5"/>
    <n v="5.8"/>
    <n v="77.66"/>
    <m/>
    <n v="8"/>
    <x v="2"/>
    <m/>
    <m/>
    <m/>
    <m/>
  </r>
  <r>
    <s v="GD0963"/>
    <n v="18"/>
    <x v="0"/>
    <x v="1"/>
    <x v="58"/>
    <x v="1"/>
    <x v="2"/>
    <s v="CS:GO"/>
    <s v="Mobile"/>
    <n v="5"/>
    <m/>
    <s v="Very Poor"/>
    <s v="Rarely"/>
    <s v="Average"/>
    <n v="3.21"/>
    <m/>
    <s v="Irritable"/>
    <s v="Rarely"/>
    <b v="1"/>
    <b v="0"/>
    <b v="0"/>
    <b v="1"/>
    <b v="1"/>
    <n v="4.5"/>
    <n v="4"/>
    <n v="6"/>
    <n v="0.3"/>
    <n v="110.92"/>
    <m/>
    <n v="1"/>
    <x v="2"/>
    <m/>
    <m/>
    <m/>
    <m/>
  </r>
  <r>
    <s v="GD0964"/>
    <n v="24"/>
    <x v="1"/>
    <x v="0"/>
    <x v="71"/>
    <x v="1"/>
    <x v="1"/>
    <s v="Dota 2"/>
    <s v="Mobile"/>
    <n v="5.6"/>
    <m/>
    <s v="Fair"/>
    <s v="Often"/>
    <s v="Average"/>
    <m/>
    <n v="9"/>
    <s v="Restless"/>
    <s v="Often"/>
    <b v="0"/>
    <b v="0"/>
    <b v="0"/>
    <b v="0"/>
    <b v="0"/>
    <n v="0.7"/>
    <n v="8.1999999999999993"/>
    <n v="4"/>
    <n v="9.8000000000000007"/>
    <n v="46.98"/>
    <m/>
    <n v="6"/>
    <x v="1"/>
    <m/>
    <m/>
    <m/>
    <m/>
  </r>
  <r>
    <s v="GD0965"/>
    <n v="19"/>
    <x v="0"/>
    <x v="0"/>
    <x v="59"/>
    <x v="1"/>
    <x v="4"/>
    <s v="Warzone"/>
    <s v="Mobile"/>
    <n v="5.0999999999999996"/>
    <m/>
    <s v="Poor"/>
    <s v="Rarely"/>
    <s v="Poor"/>
    <n v="1.78"/>
    <n v="4"/>
    <s v="Restless"/>
    <s v="Never"/>
    <b v="0"/>
    <b v="1"/>
    <b v="1"/>
    <b v="0"/>
    <b v="1"/>
    <n v="0.1"/>
    <n v="3.9"/>
    <n v="4"/>
    <n v="5.4"/>
    <n v="50.18"/>
    <m/>
    <n v="8"/>
    <x v="0"/>
    <m/>
    <m/>
    <m/>
    <m/>
  </r>
  <r>
    <s v="GD0966"/>
    <n v="18"/>
    <x v="0"/>
    <x v="2"/>
    <x v="2"/>
    <x v="1"/>
    <x v="2"/>
    <s v="Valorant"/>
    <s v="PC"/>
    <n v="4.8"/>
    <m/>
    <s v="Very Poor"/>
    <s v="Never"/>
    <s v="Excellent"/>
    <n v="1.05"/>
    <m/>
    <s v="Anxious"/>
    <s v="Daily"/>
    <b v="1"/>
    <b v="1"/>
    <b v="0"/>
    <b v="1"/>
    <b v="1"/>
    <n v="3.6"/>
    <n v="6.1"/>
    <n v="3"/>
    <n v="8.1"/>
    <n v="37.08"/>
    <m/>
    <n v="4"/>
    <x v="2"/>
    <m/>
    <m/>
    <m/>
    <m/>
  </r>
  <r>
    <s v="GD0967"/>
    <n v="19"/>
    <x v="0"/>
    <x v="0"/>
    <x v="39"/>
    <x v="1"/>
    <x v="6"/>
    <s v="StarCraft II"/>
    <s v="Mobile"/>
    <n v="4"/>
    <m/>
    <s v="Very Poor"/>
    <s v="Often"/>
    <s v="Poor"/>
    <n v="3.3"/>
    <n v="3"/>
    <s v="Depressed"/>
    <s v="Daily"/>
    <b v="1"/>
    <b v="1"/>
    <b v="0"/>
    <b v="0"/>
    <b v="0"/>
    <n v="0.2"/>
    <n v="7.3"/>
    <n v="5"/>
    <n v="7.4"/>
    <n v="54.91"/>
    <m/>
    <n v="1"/>
    <x v="2"/>
    <m/>
    <m/>
    <m/>
    <m/>
  </r>
  <r>
    <s v="GD0968"/>
    <n v="23"/>
    <x v="1"/>
    <x v="1"/>
    <x v="27"/>
    <x v="1"/>
    <x v="4"/>
    <s v="Apex Legends"/>
    <s v="PC"/>
    <n v="7.9"/>
    <m/>
    <s v="Good"/>
    <s v="Often"/>
    <s v="Excellent"/>
    <m/>
    <n v="8"/>
    <s v="Normal"/>
    <s v="Never"/>
    <b v="0"/>
    <b v="0"/>
    <b v="0"/>
    <b v="0"/>
    <b v="0"/>
    <n v="0.1"/>
    <n v="10.9"/>
    <n v="1"/>
    <n v="15.2"/>
    <n v="8.43"/>
    <m/>
    <n v="1"/>
    <x v="1"/>
    <m/>
    <m/>
    <m/>
    <m/>
  </r>
  <r>
    <s v="GD0969"/>
    <n v="16"/>
    <x v="0"/>
    <x v="1"/>
    <x v="30"/>
    <x v="1"/>
    <x v="4"/>
    <s v="Warzone"/>
    <s v="PC"/>
    <n v="8.6"/>
    <m/>
    <s v="Good"/>
    <s v="Always"/>
    <s v="Good"/>
    <n v="1.4"/>
    <m/>
    <s v="Excited"/>
    <s v="Never"/>
    <b v="0"/>
    <b v="0"/>
    <b v="0"/>
    <b v="0"/>
    <b v="0"/>
    <n v="0.3"/>
    <n v="8.4"/>
    <n v="2"/>
    <n v="8.8000000000000007"/>
    <n v="17.43"/>
    <m/>
    <n v="3"/>
    <x v="1"/>
    <m/>
    <m/>
    <m/>
    <m/>
  </r>
  <r>
    <s v="GD0970"/>
    <n v="17"/>
    <x v="0"/>
    <x v="0"/>
    <x v="99"/>
    <x v="1"/>
    <x v="0"/>
    <s v="Genshin Impact"/>
    <s v="PC"/>
    <n v="5.5"/>
    <m/>
    <s v="Poor"/>
    <s v="Rarely"/>
    <s v="Good"/>
    <n v="1.1299999999999999"/>
    <m/>
    <s v="Normal"/>
    <s v="Never"/>
    <b v="0"/>
    <b v="0"/>
    <b v="0"/>
    <b v="0"/>
    <b v="0"/>
    <n v="0.7"/>
    <n v="6.4"/>
    <n v="2"/>
    <n v="12.4"/>
    <n v="32.97"/>
    <m/>
    <n v="5"/>
    <x v="1"/>
    <m/>
    <m/>
    <m/>
    <m/>
  </r>
  <r>
    <s v="GD0971"/>
    <n v="20"/>
    <x v="1"/>
    <x v="1"/>
    <x v="19"/>
    <x v="1"/>
    <x v="6"/>
    <s v="Civilization VI"/>
    <s v="Multi-platform"/>
    <n v="6.5"/>
    <m/>
    <s v="Fair"/>
    <s v="Sometimes"/>
    <s v="Good"/>
    <n v="1.24"/>
    <n v="6"/>
    <s v="Normal"/>
    <s v="Often"/>
    <b v="0"/>
    <b v="0"/>
    <b v="0"/>
    <b v="1"/>
    <b v="0"/>
    <n v="2"/>
    <n v="7.4"/>
    <n v="4"/>
    <n v="8.6"/>
    <n v="70.66"/>
    <m/>
    <n v="1"/>
    <x v="1"/>
    <m/>
    <m/>
    <m/>
    <m/>
  </r>
  <r>
    <s v="GD0972"/>
    <n v="16"/>
    <x v="0"/>
    <x v="1"/>
    <x v="117"/>
    <x v="1"/>
    <x v="6"/>
    <s v="StarCraft II"/>
    <s v="Console"/>
    <n v="3.6"/>
    <m/>
    <s v="Poor"/>
    <s v="Never"/>
    <s v="Poor"/>
    <n v="2.36"/>
    <m/>
    <s v="Anxious"/>
    <s v="Rarely"/>
    <b v="0"/>
    <b v="0"/>
    <b v="0"/>
    <b v="1"/>
    <b v="1"/>
    <n v="2.1"/>
    <n v="5.8"/>
    <n v="5"/>
    <n v="2.2000000000000002"/>
    <n v="231.04"/>
    <m/>
    <n v="1"/>
    <x v="3"/>
    <m/>
    <m/>
    <m/>
    <m/>
  </r>
  <r>
    <s v="GD0973"/>
    <n v="16"/>
    <x v="0"/>
    <x v="0"/>
    <x v="110"/>
    <x v="1"/>
    <x v="4"/>
    <s v="Apex Legends"/>
    <s v="Multi-platform"/>
    <n v="5.3"/>
    <m/>
    <s v="Poor"/>
    <s v="Often"/>
    <s v="Failing"/>
    <n v="2.66"/>
    <m/>
    <s v="Euphoric"/>
    <s v="Often"/>
    <b v="1"/>
    <b v="1"/>
    <b v="0"/>
    <b v="1"/>
    <b v="1"/>
    <n v="1.9"/>
    <n v="4.8"/>
    <n v="5"/>
    <n v="7.3"/>
    <n v="54.82"/>
    <m/>
    <n v="6"/>
    <x v="2"/>
    <m/>
    <m/>
    <m/>
    <m/>
  </r>
  <r>
    <s v="GD0974"/>
    <n v="23"/>
    <x v="1"/>
    <x v="0"/>
    <x v="91"/>
    <x v="1"/>
    <x v="2"/>
    <s v="CS:GO"/>
    <s v="Console"/>
    <n v="4.9000000000000004"/>
    <m/>
    <s v="Fair"/>
    <s v="Always"/>
    <s v="Failing"/>
    <m/>
    <n v="5"/>
    <s v="Normal"/>
    <s v="Daily"/>
    <b v="0"/>
    <b v="1"/>
    <b v="1"/>
    <b v="0"/>
    <b v="1"/>
    <n v="3.2"/>
    <n v="5.7"/>
    <n v="6"/>
    <n v="0"/>
    <n v="388.42"/>
    <m/>
    <n v="9"/>
    <x v="0"/>
    <m/>
    <m/>
    <m/>
    <m/>
  </r>
  <r>
    <s v="GD0975"/>
    <n v="20"/>
    <x v="1"/>
    <x v="0"/>
    <x v="100"/>
    <x v="1"/>
    <x v="2"/>
    <s v="Call of Duty"/>
    <s v="Multi-platform"/>
    <n v="4.8"/>
    <m/>
    <s v="Very Poor"/>
    <s v="Never"/>
    <s v="Below Average"/>
    <n v="2.91"/>
    <n v="7"/>
    <s v="Depressed"/>
    <s v="Often"/>
    <b v="1"/>
    <b v="0"/>
    <b v="0"/>
    <b v="1"/>
    <b v="0"/>
    <n v="1.5"/>
    <n v="5.2"/>
    <n v="3"/>
    <n v="7"/>
    <n v="146.41"/>
    <m/>
    <n v="5"/>
    <x v="3"/>
    <m/>
    <m/>
    <m/>
    <m/>
  </r>
  <r>
    <s v="GD0976"/>
    <n v="17"/>
    <x v="0"/>
    <x v="1"/>
    <x v="56"/>
    <x v="1"/>
    <x v="5"/>
    <s v="Elder Scrolls Online"/>
    <s v="Console"/>
    <n v="4.9000000000000004"/>
    <m/>
    <s v="Fair"/>
    <s v="Sometimes"/>
    <s v="Poor"/>
    <n v="2.73"/>
    <m/>
    <s v="Anxious"/>
    <s v="Never"/>
    <b v="0"/>
    <b v="0"/>
    <b v="1"/>
    <b v="1"/>
    <b v="1"/>
    <n v="0.8"/>
    <n v="4.8"/>
    <n v="7"/>
    <n v="7.6"/>
    <n v="59.04"/>
    <m/>
    <n v="2"/>
    <x v="3"/>
    <m/>
    <m/>
    <m/>
    <m/>
  </r>
  <r>
    <s v="GD0977"/>
    <n v="27"/>
    <x v="1"/>
    <x v="1"/>
    <x v="35"/>
    <x v="1"/>
    <x v="3"/>
    <s v="Elden Ring"/>
    <s v="Mobile"/>
    <n v="5.9"/>
    <m/>
    <s v="Fair"/>
    <s v="Always"/>
    <s v="Average"/>
    <m/>
    <n v="8"/>
    <s v="Normal"/>
    <s v="Sometimes"/>
    <b v="0"/>
    <b v="0"/>
    <b v="0"/>
    <b v="0"/>
    <b v="0"/>
    <n v="1.4"/>
    <n v="8.6999999999999993"/>
    <n v="4"/>
    <n v="8.9"/>
    <n v="30.61"/>
    <m/>
    <n v="6"/>
    <x v="1"/>
    <m/>
    <m/>
    <m/>
    <m/>
  </r>
  <r>
    <s v="GD0978"/>
    <n v="21"/>
    <x v="1"/>
    <x v="1"/>
    <x v="110"/>
    <x v="1"/>
    <x v="2"/>
    <s v="CS:GO"/>
    <s v="PC"/>
    <n v="5.5"/>
    <m/>
    <s v="Very Poor"/>
    <s v="Rarely"/>
    <s v="Below Average"/>
    <n v="1.88"/>
    <n v="3"/>
    <s v="Anxious"/>
    <s v="Never"/>
    <b v="1"/>
    <b v="1"/>
    <b v="0"/>
    <b v="1"/>
    <b v="0"/>
    <n v="1.5"/>
    <n v="7.4"/>
    <n v="5"/>
    <n v="4.8"/>
    <n v="113.01"/>
    <m/>
    <n v="6"/>
    <x v="2"/>
    <m/>
    <m/>
    <m/>
    <m/>
  </r>
  <r>
    <s v="GD0979"/>
    <n v="19"/>
    <x v="0"/>
    <x v="0"/>
    <x v="15"/>
    <x v="1"/>
    <x v="2"/>
    <s v="CS:GO"/>
    <s v="PC"/>
    <n v="5.9"/>
    <m/>
    <s v="Good"/>
    <s v="Often"/>
    <s v="Poor"/>
    <n v="2.33"/>
    <n v="9"/>
    <s v="Withdrawn"/>
    <s v="Never"/>
    <b v="1"/>
    <b v="0"/>
    <b v="1"/>
    <b v="1"/>
    <b v="0"/>
    <n v="1.7"/>
    <n v="5.3"/>
    <n v="6"/>
    <n v="3.8"/>
    <n v="44.54"/>
    <m/>
    <n v="9"/>
    <x v="2"/>
    <m/>
    <m/>
    <m/>
    <m/>
  </r>
  <r>
    <s v="GD0980"/>
    <n v="22"/>
    <x v="1"/>
    <x v="1"/>
    <x v="97"/>
    <x v="1"/>
    <x v="0"/>
    <s v="PUBG Mobile"/>
    <s v="Console"/>
    <n v="4.4000000000000004"/>
    <m/>
    <s v="Poor"/>
    <s v="Never"/>
    <s v="Below Average"/>
    <n v="2.48"/>
    <n v="4"/>
    <s v="Excited"/>
    <s v="Sometimes"/>
    <b v="1"/>
    <b v="1"/>
    <b v="0"/>
    <b v="1"/>
    <b v="1"/>
    <n v="3.1"/>
    <n v="6.9"/>
    <n v="5"/>
    <n v="2.4"/>
    <n v="107.16"/>
    <m/>
    <n v="12"/>
    <x v="0"/>
    <m/>
    <m/>
    <m/>
    <m/>
  </r>
  <r>
    <s v="GD0981"/>
    <n v="25"/>
    <x v="1"/>
    <x v="0"/>
    <x v="16"/>
    <x v="1"/>
    <x v="2"/>
    <s v="CS:GO"/>
    <s v="Multi-platform"/>
    <n v="4.5"/>
    <m/>
    <s v="Poor"/>
    <s v="Rarely"/>
    <s v="Average"/>
    <m/>
    <n v="9"/>
    <s v="Depressed"/>
    <s v="Daily"/>
    <b v="1"/>
    <b v="1"/>
    <b v="0"/>
    <b v="1"/>
    <b v="1"/>
    <n v="2.7"/>
    <n v="6.8"/>
    <n v="5"/>
    <n v="2.4"/>
    <n v="361.61"/>
    <m/>
    <n v="15"/>
    <x v="0"/>
    <m/>
    <m/>
    <m/>
    <m/>
  </r>
  <r>
    <s v="GD0982"/>
    <n v="22"/>
    <x v="1"/>
    <x v="1"/>
    <x v="131"/>
    <x v="1"/>
    <x v="6"/>
    <s v="Civilization VI"/>
    <s v="Multi-platform"/>
    <n v="5.8"/>
    <m/>
    <s v="Poor"/>
    <s v="Rarely"/>
    <s v="Failing"/>
    <n v="2.92"/>
    <n v="5"/>
    <s v="Irritable"/>
    <s v="Often"/>
    <b v="1"/>
    <b v="1"/>
    <b v="0"/>
    <b v="1"/>
    <b v="0"/>
    <n v="1.4"/>
    <n v="2.4"/>
    <n v="8"/>
    <n v="0"/>
    <n v="438.83"/>
    <m/>
    <n v="2"/>
    <x v="0"/>
    <m/>
    <m/>
    <m/>
    <m/>
  </r>
  <r>
    <s v="GD0983"/>
    <n v="18"/>
    <x v="0"/>
    <x v="0"/>
    <x v="45"/>
    <x v="1"/>
    <x v="6"/>
    <s v="Age of Empires"/>
    <s v="Multi-platform"/>
    <n v="4.0999999999999996"/>
    <m/>
    <s v="Insomnia"/>
    <s v="Sometimes"/>
    <s v="Failing"/>
    <n v="2.0699999999999998"/>
    <m/>
    <s v="Withdrawn"/>
    <s v="Never"/>
    <b v="0"/>
    <b v="0"/>
    <b v="0"/>
    <b v="1"/>
    <b v="0"/>
    <n v="1"/>
    <n v="8.1"/>
    <n v="5"/>
    <n v="4.2"/>
    <n v="105.16"/>
    <m/>
    <n v="4"/>
    <x v="1"/>
    <m/>
    <m/>
    <m/>
    <m/>
  </r>
  <r>
    <s v="GD0984"/>
    <n v="23"/>
    <x v="1"/>
    <x v="0"/>
    <x v="23"/>
    <x v="1"/>
    <x v="1"/>
    <s v="Dota 2"/>
    <s v="PC"/>
    <n v="5"/>
    <m/>
    <s v="Good"/>
    <s v="Often"/>
    <s v="Good"/>
    <m/>
    <n v="2"/>
    <s v="Restless"/>
    <s v="Never"/>
    <b v="0"/>
    <b v="0"/>
    <b v="0"/>
    <b v="0"/>
    <b v="1"/>
    <n v="1.1000000000000001"/>
    <n v="8.3000000000000007"/>
    <n v="5"/>
    <n v="6.3"/>
    <n v="124.93"/>
    <m/>
    <n v="1"/>
    <x v="1"/>
    <m/>
    <m/>
    <m/>
    <m/>
  </r>
  <r>
    <s v="GD0985"/>
    <n v="30"/>
    <x v="1"/>
    <x v="0"/>
    <x v="32"/>
    <x v="1"/>
    <x v="4"/>
    <s v="Apex Legends"/>
    <s v="Console"/>
    <n v="6.5"/>
    <m/>
    <s v="Fair"/>
    <s v="Often"/>
    <s v="Failing"/>
    <m/>
    <n v="8"/>
    <s v="Excited"/>
    <s v="Never"/>
    <b v="0"/>
    <b v="0"/>
    <b v="0"/>
    <b v="0"/>
    <b v="0"/>
    <n v="0.9"/>
    <n v="8.5"/>
    <n v="4"/>
    <n v="13"/>
    <n v="20.100000000000001"/>
    <m/>
    <n v="8"/>
    <x v="1"/>
    <m/>
    <m/>
    <m/>
    <m/>
  </r>
  <r>
    <s v="GD0986"/>
    <n v="17"/>
    <x v="0"/>
    <x v="0"/>
    <x v="13"/>
    <x v="1"/>
    <x v="4"/>
    <s v="Warzone"/>
    <s v="Mobile"/>
    <n v="4"/>
    <m/>
    <s v="Fair"/>
    <s v="Always"/>
    <s v="Poor"/>
    <n v="2.9"/>
    <m/>
    <s v="Anxious"/>
    <s v="Daily"/>
    <b v="0"/>
    <b v="1"/>
    <b v="0"/>
    <b v="0"/>
    <b v="0"/>
    <n v="1.6"/>
    <n v="6.8"/>
    <n v="3"/>
    <n v="4.5"/>
    <n v="67.44"/>
    <m/>
    <n v="7"/>
    <x v="3"/>
    <m/>
    <m/>
    <m/>
    <m/>
  </r>
  <r>
    <s v="GD0987"/>
    <n v="18"/>
    <x v="0"/>
    <x v="1"/>
    <x v="40"/>
    <x v="1"/>
    <x v="2"/>
    <s v="Overwatch"/>
    <s v="Mobile"/>
    <n v="6.1"/>
    <m/>
    <s v="Fair"/>
    <s v="Often"/>
    <s v="Average"/>
    <n v="3.68"/>
    <m/>
    <s v="Angry"/>
    <s v="Sometimes"/>
    <b v="0"/>
    <b v="0"/>
    <b v="0"/>
    <b v="0"/>
    <b v="0"/>
    <n v="0.1"/>
    <n v="6.9"/>
    <n v="1"/>
    <n v="8.5"/>
    <n v="1.35"/>
    <m/>
    <n v="6"/>
    <x v="1"/>
    <m/>
    <m/>
    <m/>
    <m/>
  </r>
  <r>
    <s v="GD0988"/>
    <n v="19"/>
    <x v="0"/>
    <x v="0"/>
    <x v="26"/>
    <x v="1"/>
    <x v="1"/>
    <s v="Dota 2"/>
    <s v="Console"/>
    <n v="6.7"/>
    <m/>
    <s v="Fair"/>
    <s v="Often"/>
    <s v="Excellent"/>
    <n v="2.02"/>
    <n v="10"/>
    <s v="Restless"/>
    <s v="Often"/>
    <b v="0"/>
    <b v="0"/>
    <b v="0"/>
    <b v="0"/>
    <b v="0"/>
    <n v="2.9"/>
    <n v="6.5"/>
    <n v="2"/>
    <n v="9"/>
    <n v="59.91"/>
    <m/>
    <n v="9"/>
    <x v="1"/>
    <m/>
    <m/>
    <m/>
    <m/>
  </r>
  <r>
    <s v="GD0989"/>
    <n v="20"/>
    <x v="1"/>
    <x v="0"/>
    <x v="32"/>
    <x v="1"/>
    <x v="5"/>
    <s v="Final Fantasy XIV"/>
    <s v="PC"/>
    <n v="5.4"/>
    <m/>
    <s v="Very Poor"/>
    <s v="Sometimes"/>
    <s v="Good"/>
    <n v="2.2599999999999998"/>
    <n v="5"/>
    <s v="Euphoric"/>
    <s v="Sometimes"/>
    <b v="0"/>
    <b v="0"/>
    <b v="0"/>
    <b v="0"/>
    <b v="0"/>
    <n v="1"/>
    <n v="9.6999999999999993"/>
    <n v="3"/>
    <n v="12.1"/>
    <n v="8.08"/>
    <m/>
    <n v="7"/>
    <x v="1"/>
    <m/>
    <m/>
    <m/>
    <m/>
  </r>
  <r>
    <s v="GD0990"/>
    <n v="16"/>
    <x v="0"/>
    <x v="0"/>
    <x v="9"/>
    <x v="1"/>
    <x v="1"/>
    <s v="League of Legends"/>
    <s v="Mobile"/>
    <n v="9"/>
    <m/>
    <s v="Good"/>
    <s v="Often"/>
    <s v="Good"/>
    <n v="2.91"/>
    <m/>
    <s v="Excited"/>
    <s v="Daily"/>
    <b v="0"/>
    <b v="0"/>
    <b v="0"/>
    <b v="0"/>
    <b v="0"/>
    <n v="0.1"/>
    <n v="9"/>
    <n v="1"/>
    <n v="12.2"/>
    <n v="45.29"/>
    <m/>
    <n v="2"/>
    <x v="1"/>
    <m/>
    <m/>
    <m/>
    <m/>
  </r>
  <r>
    <s v="GD0991"/>
    <n v="19"/>
    <x v="0"/>
    <x v="1"/>
    <x v="39"/>
    <x v="1"/>
    <x v="2"/>
    <s v="Valorant"/>
    <s v="PC"/>
    <n v="3.2"/>
    <m/>
    <s v="Fair"/>
    <s v="Often"/>
    <s v="Poor"/>
    <n v="3"/>
    <n v="1"/>
    <s v="Anxious"/>
    <s v="Daily"/>
    <b v="0"/>
    <b v="1"/>
    <b v="0"/>
    <b v="0"/>
    <b v="1"/>
    <n v="1.4"/>
    <n v="7.7"/>
    <n v="5"/>
    <n v="5.8"/>
    <n v="121.06"/>
    <m/>
    <n v="2"/>
    <x v="3"/>
    <m/>
    <m/>
    <m/>
    <m/>
  </r>
  <r>
    <s v="GD0992"/>
    <n v="24"/>
    <x v="1"/>
    <x v="1"/>
    <x v="71"/>
    <x v="1"/>
    <x v="3"/>
    <s v="Cyberpunk 2077"/>
    <s v="Multi-platform"/>
    <n v="6.8"/>
    <m/>
    <s v="Fair"/>
    <s v="Never"/>
    <s v="Below Average"/>
    <m/>
    <n v="8"/>
    <s v="Euphoric"/>
    <s v="Rarely"/>
    <b v="0"/>
    <b v="0"/>
    <b v="0"/>
    <b v="0"/>
    <b v="0"/>
    <n v="1.5"/>
    <n v="7.7"/>
    <n v="1"/>
    <n v="9.5"/>
    <n v="31.45"/>
    <m/>
    <n v="1"/>
    <x v="1"/>
    <m/>
    <m/>
    <m/>
    <m/>
  </r>
  <r>
    <s v="GD0993"/>
    <n v="18"/>
    <x v="0"/>
    <x v="0"/>
    <x v="18"/>
    <x v="1"/>
    <x v="5"/>
    <s v="Elder Scrolls Online"/>
    <s v="PC"/>
    <n v="5.5"/>
    <m/>
    <s v="Fair"/>
    <s v="Rarely"/>
    <s v="Below Average"/>
    <n v="1.1100000000000001"/>
    <m/>
    <s v="Irritable"/>
    <s v="Often"/>
    <b v="0"/>
    <b v="0"/>
    <b v="0"/>
    <b v="1"/>
    <b v="0"/>
    <n v="1.8"/>
    <n v="8.3000000000000007"/>
    <n v="3"/>
    <n v="8.1999999999999993"/>
    <n v="143.47999999999999"/>
    <m/>
    <n v="8"/>
    <x v="1"/>
    <m/>
    <m/>
    <m/>
    <m/>
  </r>
  <r>
    <s v="GD0994"/>
    <n v="32"/>
    <x v="2"/>
    <x v="1"/>
    <x v="49"/>
    <x v="1"/>
    <x v="3"/>
    <s v="Skyrim"/>
    <s v="Console"/>
    <n v="5.7"/>
    <m/>
    <s v="Poor"/>
    <s v="Always"/>
    <s v="Poor"/>
    <m/>
    <n v="4"/>
    <s v="Euphoric"/>
    <s v="Never"/>
    <b v="0"/>
    <b v="0"/>
    <b v="0"/>
    <b v="0"/>
    <b v="0"/>
    <n v="1.4"/>
    <n v="6.4"/>
    <n v="5"/>
    <n v="9.6"/>
    <n v="18.84"/>
    <m/>
    <n v="18"/>
    <x v="1"/>
    <m/>
    <m/>
    <m/>
    <m/>
  </r>
  <r>
    <s v="GD0995"/>
    <n v="20"/>
    <x v="1"/>
    <x v="1"/>
    <x v="59"/>
    <x v="1"/>
    <x v="4"/>
    <s v="Apex Legends"/>
    <s v="Console"/>
    <n v="5.8"/>
    <m/>
    <s v="Fair"/>
    <s v="Rarely"/>
    <s v="Poor"/>
    <n v="2.5299999999999998"/>
    <n v="8"/>
    <s v="Angry"/>
    <s v="Never"/>
    <b v="0"/>
    <b v="1"/>
    <b v="1"/>
    <b v="0"/>
    <b v="0"/>
    <n v="0.4"/>
    <n v="4.4000000000000004"/>
    <n v="6"/>
    <n v="6.1"/>
    <n v="220.04"/>
    <m/>
    <n v="10"/>
    <x v="0"/>
    <m/>
    <m/>
    <m/>
    <m/>
  </r>
  <r>
    <s v="GD0996"/>
    <n v="15"/>
    <x v="0"/>
    <x v="1"/>
    <x v="108"/>
    <x v="1"/>
    <x v="6"/>
    <s v="Age of Empires"/>
    <s v="PC"/>
    <n v="4.0999999999999996"/>
    <m/>
    <s v="Very Poor"/>
    <s v="Always"/>
    <s v="Average"/>
    <n v="2.96"/>
    <m/>
    <s v="Restless"/>
    <s v="Sometimes"/>
    <b v="1"/>
    <b v="0"/>
    <b v="1"/>
    <b v="1"/>
    <b v="1"/>
    <n v="1.9"/>
    <n v="7.5"/>
    <n v="6"/>
    <n v="2.4"/>
    <n v="426.54"/>
    <m/>
    <n v="3"/>
    <x v="0"/>
    <m/>
    <m/>
    <m/>
    <m/>
  </r>
  <r>
    <s v="GD0997"/>
    <n v="18"/>
    <x v="0"/>
    <x v="0"/>
    <x v="66"/>
    <x v="1"/>
    <x v="5"/>
    <s v="Elder Scrolls Online"/>
    <s v="Multi-platform"/>
    <n v="6.5"/>
    <m/>
    <s v="Fair"/>
    <s v="Never"/>
    <s v="Excellent"/>
    <n v="3.42"/>
    <m/>
    <s v="Angry"/>
    <s v="Often"/>
    <b v="0"/>
    <b v="0"/>
    <b v="0"/>
    <b v="1"/>
    <b v="0"/>
    <n v="2.1"/>
    <n v="7.7"/>
    <n v="1"/>
    <n v="10.9"/>
    <n v="83.71"/>
    <m/>
    <n v="7"/>
    <x v="1"/>
    <m/>
    <m/>
    <m/>
    <m/>
  </r>
  <r>
    <s v="GD0998"/>
    <n v="23"/>
    <x v="1"/>
    <x v="0"/>
    <x v="13"/>
    <x v="1"/>
    <x v="3"/>
    <s v="Skyrim"/>
    <s v="PC"/>
    <n v="3.9"/>
    <m/>
    <s v="Insomnia"/>
    <s v="Rarely"/>
    <s v="Poor"/>
    <m/>
    <n v="3"/>
    <s v="Withdrawn"/>
    <s v="Daily"/>
    <b v="1"/>
    <b v="1"/>
    <b v="0"/>
    <b v="0"/>
    <b v="1"/>
    <n v="0.5"/>
    <n v="8.1"/>
    <n v="5"/>
    <n v="6.7"/>
    <n v="88.6"/>
    <m/>
    <n v="5"/>
    <x v="2"/>
    <m/>
    <m/>
    <m/>
    <m/>
  </r>
  <r>
    <s v="GD0999"/>
    <n v="18"/>
    <x v="0"/>
    <x v="0"/>
    <x v="33"/>
    <x v="1"/>
    <x v="6"/>
    <s v="StarCraft II"/>
    <s v="Console"/>
    <n v="8.1999999999999993"/>
    <m/>
    <s v="Fair"/>
    <s v="Sometimes"/>
    <s v="Good"/>
    <n v="1.03"/>
    <m/>
    <s v="Normal"/>
    <s v="Rarely"/>
    <b v="0"/>
    <b v="0"/>
    <b v="0"/>
    <b v="0"/>
    <b v="0"/>
    <n v="0.8"/>
    <n v="8.4"/>
    <n v="1"/>
    <n v="12.7"/>
    <n v="22.02"/>
    <m/>
    <n v="8"/>
    <x v="1"/>
    <m/>
    <m/>
    <m/>
    <m/>
  </r>
  <r>
    <s v="GD1000"/>
    <n v="29"/>
    <x v="1"/>
    <x v="0"/>
    <x v="40"/>
    <x v="1"/>
    <x v="3"/>
    <s v="Cyberpunk 2077"/>
    <s v="Multi-platform"/>
    <n v="7.4"/>
    <m/>
    <s v="Good"/>
    <s v="Sometimes"/>
    <s v="Below Average"/>
    <m/>
    <n v="6"/>
    <s v="Normal"/>
    <s v="Daily"/>
    <b v="0"/>
    <b v="0"/>
    <b v="0"/>
    <b v="0"/>
    <b v="0"/>
    <n v="0"/>
    <n v="9.3000000000000007"/>
    <n v="2"/>
    <n v="10.9"/>
    <n v="25.2"/>
    <m/>
    <n v="19"/>
    <x v="1"/>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3EA3D8-8EA6-4A9D-9403-95BC71D22A8E}"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60:C68" firstHeaderRow="1" firstDataRow="1" firstDataCol="1"/>
  <pivotFields count="35">
    <pivotField showAll="0"/>
    <pivotField showAll="0"/>
    <pivotField showAll="0">
      <items count="4">
        <item x="2"/>
        <item x="0"/>
        <item x="1"/>
        <item t="default"/>
      </items>
    </pivotField>
    <pivotField showAll="0">
      <items count="4">
        <item x="1"/>
        <item x="0"/>
        <item x="2"/>
        <item t="default"/>
      </items>
    </pivotField>
    <pivotField showAll="0"/>
    <pivotField showAll="0"/>
    <pivotField axis="axisRow" showAll="0">
      <items count="8">
        <item x="4"/>
        <item x="2"/>
        <item x="5"/>
        <item x="1"/>
        <item x="0"/>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dataField="1" showAll="0"/>
    <pivotField showAll="0"/>
    <pivotField showAll="0"/>
    <pivotField showAll="0"/>
    <pivotField showAll="0"/>
  </pivotFields>
  <rowFields count="1">
    <field x="6"/>
  </rowFields>
  <rowItems count="8">
    <i>
      <x/>
    </i>
    <i>
      <x v="1"/>
    </i>
    <i>
      <x v="2"/>
    </i>
    <i>
      <x v="3"/>
    </i>
    <i>
      <x v="4"/>
    </i>
    <i>
      <x v="5"/>
    </i>
    <i>
      <x v="6"/>
    </i>
    <i t="grand">
      <x/>
    </i>
  </rowItems>
  <colItems count="1">
    <i/>
  </colItems>
  <dataFields count="1">
    <dataField name="Count of gaming_addiction_risk_level" fld="30" subtotal="count" baseField="0" baseItem="0"/>
  </dataFields>
  <chartFormats count="2">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168A67-997F-43FD-953D-85ED8CD9B7C2}"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8:C36" firstHeaderRow="1" firstDataRow="1" firstDataCol="1"/>
  <pivotFields count="35">
    <pivotField showAll="0"/>
    <pivotField showAll="0"/>
    <pivotField showAll="0">
      <items count="4">
        <item x="2"/>
        <item x="0"/>
        <item x="1"/>
        <item t="default"/>
      </items>
    </pivotField>
    <pivotField showAll="0">
      <items count="4">
        <item x="1"/>
        <item x="0"/>
        <item x="2"/>
        <item t="default"/>
      </items>
    </pivotField>
    <pivotField showAll="0"/>
    <pivotField showAll="0"/>
    <pivotField axis="axisRow" showAll="0">
      <items count="8">
        <item x="4"/>
        <item x="2"/>
        <item x="5"/>
        <item x="1"/>
        <item x="0"/>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pivotField showAll="0"/>
    <pivotField showAll="0"/>
    <pivotField showAll="0"/>
    <pivotField showAll="0"/>
    <pivotField showAll="0"/>
    <pivotField showAll="0"/>
    <pivotField showAll="0"/>
  </pivotFields>
  <rowFields count="1">
    <field x="6"/>
  </rowFields>
  <rowItems count="8">
    <i>
      <x/>
    </i>
    <i>
      <x v="1"/>
    </i>
    <i>
      <x v="2"/>
    </i>
    <i>
      <x v="3"/>
    </i>
    <i>
      <x v="4"/>
    </i>
    <i>
      <x v="5"/>
    </i>
    <i>
      <x v="6"/>
    </i>
    <i t="grand">
      <x/>
    </i>
  </rowItems>
  <colItems count="1">
    <i/>
  </colItems>
  <dataFields count="1">
    <dataField name="Average of monthly_game_spending_usd" fld="27" subtotal="average" baseField="6" baseItem="0" numFmtId="166"/>
  </dataFields>
  <chartFormats count="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C41881-57F3-4F42-B78D-A8202DBDBCBC}"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23:C27" firstHeaderRow="1" firstDataRow="1" firstDataCol="1"/>
  <pivotFields count="35">
    <pivotField showAll="0"/>
    <pivotField showAll="0"/>
    <pivotField axis="axisRow" showAll="0">
      <items count="4">
        <item x="2"/>
        <item x="0"/>
        <item x="1"/>
        <item t="default"/>
      </items>
    </pivotField>
    <pivotField showAll="0">
      <items count="4">
        <item x="1"/>
        <item x="0"/>
        <item x="2"/>
        <item t="default"/>
      </items>
    </pivotField>
    <pivotField dataField="1" showAll="0">
      <items count="133">
        <item x="42"/>
        <item x="46"/>
        <item x="101"/>
        <item x="109"/>
        <item x="74"/>
        <item x="27"/>
        <item x="61"/>
        <item x="25"/>
        <item x="87"/>
        <item x="8"/>
        <item x="9"/>
        <item x="115"/>
        <item x="43"/>
        <item x="105"/>
        <item x="104"/>
        <item x="93"/>
        <item x="5"/>
        <item x="85"/>
        <item x="31"/>
        <item x="116"/>
        <item x="52"/>
        <item x="6"/>
        <item x="30"/>
        <item x="68"/>
        <item x="1"/>
        <item x="33"/>
        <item x="64"/>
        <item x="123"/>
        <item x="22"/>
        <item x="40"/>
        <item x="71"/>
        <item x="96"/>
        <item x="107"/>
        <item x="37"/>
        <item x="53"/>
        <item x="99"/>
        <item x="35"/>
        <item x="78"/>
        <item x="32"/>
        <item x="112"/>
        <item x="29"/>
        <item x="26"/>
        <item x="51"/>
        <item x="49"/>
        <item x="54"/>
        <item x="11"/>
        <item x="21"/>
        <item x="82"/>
        <item x="66"/>
        <item x="70"/>
        <item x="47"/>
        <item x="55"/>
        <item x="12"/>
        <item x="23"/>
        <item x="44"/>
        <item x="18"/>
        <item x="38"/>
        <item x="19"/>
        <item x="60"/>
        <item x="17"/>
        <item x="28"/>
        <item x="84"/>
        <item x="4"/>
        <item x="79"/>
        <item x="39"/>
        <item x="45"/>
        <item x="3"/>
        <item x="13"/>
        <item x="110"/>
        <item x="62"/>
        <item x="2"/>
        <item x="76"/>
        <item x="100"/>
        <item x="36"/>
        <item x="34"/>
        <item x="63"/>
        <item x="24"/>
        <item x="56"/>
        <item x="15"/>
        <item x="117"/>
        <item x="108"/>
        <item x="97"/>
        <item x="95"/>
        <item x="20"/>
        <item x="57"/>
        <item x="88"/>
        <item x="72"/>
        <item x="59"/>
        <item x="16"/>
        <item x="10"/>
        <item x="122"/>
        <item x="81"/>
        <item x="67"/>
        <item x="106"/>
        <item x="77"/>
        <item x="89"/>
        <item x="80"/>
        <item x="7"/>
        <item x="65"/>
        <item x="92"/>
        <item x="83"/>
        <item x="111"/>
        <item x="58"/>
        <item x="90"/>
        <item x="91"/>
        <item x="0"/>
        <item x="94"/>
        <item x="14"/>
        <item x="41"/>
        <item x="120"/>
        <item x="119"/>
        <item x="75"/>
        <item x="129"/>
        <item x="69"/>
        <item x="127"/>
        <item x="86"/>
        <item x="126"/>
        <item x="48"/>
        <item x="118"/>
        <item x="103"/>
        <item x="98"/>
        <item x="73"/>
        <item x="124"/>
        <item x="114"/>
        <item x="125"/>
        <item x="128"/>
        <item x="131"/>
        <item x="113"/>
        <item x="121"/>
        <item x="102"/>
        <item x="130"/>
        <item x="50"/>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items count="5">
        <item x="2"/>
        <item x="1"/>
        <item x="3"/>
        <item x="0"/>
        <item t="default"/>
      </items>
    </pivotField>
    <pivotField showAll="0"/>
    <pivotField showAll="0"/>
    <pivotField showAll="0"/>
    <pivotField showAll="0"/>
  </pivotFields>
  <rowFields count="1">
    <field x="2"/>
  </rowFields>
  <rowItems count="4">
    <i>
      <x/>
    </i>
    <i>
      <x v="1"/>
    </i>
    <i>
      <x v="2"/>
    </i>
    <i t="grand">
      <x/>
    </i>
  </rowItems>
  <colItems count="1">
    <i/>
  </colItems>
  <dataFields count="1">
    <dataField name="Average of daily_gaming_hours" fld="4" subtotal="average" baseField="2" baseItem="0" numFmtId="2"/>
  </dataFields>
  <chartFormats count="2">
    <chartFormat chart="0"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2737AA-8A00-4AA0-904B-22C14514E8BB}"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F8" firstHeaderRow="1" firstDataRow="2" firstDataCol="1"/>
  <pivotFields count="35">
    <pivotField showAll="0"/>
    <pivotField showAll="0"/>
    <pivotField showAll="0">
      <items count="4">
        <item x="2"/>
        <item x="0"/>
        <item x="1"/>
        <item t="default"/>
      </items>
    </pivotField>
    <pivotField axis="axisCol"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axis="axisRow" dataField="1" showAll="0">
      <items count="5">
        <item x="2"/>
        <item x="1"/>
        <item x="3"/>
        <item x="0"/>
        <item t="default"/>
      </items>
    </pivotField>
    <pivotField showAll="0"/>
    <pivotField showAll="0"/>
    <pivotField showAll="0"/>
    <pivotField showAll="0"/>
  </pivotFields>
  <rowFields count="1">
    <field x="30"/>
  </rowFields>
  <rowItems count="5">
    <i>
      <x/>
    </i>
    <i>
      <x v="1"/>
    </i>
    <i>
      <x v="2"/>
    </i>
    <i>
      <x v="3"/>
    </i>
    <i t="grand">
      <x/>
    </i>
  </rowItems>
  <colFields count="1">
    <field x="3"/>
  </colFields>
  <colItems count="4">
    <i>
      <x/>
    </i>
    <i>
      <x v="1"/>
    </i>
    <i>
      <x v="2"/>
    </i>
    <i t="grand">
      <x/>
    </i>
  </colItems>
  <dataFields count="1">
    <dataField name="Count of gaming_addiction_risk_level" fld="30" subtotal="count" baseField="0" baseItem="0"/>
  </dataFields>
  <chartFormats count="17">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30" count="1" selected="0">
            <x v="1"/>
          </reference>
        </references>
      </pivotArea>
    </chartFormat>
    <chartFormat chart="0" format="5" series="1">
      <pivotArea type="data" outline="0" fieldPosition="0">
        <references count="2">
          <reference field="4294967294" count="1" selected="0">
            <x v="0"/>
          </reference>
          <reference field="30" count="1" selected="0">
            <x v="2"/>
          </reference>
        </references>
      </pivotArea>
    </chartFormat>
    <chartFormat chart="0" format="6" series="1">
      <pivotArea type="data" outline="0" fieldPosition="0">
        <references count="2">
          <reference field="4294967294" count="1" selected="0">
            <x v="0"/>
          </reference>
          <reference field="30" count="1" selected="0">
            <x v="3"/>
          </reference>
        </references>
      </pivotArea>
    </chartFormat>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 chart="2" format="6" series="1">
      <pivotArea type="data" outline="0" fieldPosition="0">
        <references count="2">
          <reference field="4294967294" count="1" selected="0">
            <x v="0"/>
          </reference>
          <reference field="3" count="1" selected="0">
            <x v="2"/>
          </reference>
        </references>
      </pivotArea>
    </chartFormat>
    <chartFormat chart="2" format="7">
      <pivotArea type="data" outline="0" fieldPosition="0">
        <references count="3">
          <reference field="4294967294" count="1" selected="0">
            <x v="0"/>
          </reference>
          <reference field="3" count="1" selected="0">
            <x v="0"/>
          </reference>
          <reference field="30" count="1" selected="0">
            <x v="3"/>
          </reference>
        </references>
      </pivotArea>
    </chartFormat>
    <chartFormat chart="2" format="8">
      <pivotArea type="data" outline="0" fieldPosition="0">
        <references count="3">
          <reference field="4294967294" count="1" selected="0">
            <x v="0"/>
          </reference>
          <reference field="3" count="1" selected="0">
            <x v="1"/>
          </reference>
          <reference field="30" count="1" selected="0">
            <x v="3"/>
          </reference>
        </references>
      </pivotArea>
    </chartFormat>
    <chartFormat chart="2" format="9">
      <pivotArea type="data" outline="0" fieldPosition="0">
        <references count="3">
          <reference field="4294967294" count="1" selected="0">
            <x v="0"/>
          </reference>
          <reference field="3" count="1" selected="0">
            <x v="2"/>
          </reference>
          <reference field="30" count="1" selected="0">
            <x v="3"/>
          </reference>
        </references>
      </pivotArea>
    </chartFormat>
    <chartFormat chart="2" format="7" series="1">
      <pivotArea type="data" outline="0" fieldPosition="0">
        <references count="2">
          <reference field="4294967294" count="1" selected="0">
            <x v="0"/>
          </reference>
          <reference field="30" count="1" selected="0">
            <x v="3"/>
          </reference>
        </references>
      </pivotArea>
    </chartFormat>
    <chartFormat chart="2" format="8" series="1">
      <pivotArea type="data" outline="0" fieldPosition="0">
        <references count="2">
          <reference field="4294967294" count="1" selected="0">
            <x v="0"/>
          </reference>
          <reference field="30" count="1" selected="0">
            <x v="0"/>
          </reference>
        </references>
      </pivotArea>
    </chartFormat>
    <chartFormat chart="2" format="9" series="1">
      <pivotArea type="data" outline="0" fieldPosition="0">
        <references count="2">
          <reference field="4294967294" count="1" selected="0">
            <x v="0"/>
          </reference>
          <reference field="30" count="1" selected="0">
            <x v="1"/>
          </reference>
        </references>
      </pivotArea>
    </chartFormat>
    <chartFormat chart="2" format="10" series="1">
      <pivotArea type="data" outline="0" fieldPosition="0">
        <references count="2">
          <reference field="4294967294" count="1" selected="0">
            <x v="0"/>
          </reference>
          <reference field="3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 xr10:uid="{08245166-DDCC-4C39-B615-76085295EFB5}" sourceName="Age Category">
  <pivotTables>
    <pivotTable tabId="3" name="PivotTable3"/>
    <pivotTable tabId="3" name="PivotTable1"/>
    <pivotTable tabId="3" name="PivotTable4"/>
    <pivotTable tabId="3" name="PivotTable5"/>
  </pivotTables>
  <data>
    <tabular pivotCacheId="62201985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56E4DB9-C39F-4032-9C58-B8D42B81318C}" sourceName="gender">
  <pivotTables>
    <pivotTable tabId="3" name="PivotTable3"/>
    <pivotTable tabId="3" name="PivotTable1"/>
    <pivotTable tabId="3" name="PivotTable4"/>
    <pivotTable tabId="3" name="PivotTable5"/>
  </pivotTables>
  <data>
    <tabular pivotCacheId="62201985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Category" xr10:uid="{91B75535-3972-4C0A-9420-4F1EA8945408}" cache="Slicer_Age_Category" caption="Age Category" rowHeight="234950"/>
  <slicer name="gender" xr10:uid="{FCD22C48-13CB-4085-972F-99BA08D2F371}"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7ABF89-232D-4BFD-A70A-71ECD3FB52E9}" name="Table1" displayName="Table1" ref="A3:AI29" totalsRowShown="0">
  <autoFilter ref="A3:AI29" xr:uid="{A67ABF89-232D-4BFD-A70A-71ECD3FB52E9}"/>
  <tableColumns count="35">
    <tableColumn id="1" xr3:uid="{1E442DBD-0536-478D-A9EB-642B0884882B}" name="record_id"/>
    <tableColumn id="2" xr3:uid="{368C7ADE-0EC7-4A75-8046-8C6FD6492D74}" name="age"/>
    <tableColumn id="3" xr3:uid="{03270BB0-A4B5-460D-A395-C38844614F78}" name="Age Category"/>
    <tableColumn id="4" xr3:uid="{BB239D0E-B77C-433F-BD7F-C143F17DA66B}" name="gender"/>
    <tableColumn id="5" xr3:uid="{9560D2FB-B470-4B52-8728-2AECF0963B2D}" name="daily_gaming_hours"/>
    <tableColumn id="6" xr3:uid="{6B0A589B-25E1-47F7-A344-939DA163AFE9}" name="Avg Gaming Hours"/>
    <tableColumn id="7" xr3:uid="{AF30A057-7A9C-4028-8C57-A92D30393B48}" name="game_genre"/>
    <tableColumn id="8" xr3:uid="{A0CE79C5-F9CC-4C20-BAD4-49A3424BE50D}" name="primary_game"/>
    <tableColumn id="9" xr3:uid="{A1564941-CFAA-4E02-91A5-9AC15DE81ED0}" name="gaming_platform"/>
    <tableColumn id="10" xr3:uid="{B6BF6091-4626-4FA1-8F15-7DF1A25DB6B3}" name="sleep_hours"/>
    <tableColumn id="11" xr3:uid="{3AE7C26A-FFA4-4ECF-9F3F-AC08A0AA5243}" name="Avg Sleep hours"/>
    <tableColumn id="12" xr3:uid="{1E4B5459-1DFB-4B26-849C-AC0D667AE85B}" name="sleep_quality"/>
    <tableColumn id="13" xr3:uid="{2DB9CBFC-4FFB-431B-A715-B6A07B2BCF38}" name="sleep_disruption_frequency"/>
    <tableColumn id="14" xr3:uid="{AE4AD9DA-1776-4C32-BB02-C88F796F6B13}" name="academic_work_performance"/>
    <tableColumn id="15" xr3:uid="{199DCB1D-62BB-4E21-B8BA-86DF53AB1004}" name="grades_gpa"/>
    <tableColumn id="16" xr3:uid="{85E5A22A-BA41-4E79-9FFE-4F43E408C12B}" name="work_productivity_score"/>
    <tableColumn id="17" xr3:uid="{5C103C68-5A89-4C21-8F4C-B77F36D0BDCD}" name="mood_state"/>
    <tableColumn id="18" xr3:uid="{F540D7F6-C719-4A2A-8DC7-D287108CD320}" name="mood_swing_frequency"/>
    <tableColumn id="19" xr3:uid="{5B592395-B2B1-4B9E-93E2-0FE2C129DC8B}" name="withdrawal_symptoms"/>
    <tableColumn id="20" xr3:uid="{70D10D15-759F-400D-ACC4-718DD2E2E31E}" name="loss_of_other_interests"/>
    <tableColumn id="21" xr3:uid="{6BDBBEFE-B225-44BB-A4B0-455FB5B910A1}" name="continued_despite_problems"/>
    <tableColumn id="22" xr3:uid="{888A2E66-7E76-458F-AE7B-37E28BDDB88E}" name="eye_strain"/>
    <tableColumn id="23" xr3:uid="{E0B51C41-8757-420E-A914-4E569D4F323E}" name="back_neck_pain"/>
    <tableColumn id="24" xr3:uid="{CAF80509-79BC-4685-A96F-987F2B47A3E9}" name="weight_change_kg"/>
    <tableColumn id="25" xr3:uid="{6586174B-0A59-4727-A5D3-E44EE1F3115A}" name="exercise_hours_weekly"/>
    <tableColumn id="26" xr3:uid="{45BB2A29-460B-4A03-AA30-03DFE42EE99B}" name="social_isolation_score"/>
    <tableColumn id="27" xr3:uid="{A663B5F3-34DE-4DBC-B5AB-A48306A944E8}" name="face_to_face_social_hours_weekly"/>
    <tableColumn id="28" xr3:uid="{08A374B8-F933-4824-8B5C-124971DB4008}" name="monthly_game_spending_usd"/>
    <tableColumn id="29" xr3:uid="{A83B81DF-FD2D-4FCE-9A9D-E542EB204CC5}" name="Avg Monthly spending"/>
    <tableColumn id="30" xr3:uid="{FC15F987-8B54-4FFC-AEDE-A08F143B920F}" name="years_gaming"/>
    <tableColumn id="31" xr3:uid="{785DFD36-4C23-4C8F-B5C6-D438A5D3D760}" name="gaming_addiction_risk_level"/>
    <tableColumn id="32" xr3:uid="{87E2347B-39C4-4446-8769-A6AF28D33011}" name="Severe%"/>
    <tableColumn id="33" xr3:uid="{490F6908-3C33-4EC5-B4FE-89C6460DC370}" name="Low%"/>
    <tableColumn id="34" xr3:uid="{75B7AF66-2FAE-4435-B215-F59965B95167}" name="Moderate%"/>
    <tableColumn id="35" xr3:uid="{FF405F23-630D-4538-ABC5-A52224A870F0}" name="Hig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969CF-7731-4AC4-9224-B704C7CD893E}">
  <dimension ref="A1:AA1001"/>
  <sheetViews>
    <sheetView workbookViewId="0">
      <selection sqref="A1:XFD1048576"/>
    </sheetView>
  </sheetViews>
  <sheetFormatPr defaultRowHeight="14.4" x14ac:dyDescent="0.3"/>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3">
      <c r="A2" t="s">
        <v>27</v>
      </c>
      <c r="B2">
        <v>17</v>
      </c>
      <c r="C2" t="s">
        <v>28</v>
      </c>
      <c r="D2">
        <v>11.1</v>
      </c>
      <c r="E2" t="s">
        <v>29</v>
      </c>
      <c r="F2" t="s">
        <v>30</v>
      </c>
      <c r="G2" t="s">
        <v>31</v>
      </c>
      <c r="H2">
        <v>3.7</v>
      </c>
      <c r="I2" t="s">
        <v>32</v>
      </c>
      <c r="J2" t="s">
        <v>33</v>
      </c>
      <c r="K2" t="s">
        <v>34</v>
      </c>
      <c r="L2">
        <v>1.25</v>
      </c>
      <c r="N2" t="s">
        <v>35</v>
      </c>
      <c r="O2" t="s">
        <v>36</v>
      </c>
      <c r="P2" t="b">
        <v>1</v>
      </c>
      <c r="Q2" t="b">
        <v>0</v>
      </c>
      <c r="R2" t="b">
        <v>1</v>
      </c>
      <c r="S2" t="b">
        <v>1</v>
      </c>
      <c r="T2" t="b">
        <v>0</v>
      </c>
      <c r="U2">
        <v>6.8</v>
      </c>
      <c r="V2">
        <v>3.7</v>
      </c>
      <c r="W2">
        <v>7</v>
      </c>
      <c r="X2">
        <v>1.3</v>
      </c>
      <c r="Y2">
        <v>383.7</v>
      </c>
      <c r="Z2">
        <v>3</v>
      </c>
      <c r="AA2" t="s">
        <v>37</v>
      </c>
    </row>
    <row r="3" spans="1:27" x14ac:dyDescent="0.3">
      <c r="A3" t="s">
        <v>38</v>
      </c>
      <c r="B3">
        <v>21</v>
      </c>
      <c r="C3" t="s">
        <v>28</v>
      </c>
      <c r="D3">
        <v>3</v>
      </c>
      <c r="E3" t="s">
        <v>39</v>
      </c>
      <c r="F3" t="s">
        <v>40</v>
      </c>
      <c r="G3" t="s">
        <v>31</v>
      </c>
      <c r="H3">
        <v>7.2</v>
      </c>
      <c r="I3" t="s">
        <v>41</v>
      </c>
      <c r="J3" t="s">
        <v>42</v>
      </c>
      <c r="K3" t="s">
        <v>43</v>
      </c>
      <c r="L3">
        <v>3.75</v>
      </c>
      <c r="M3">
        <v>2</v>
      </c>
      <c r="N3" t="s">
        <v>44</v>
      </c>
      <c r="O3" t="s">
        <v>45</v>
      </c>
      <c r="P3" t="b">
        <v>0</v>
      </c>
      <c r="Q3" t="b">
        <v>0</v>
      </c>
      <c r="R3" t="b">
        <v>0</v>
      </c>
      <c r="S3" t="b">
        <v>0</v>
      </c>
      <c r="T3" t="b">
        <v>0</v>
      </c>
      <c r="U3">
        <v>0.4</v>
      </c>
      <c r="V3">
        <v>8.5</v>
      </c>
      <c r="W3">
        <v>2</v>
      </c>
      <c r="X3">
        <v>10.7</v>
      </c>
      <c r="Y3">
        <v>46.64</v>
      </c>
      <c r="Z3">
        <v>1</v>
      </c>
      <c r="AA3" t="s">
        <v>46</v>
      </c>
    </row>
    <row r="4" spans="1:27" x14ac:dyDescent="0.3">
      <c r="A4" t="s">
        <v>47</v>
      </c>
      <c r="B4">
        <v>23</v>
      </c>
      <c r="C4" t="s">
        <v>28</v>
      </c>
      <c r="D4">
        <v>7.6</v>
      </c>
      <c r="E4" t="s">
        <v>48</v>
      </c>
      <c r="F4" t="s">
        <v>49</v>
      </c>
      <c r="G4" t="s">
        <v>50</v>
      </c>
      <c r="H4">
        <v>4.4000000000000004</v>
      </c>
      <c r="I4" t="s">
        <v>41</v>
      </c>
      <c r="J4" t="s">
        <v>45</v>
      </c>
      <c r="K4" t="s">
        <v>51</v>
      </c>
      <c r="M4">
        <v>9</v>
      </c>
      <c r="N4" t="s">
        <v>44</v>
      </c>
      <c r="O4" t="s">
        <v>42</v>
      </c>
      <c r="P4" t="b">
        <v>1</v>
      </c>
      <c r="Q4" t="b">
        <v>1</v>
      </c>
      <c r="R4" t="b">
        <v>1</v>
      </c>
      <c r="S4" t="b">
        <v>0</v>
      </c>
      <c r="T4" t="b">
        <v>1</v>
      </c>
      <c r="U4">
        <v>1.8</v>
      </c>
      <c r="V4">
        <v>7.1</v>
      </c>
      <c r="W4">
        <v>5</v>
      </c>
      <c r="X4">
        <v>3.2</v>
      </c>
      <c r="Y4">
        <v>100.81</v>
      </c>
      <c r="Z4">
        <v>6</v>
      </c>
      <c r="AA4" t="s">
        <v>37</v>
      </c>
    </row>
    <row r="5" spans="1:27" x14ac:dyDescent="0.3">
      <c r="A5" t="s">
        <v>52</v>
      </c>
      <c r="B5">
        <v>20</v>
      </c>
      <c r="C5" t="s">
        <v>53</v>
      </c>
      <c r="D5">
        <v>7.2</v>
      </c>
      <c r="E5" t="s">
        <v>54</v>
      </c>
      <c r="F5" t="s">
        <v>55</v>
      </c>
      <c r="G5" t="s">
        <v>50</v>
      </c>
      <c r="H5">
        <v>5.0999999999999996</v>
      </c>
      <c r="I5" t="s">
        <v>41</v>
      </c>
      <c r="J5" t="s">
        <v>45</v>
      </c>
      <c r="K5" t="s">
        <v>51</v>
      </c>
      <c r="L5">
        <v>1.62</v>
      </c>
      <c r="M5">
        <v>2</v>
      </c>
      <c r="N5" t="s">
        <v>56</v>
      </c>
      <c r="O5" t="s">
        <v>57</v>
      </c>
      <c r="P5" t="b">
        <v>1</v>
      </c>
      <c r="Q5" t="b">
        <v>1</v>
      </c>
      <c r="R5" t="b">
        <v>0</v>
      </c>
      <c r="S5" t="b">
        <v>1</v>
      </c>
      <c r="T5" t="b">
        <v>1</v>
      </c>
      <c r="U5">
        <v>0.2</v>
      </c>
      <c r="V5">
        <v>5.2</v>
      </c>
      <c r="W5">
        <v>4</v>
      </c>
      <c r="X5">
        <v>9.1</v>
      </c>
      <c r="Y5">
        <v>51.6</v>
      </c>
      <c r="Z5">
        <v>7</v>
      </c>
      <c r="AA5" t="s">
        <v>58</v>
      </c>
    </row>
    <row r="6" spans="1:27" x14ac:dyDescent="0.3">
      <c r="A6" t="s">
        <v>59</v>
      </c>
      <c r="B6">
        <v>18</v>
      </c>
      <c r="C6" t="s">
        <v>28</v>
      </c>
      <c r="D6">
        <v>6.8</v>
      </c>
      <c r="E6" t="s">
        <v>60</v>
      </c>
      <c r="F6" t="s">
        <v>61</v>
      </c>
      <c r="G6" t="s">
        <v>31</v>
      </c>
      <c r="H6">
        <v>3.4</v>
      </c>
      <c r="I6" t="s">
        <v>51</v>
      </c>
      <c r="J6" t="s">
        <v>36</v>
      </c>
      <c r="K6" t="s">
        <v>62</v>
      </c>
      <c r="L6">
        <v>2.44</v>
      </c>
      <c r="N6" t="s">
        <v>63</v>
      </c>
      <c r="O6" t="s">
        <v>57</v>
      </c>
      <c r="P6" t="b">
        <v>1</v>
      </c>
      <c r="Q6" t="b">
        <v>0</v>
      </c>
      <c r="R6" t="b">
        <v>0</v>
      </c>
      <c r="S6" t="b">
        <v>0</v>
      </c>
      <c r="T6" t="b">
        <v>0</v>
      </c>
      <c r="U6">
        <v>0.5</v>
      </c>
      <c r="V6">
        <v>6.1</v>
      </c>
      <c r="W6">
        <v>4</v>
      </c>
      <c r="X6">
        <v>4.5</v>
      </c>
      <c r="Y6">
        <v>32.57</v>
      </c>
      <c r="Z6">
        <v>1</v>
      </c>
      <c r="AA6" t="s">
        <v>64</v>
      </c>
    </row>
    <row r="7" spans="1:27" x14ac:dyDescent="0.3">
      <c r="A7" t="s">
        <v>65</v>
      </c>
      <c r="B7">
        <v>21</v>
      </c>
      <c r="C7" t="s">
        <v>28</v>
      </c>
      <c r="D7">
        <v>2.1</v>
      </c>
      <c r="E7" t="s">
        <v>29</v>
      </c>
      <c r="F7" t="s">
        <v>30</v>
      </c>
      <c r="G7" t="s">
        <v>31</v>
      </c>
      <c r="H7">
        <v>7.5</v>
      </c>
      <c r="I7" t="s">
        <v>41</v>
      </c>
      <c r="J7" t="s">
        <v>42</v>
      </c>
      <c r="K7" t="s">
        <v>43</v>
      </c>
      <c r="L7">
        <v>3.81</v>
      </c>
      <c r="M7">
        <v>4</v>
      </c>
      <c r="N7" t="s">
        <v>66</v>
      </c>
      <c r="O7" t="s">
        <v>36</v>
      </c>
      <c r="P7" t="b">
        <v>0</v>
      </c>
      <c r="Q7" t="b">
        <v>0</v>
      </c>
      <c r="R7" t="b">
        <v>0</v>
      </c>
      <c r="S7" t="b">
        <v>0</v>
      </c>
      <c r="T7" t="b">
        <v>0</v>
      </c>
      <c r="U7">
        <v>0.2</v>
      </c>
      <c r="V7">
        <v>10.8</v>
      </c>
      <c r="W7">
        <v>1</v>
      </c>
      <c r="X7">
        <v>9.6</v>
      </c>
      <c r="Y7">
        <v>8.6300000000000008</v>
      </c>
      <c r="Z7">
        <v>4</v>
      </c>
      <c r="AA7" t="s">
        <v>46</v>
      </c>
    </row>
    <row r="8" spans="1:27" x14ac:dyDescent="0.3">
      <c r="A8" t="s">
        <v>67</v>
      </c>
      <c r="B8">
        <v>21</v>
      </c>
      <c r="C8" t="s">
        <v>28</v>
      </c>
      <c r="D8">
        <v>2.7</v>
      </c>
      <c r="E8" t="s">
        <v>48</v>
      </c>
      <c r="F8" t="s">
        <v>68</v>
      </c>
      <c r="G8" t="s">
        <v>50</v>
      </c>
      <c r="H8">
        <v>7.2</v>
      </c>
      <c r="I8" t="s">
        <v>32</v>
      </c>
      <c r="J8" t="s">
        <v>45</v>
      </c>
      <c r="K8" t="s">
        <v>34</v>
      </c>
      <c r="L8">
        <v>1.82</v>
      </c>
      <c r="M8">
        <v>6</v>
      </c>
      <c r="N8" t="s">
        <v>69</v>
      </c>
      <c r="O8" t="s">
        <v>42</v>
      </c>
      <c r="P8" t="b">
        <v>0</v>
      </c>
      <c r="Q8" t="b">
        <v>0</v>
      </c>
      <c r="R8" t="b">
        <v>0</v>
      </c>
      <c r="S8" t="b">
        <v>0</v>
      </c>
      <c r="T8" t="b">
        <v>0</v>
      </c>
      <c r="U8">
        <v>0.8</v>
      </c>
      <c r="V8">
        <v>10</v>
      </c>
      <c r="W8">
        <v>2</v>
      </c>
      <c r="X8">
        <v>10.1</v>
      </c>
      <c r="Y8">
        <v>35.25</v>
      </c>
      <c r="Z8">
        <v>3</v>
      </c>
      <c r="AA8" t="s">
        <v>46</v>
      </c>
    </row>
    <row r="9" spans="1:27" x14ac:dyDescent="0.3">
      <c r="A9" t="s">
        <v>70</v>
      </c>
      <c r="B9">
        <v>28</v>
      </c>
      <c r="C9" t="s">
        <v>53</v>
      </c>
      <c r="D9">
        <v>10.3</v>
      </c>
      <c r="E9" t="s">
        <v>29</v>
      </c>
      <c r="F9" t="s">
        <v>30</v>
      </c>
      <c r="G9" t="s">
        <v>71</v>
      </c>
      <c r="H9">
        <v>5.2</v>
      </c>
      <c r="I9" t="s">
        <v>41</v>
      </c>
      <c r="J9" t="s">
        <v>33</v>
      </c>
      <c r="K9" t="s">
        <v>51</v>
      </c>
      <c r="M9">
        <v>1</v>
      </c>
      <c r="N9" t="s">
        <v>35</v>
      </c>
      <c r="O9" t="s">
        <v>42</v>
      </c>
      <c r="P9" t="b">
        <v>1</v>
      </c>
      <c r="Q9" t="b">
        <v>1</v>
      </c>
      <c r="R9" t="b">
        <v>1</v>
      </c>
      <c r="S9" t="b">
        <v>1</v>
      </c>
      <c r="T9" t="b">
        <v>1</v>
      </c>
      <c r="U9">
        <v>2.4</v>
      </c>
      <c r="V9">
        <v>5.6</v>
      </c>
      <c r="W9">
        <v>6</v>
      </c>
      <c r="X9">
        <v>0.2</v>
      </c>
      <c r="Y9">
        <v>299.27999999999997</v>
      </c>
      <c r="Z9">
        <v>13</v>
      </c>
      <c r="AA9" t="s">
        <v>37</v>
      </c>
    </row>
    <row r="10" spans="1:27" x14ac:dyDescent="0.3">
      <c r="A10" t="s">
        <v>72</v>
      </c>
      <c r="B10">
        <v>18</v>
      </c>
      <c r="C10" t="s">
        <v>28</v>
      </c>
      <c r="D10">
        <v>1.4</v>
      </c>
      <c r="E10" t="s">
        <v>29</v>
      </c>
      <c r="F10" t="s">
        <v>73</v>
      </c>
      <c r="G10" t="s">
        <v>31</v>
      </c>
      <c r="H10">
        <v>8.9</v>
      </c>
      <c r="I10" t="s">
        <v>51</v>
      </c>
      <c r="J10" t="s">
        <v>74</v>
      </c>
      <c r="K10" t="s">
        <v>43</v>
      </c>
      <c r="L10">
        <v>2.4300000000000002</v>
      </c>
      <c r="N10" t="s">
        <v>69</v>
      </c>
      <c r="O10" t="s">
        <v>57</v>
      </c>
      <c r="P10" t="b">
        <v>0</v>
      </c>
      <c r="Q10" t="b">
        <v>0</v>
      </c>
      <c r="R10" t="b">
        <v>0</v>
      </c>
      <c r="S10" t="b">
        <v>0</v>
      </c>
      <c r="T10" t="b">
        <v>0</v>
      </c>
      <c r="U10">
        <v>0.1</v>
      </c>
      <c r="V10">
        <v>10.1</v>
      </c>
      <c r="W10">
        <v>1</v>
      </c>
      <c r="X10">
        <v>12.9</v>
      </c>
      <c r="Y10">
        <v>49.4</v>
      </c>
      <c r="Z10">
        <v>6</v>
      </c>
      <c r="AA10" t="s">
        <v>46</v>
      </c>
    </row>
    <row r="11" spans="1:27" x14ac:dyDescent="0.3">
      <c r="A11" t="s">
        <v>75</v>
      </c>
      <c r="B11">
        <v>18</v>
      </c>
      <c r="C11" t="s">
        <v>28</v>
      </c>
      <c r="D11">
        <v>7.6</v>
      </c>
      <c r="E11" t="s">
        <v>76</v>
      </c>
      <c r="F11" t="s">
        <v>77</v>
      </c>
      <c r="G11" t="s">
        <v>50</v>
      </c>
      <c r="H11">
        <v>3.5</v>
      </c>
      <c r="I11" t="s">
        <v>78</v>
      </c>
      <c r="J11" t="s">
        <v>45</v>
      </c>
      <c r="K11" t="s">
        <v>62</v>
      </c>
      <c r="L11">
        <v>1.1299999999999999</v>
      </c>
      <c r="N11" t="s">
        <v>35</v>
      </c>
      <c r="O11" t="s">
        <v>36</v>
      </c>
      <c r="P11" t="b">
        <v>1</v>
      </c>
      <c r="Q11" t="b">
        <v>1</v>
      </c>
      <c r="R11" t="b">
        <v>1</v>
      </c>
      <c r="S11" t="b">
        <v>1</v>
      </c>
      <c r="T11" t="b">
        <v>0</v>
      </c>
      <c r="U11">
        <v>3.3</v>
      </c>
      <c r="V11">
        <v>4.5</v>
      </c>
      <c r="W11">
        <v>6</v>
      </c>
      <c r="X11">
        <v>4.5999999999999996</v>
      </c>
      <c r="Y11">
        <v>135.19999999999999</v>
      </c>
      <c r="Z11">
        <v>6</v>
      </c>
      <c r="AA11" t="s">
        <v>37</v>
      </c>
    </row>
    <row r="12" spans="1:27" x14ac:dyDescent="0.3">
      <c r="A12" t="s">
        <v>79</v>
      </c>
      <c r="B12">
        <v>16</v>
      </c>
      <c r="C12" t="s">
        <v>28</v>
      </c>
      <c r="D12">
        <v>1.5</v>
      </c>
      <c r="E12" t="s">
        <v>48</v>
      </c>
      <c r="F12" t="s">
        <v>49</v>
      </c>
      <c r="G12" t="s">
        <v>50</v>
      </c>
      <c r="H12">
        <v>8.4</v>
      </c>
      <c r="I12" t="s">
        <v>43</v>
      </c>
      <c r="J12" t="s">
        <v>45</v>
      </c>
      <c r="K12" t="s">
        <v>43</v>
      </c>
      <c r="L12">
        <v>3.04</v>
      </c>
      <c r="N12" t="s">
        <v>80</v>
      </c>
      <c r="O12" t="s">
        <v>57</v>
      </c>
      <c r="P12" t="b">
        <v>0</v>
      </c>
      <c r="Q12" t="b">
        <v>0</v>
      </c>
      <c r="R12" t="b">
        <v>0</v>
      </c>
      <c r="S12" t="b">
        <v>0</v>
      </c>
      <c r="T12" t="b">
        <v>0</v>
      </c>
      <c r="U12">
        <v>0.2</v>
      </c>
      <c r="V12">
        <v>10.1</v>
      </c>
      <c r="W12">
        <v>1</v>
      </c>
      <c r="X12">
        <v>11</v>
      </c>
      <c r="Y12">
        <v>28.23</v>
      </c>
      <c r="Z12">
        <v>4</v>
      </c>
      <c r="AA12" t="s">
        <v>46</v>
      </c>
    </row>
    <row r="13" spans="1:27" x14ac:dyDescent="0.3">
      <c r="A13" t="s">
        <v>81</v>
      </c>
      <c r="B13">
        <v>14</v>
      </c>
      <c r="C13" t="s">
        <v>28</v>
      </c>
      <c r="D13">
        <v>3</v>
      </c>
      <c r="E13" t="s">
        <v>82</v>
      </c>
      <c r="F13" t="s">
        <v>83</v>
      </c>
      <c r="G13" t="s">
        <v>31</v>
      </c>
      <c r="H13">
        <v>7.2</v>
      </c>
      <c r="I13" t="s">
        <v>43</v>
      </c>
      <c r="J13" t="s">
        <v>33</v>
      </c>
      <c r="K13" t="s">
        <v>84</v>
      </c>
      <c r="L13">
        <v>3.15</v>
      </c>
      <c r="N13" t="s">
        <v>66</v>
      </c>
      <c r="O13" t="s">
        <v>42</v>
      </c>
      <c r="P13" t="b">
        <v>0</v>
      </c>
      <c r="Q13" t="b">
        <v>0</v>
      </c>
      <c r="R13" t="b">
        <v>0</v>
      </c>
      <c r="S13" t="b">
        <v>0</v>
      </c>
      <c r="T13" t="b">
        <v>0</v>
      </c>
      <c r="U13">
        <v>0.3</v>
      </c>
      <c r="V13">
        <v>9.4</v>
      </c>
      <c r="W13">
        <v>1</v>
      </c>
      <c r="X13">
        <v>13.9</v>
      </c>
      <c r="Y13">
        <v>46.36</v>
      </c>
      <c r="Z13">
        <v>3</v>
      </c>
      <c r="AA13" t="s">
        <v>46</v>
      </c>
    </row>
    <row r="14" spans="1:27" x14ac:dyDescent="0.3">
      <c r="A14" t="s">
        <v>85</v>
      </c>
      <c r="B14">
        <v>28</v>
      </c>
      <c r="C14" t="s">
        <v>28</v>
      </c>
      <c r="D14">
        <v>9.5</v>
      </c>
      <c r="E14" t="s">
        <v>29</v>
      </c>
      <c r="F14" t="s">
        <v>73</v>
      </c>
      <c r="G14" t="s">
        <v>86</v>
      </c>
      <c r="H14">
        <v>3.6</v>
      </c>
      <c r="I14" t="s">
        <v>32</v>
      </c>
      <c r="J14" t="s">
        <v>36</v>
      </c>
      <c r="K14" t="s">
        <v>51</v>
      </c>
      <c r="M14">
        <v>8</v>
      </c>
      <c r="N14" t="s">
        <v>56</v>
      </c>
      <c r="O14" t="s">
        <v>42</v>
      </c>
      <c r="P14" t="b">
        <v>1</v>
      </c>
      <c r="Q14" t="b">
        <v>0</v>
      </c>
      <c r="R14" t="b">
        <v>0</v>
      </c>
      <c r="S14" t="b">
        <v>1</v>
      </c>
      <c r="T14" t="b">
        <v>1</v>
      </c>
      <c r="U14">
        <v>2.2000000000000002</v>
      </c>
      <c r="V14">
        <v>5.0999999999999996</v>
      </c>
      <c r="W14">
        <v>5</v>
      </c>
      <c r="X14">
        <v>1.6</v>
      </c>
      <c r="Y14">
        <v>482.71</v>
      </c>
      <c r="Z14">
        <v>7</v>
      </c>
      <c r="AA14" t="s">
        <v>58</v>
      </c>
    </row>
    <row r="15" spans="1:27" x14ac:dyDescent="0.3">
      <c r="A15" t="s">
        <v>87</v>
      </c>
      <c r="B15">
        <v>22</v>
      </c>
      <c r="C15" t="s">
        <v>28</v>
      </c>
      <c r="D15">
        <v>5.0999999999999996</v>
      </c>
      <c r="E15" t="s">
        <v>54</v>
      </c>
      <c r="F15" t="s">
        <v>55</v>
      </c>
      <c r="G15" t="s">
        <v>86</v>
      </c>
      <c r="H15">
        <v>5.3</v>
      </c>
      <c r="I15" t="s">
        <v>41</v>
      </c>
      <c r="J15" t="s">
        <v>36</v>
      </c>
      <c r="K15" t="s">
        <v>62</v>
      </c>
      <c r="L15">
        <v>3.25</v>
      </c>
      <c r="M15">
        <v>6</v>
      </c>
      <c r="N15" t="s">
        <v>35</v>
      </c>
      <c r="O15" t="s">
        <v>42</v>
      </c>
      <c r="P15" t="b">
        <v>0</v>
      </c>
      <c r="Q15" t="b">
        <v>0</v>
      </c>
      <c r="R15" t="b">
        <v>0</v>
      </c>
      <c r="S15" t="b">
        <v>1</v>
      </c>
      <c r="T15" t="b">
        <v>0</v>
      </c>
      <c r="U15">
        <v>0.9</v>
      </c>
      <c r="V15">
        <v>7.6</v>
      </c>
      <c r="W15">
        <v>3</v>
      </c>
      <c r="X15">
        <v>6.3</v>
      </c>
      <c r="Y15">
        <v>36.07</v>
      </c>
      <c r="Z15">
        <v>5</v>
      </c>
      <c r="AA15" t="s">
        <v>46</v>
      </c>
    </row>
    <row r="16" spans="1:27" x14ac:dyDescent="0.3">
      <c r="A16" t="s">
        <v>88</v>
      </c>
      <c r="B16">
        <v>21</v>
      </c>
      <c r="C16" t="s">
        <v>28</v>
      </c>
      <c r="D16">
        <v>5.8</v>
      </c>
      <c r="E16" t="s">
        <v>54</v>
      </c>
      <c r="F16" t="s">
        <v>89</v>
      </c>
      <c r="G16" t="s">
        <v>71</v>
      </c>
      <c r="H16">
        <v>5.2</v>
      </c>
      <c r="I16" t="s">
        <v>43</v>
      </c>
      <c r="J16" t="s">
        <v>45</v>
      </c>
      <c r="K16" t="s">
        <v>43</v>
      </c>
      <c r="L16">
        <v>2.54</v>
      </c>
      <c r="M16">
        <v>2</v>
      </c>
      <c r="N16" t="s">
        <v>80</v>
      </c>
      <c r="O16" t="s">
        <v>42</v>
      </c>
      <c r="P16" t="b">
        <v>0</v>
      </c>
      <c r="Q16" t="b">
        <v>0</v>
      </c>
      <c r="R16" t="b">
        <v>0</v>
      </c>
      <c r="S16" t="b">
        <v>0</v>
      </c>
      <c r="T16" t="b">
        <v>1</v>
      </c>
      <c r="U16">
        <v>1.2</v>
      </c>
      <c r="V16">
        <v>8.1999999999999993</v>
      </c>
      <c r="W16">
        <v>3</v>
      </c>
      <c r="X16">
        <v>9</v>
      </c>
      <c r="Y16">
        <v>104.01</v>
      </c>
      <c r="Z16">
        <v>2</v>
      </c>
      <c r="AA16" t="s">
        <v>46</v>
      </c>
    </row>
    <row r="17" spans="1:27" x14ac:dyDescent="0.3">
      <c r="A17" t="s">
        <v>90</v>
      </c>
      <c r="B17">
        <v>25</v>
      </c>
      <c r="C17" t="s">
        <v>28</v>
      </c>
      <c r="D17">
        <v>7.3</v>
      </c>
      <c r="E17" t="s">
        <v>29</v>
      </c>
      <c r="F17" t="s">
        <v>30</v>
      </c>
      <c r="G17" t="s">
        <v>71</v>
      </c>
      <c r="H17">
        <v>5.6</v>
      </c>
      <c r="I17" t="s">
        <v>51</v>
      </c>
      <c r="J17" t="s">
        <v>45</v>
      </c>
      <c r="K17" t="s">
        <v>51</v>
      </c>
      <c r="M17">
        <v>5</v>
      </c>
      <c r="N17" t="s">
        <v>35</v>
      </c>
      <c r="O17" t="s">
        <v>36</v>
      </c>
      <c r="P17" t="b">
        <v>1</v>
      </c>
      <c r="Q17" t="b">
        <v>1</v>
      </c>
      <c r="R17" t="b">
        <v>0</v>
      </c>
      <c r="S17" t="b">
        <v>1</v>
      </c>
      <c r="T17" t="b">
        <v>1</v>
      </c>
      <c r="U17">
        <v>3.3</v>
      </c>
      <c r="V17">
        <v>6.9</v>
      </c>
      <c r="W17">
        <v>6</v>
      </c>
      <c r="X17">
        <v>6.8</v>
      </c>
      <c r="Y17">
        <v>68.25</v>
      </c>
      <c r="Z17">
        <v>7</v>
      </c>
      <c r="AA17" t="s">
        <v>58</v>
      </c>
    </row>
    <row r="18" spans="1:27" x14ac:dyDescent="0.3">
      <c r="A18" t="s">
        <v>91</v>
      </c>
      <c r="B18">
        <v>19</v>
      </c>
      <c r="C18" t="s">
        <v>28</v>
      </c>
      <c r="D18">
        <v>3</v>
      </c>
      <c r="E18" t="s">
        <v>29</v>
      </c>
      <c r="F18" t="s">
        <v>73</v>
      </c>
      <c r="G18" t="s">
        <v>71</v>
      </c>
      <c r="H18">
        <v>7.4</v>
      </c>
      <c r="I18" t="s">
        <v>41</v>
      </c>
      <c r="J18" t="s">
        <v>33</v>
      </c>
      <c r="K18" t="s">
        <v>51</v>
      </c>
      <c r="L18">
        <v>1.64</v>
      </c>
      <c r="M18">
        <v>3</v>
      </c>
      <c r="N18" t="s">
        <v>66</v>
      </c>
      <c r="O18" t="s">
        <v>36</v>
      </c>
      <c r="P18" t="b">
        <v>0</v>
      </c>
      <c r="Q18" t="b">
        <v>0</v>
      </c>
      <c r="R18" t="b">
        <v>0</v>
      </c>
      <c r="S18" t="b">
        <v>0</v>
      </c>
      <c r="T18" t="b">
        <v>0</v>
      </c>
      <c r="U18">
        <v>0.1</v>
      </c>
      <c r="V18">
        <v>6.7</v>
      </c>
      <c r="W18">
        <v>3</v>
      </c>
      <c r="X18">
        <v>13.1</v>
      </c>
      <c r="Y18">
        <v>1.63</v>
      </c>
      <c r="Z18">
        <v>9</v>
      </c>
      <c r="AA18" t="s">
        <v>46</v>
      </c>
    </row>
    <row r="19" spans="1:27" x14ac:dyDescent="0.3">
      <c r="A19" t="s">
        <v>92</v>
      </c>
      <c r="B19">
        <v>22</v>
      </c>
      <c r="C19" t="s">
        <v>53</v>
      </c>
      <c r="D19">
        <v>11.3</v>
      </c>
      <c r="E19" t="s">
        <v>39</v>
      </c>
      <c r="F19" t="s">
        <v>93</v>
      </c>
      <c r="G19" t="s">
        <v>50</v>
      </c>
      <c r="H19">
        <v>4.5999999999999996</v>
      </c>
      <c r="I19" t="s">
        <v>51</v>
      </c>
      <c r="J19" t="s">
        <v>33</v>
      </c>
      <c r="K19" t="s">
        <v>51</v>
      </c>
      <c r="L19">
        <v>1.89</v>
      </c>
      <c r="M19">
        <v>8</v>
      </c>
      <c r="N19" t="s">
        <v>35</v>
      </c>
      <c r="O19" t="s">
        <v>45</v>
      </c>
      <c r="P19" t="b">
        <v>1</v>
      </c>
      <c r="Q19" t="b">
        <v>0</v>
      </c>
      <c r="R19" t="b">
        <v>0</v>
      </c>
      <c r="S19" t="b">
        <v>1</v>
      </c>
      <c r="T19" t="b">
        <v>1</v>
      </c>
      <c r="U19">
        <v>5.7</v>
      </c>
      <c r="V19">
        <v>4.9000000000000004</v>
      </c>
      <c r="W19">
        <v>9</v>
      </c>
      <c r="X19">
        <v>0.9</v>
      </c>
      <c r="Y19">
        <v>77.239999999999995</v>
      </c>
      <c r="Z19">
        <v>10</v>
      </c>
      <c r="AA19" t="s">
        <v>58</v>
      </c>
    </row>
    <row r="20" spans="1:27" x14ac:dyDescent="0.3">
      <c r="A20" t="s">
        <v>94</v>
      </c>
      <c r="B20">
        <v>20</v>
      </c>
      <c r="C20" t="s">
        <v>28</v>
      </c>
      <c r="D20">
        <v>8.4</v>
      </c>
      <c r="E20" t="s">
        <v>48</v>
      </c>
      <c r="F20" t="s">
        <v>68</v>
      </c>
      <c r="G20" t="s">
        <v>86</v>
      </c>
      <c r="H20">
        <v>3.2</v>
      </c>
      <c r="I20" t="s">
        <v>32</v>
      </c>
      <c r="J20" t="s">
        <v>74</v>
      </c>
      <c r="K20" t="s">
        <v>62</v>
      </c>
      <c r="L20">
        <v>2.76</v>
      </c>
      <c r="M20">
        <v>2</v>
      </c>
      <c r="N20" t="s">
        <v>63</v>
      </c>
      <c r="O20" t="s">
        <v>33</v>
      </c>
      <c r="P20" t="b">
        <v>1</v>
      </c>
      <c r="Q20" t="b">
        <v>1</v>
      </c>
      <c r="R20" t="b">
        <v>1</v>
      </c>
      <c r="S20" t="b">
        <v>1</v>
      </c>
      <c r="T20" t="b">
        <v>0</v>
      </c>
      <c r="U20">
        <v>0.4</v>
      </c>
      <c r="V20">
        <v>7.1</v>
      </c>
      <c r="W20">
        <v>7</v>
      </c>
      <c r="X20">
        <v>8.1</v>
      </c>
      <c r="Y20">
        <v>118.79</v>
      </c>
      <c r="Z20">
        <v>6</v>
      </c>
      <c r="AA20" t="s">
        <v>37</v>
      </c>
    </row>
    <row r="21" spans="1:27" x14ac:dyDescent="0.3">
      <c r="A21" t="s">
        <v>95</v>
      </c>
      <c r="B21">
        <v>20</v>
      </c>
      <c r="C21" t="s">
        <v>28</v>
      </c>
      <c r="D21">
        <v>9.4</v>
      </c>
      <c r="E21" t="s">
        <v>60</v>
      </c>
      <c r="F21" t="s">
        <v>96</v>
      </c>
      <c r="G21" t="s">
        <v>71</v>
      </c>
      <c r="H21">
        <v>5.5</v>
      </c>
      <c r="I21" t="s">
        <v>51</v>
      </c>
      <c r="J21" t="s">
        <v>33</v>
      </c>
      <c r="K21" t="s">
        <v>34</v>
      </c>
      <c r="L21">
        <v>2.14</v>
      </c>
      <c r="M21">
        <v>7</v>
      </c>
      <c r="N21" t="s">
        <v>35</v>
      </c>
      <c r="O21" t="s">
        <v>42</v>
      </c>
      <c r="P21" t="b">
        <v>1</v>
      </c>
      <c r="Q21" t="b">
        <v>1</v>
      </c>
      <c r="R21" t="b">
        <v>0</v>
      </c>
      <c r="S21" t="b">
        <v>0</v>
      </c>
      <c r="T21" t="b">
        <v>1</v>
      </c>
      <c r="U21">
        <v>1.7</v>
      </c>
      <c r="V21">
        <v>4.8</v>
      </c>
      <c r="W21">
        <v>7</v>
      </c>
      <c r="X21">
        <v>2.2000000000000002</v>
      </c>
      <c r="Y21">
        <v>120.16</v>
      </c>
      <c r="Z21">
        <v>1</v>
      </c>
      <c r="AA21" t="s">
        <v>37</v>
      </c>
    </row>
    <row r="22" spans="1:27" x14ac:dyDescent="0.3">
      <c r="A22" t="s">
        <v>97</v>
      </c>
      <c r="B22">
        <v>22</v>
      </c>
      <c r="C22" t="s">
        <v>28</v>
      </c>
      <c r="D22">
        <v>6.5</v>
      </c>
      <c r="E22" t="s">
        <v>54</v>
      </c>
      <c r="F22" t="s">
        <v>98</v>
      </c>
      <c r="G22" t="s">
        <v>71</v>
      </c>
      <c r="H22">
        <v>4.4000000000000004</v>
      </c>
      <c r="I22" t="s">
        <v>51</v>
      </c>
      <c r="J22" t="s">
        <v>74</v>
      </c>
      <c r="K22" t="s">
        <v>34</v>
      </c>
      <c r="L22">
        <v>2.91</v>
      </c>
      <c r="M22">
        <v>3</v>
      </c>
      <c r="N22" t="s">
        <v>66</v>
      </c>
      <c r="O22" t="s">
        <v>36</v>
      </c>
      <c r="P22" t="b">
        <v>0</v>
      </c>
      <c r="Q22" t="b">
        <v>1</v>
      </c>
      <c r="R22" t="b">
        <v>0</v>
      </c>
      <c r="S22" t="b">
        <v>1</v>
      </c>
      <c r="T22" t="b">
        <v>0</v>
      </c>
      <c r="U22">
        <v>3.4</v>
      </c>
      <c r="V22">
        <v>6.4</v>
      </c>
      <c r="W22">
        <v>6</v>
      </c>
      <c r="X22">
        <v>9.1</v>
      </c>
      <c r="Y22">
        <v>16.989999999999998</v>
      </c>
      <c r="Z22">
        <v>12</v>
      </c>
      <c r="AA22" t="s">
        <v>64</v>
      </c>
    </row>
    <row r="23" spans="1:27" x14ac:dyDescent="0.3">
      <c r="A23" t="s">
        <v>99</v>
      </c>
      <c r="B23">
        <v>16</v>
      </c>
      <c r="C23" t="s">
        <v>53</v>
      </c>
      <c r="D23">
        <v>6.1</v>
      </c>
      <c r="E23" t="s">
        <v>39</v>
      </c>
      <c r="F23" t="s">
        <v>93</v>
      </c>
      <c r="G23" t="s">
        <v>71</v>
      </c>
      <c r="H23">
        <v>5.3</v>
      </c>
      <c r="I23" t="s">
        <v>41</v>
      </c>
      <c r="J23" t="s">
        <v>33</v>
      </c>
      <c r="K23" t="s">
        <v>43</v>
      </c>
      <c r="L23">
        <v>1.1200000000000001</v>
      </c>
      <c r="N23" t="s">
        <v>35</v>
      </c>
      <c r="O23" t="s">
        <v>45</v>
      </c>
      <c r="P23" t="b">
        <v>0</v>
      </c>
      <c r="Q23" t="b">
        <v>1</v>
      </c>
      <c r="R23" t="b">
        <v>0</v>
      </c>
      <c r="S23" t="b">
        <v>0</v>
      </c>
      <c r="T23" t="b">
        <v>1</v>
      </c>
      <c r="U23">
        <v>1.8</v>
      </c>
      <c r="V23">
        <v>5.8</v>
      </c>
      <c r="W23">
        <v>1</v>
      </c>
      <c r="X23">
        <v>9.3000000000000007</v>
      </c>
      <c r="Y23">
        <v>53.52</v>
      </c>
      <c r="Z23">
        <v>4</v>
      </c>
      <c r="AA23" t="s">
        <v>64</v>
      </c>
    </row>
    <row r="24" spans="1:27" x14ac:dyDescent="0.3">
      <c r="A24" t="s">
        <v>100</v>
      </c>
      <c r="B24">
        <v>14</v>
      </c>
      <c r="C24" t="s">
        <v>53</v>
      </c>
      <c r="D24">
        <v>6.3</v>
      </c>
      <c r="E24" t="s">
        <v>54</v>
      </c>
      <c r="F24" t="s">
        <v>55</v>
      </c>
      <c r="G24" t="s">
        <v>86</v>
      </c>
      <c r="H24">
        <v>6.5</v>
      </c>
      <c r="I24" t="s">
        <v>43</v>
      </c>
      <c r="J24" t="s">
        <v>42</v>
      </c>
      <c r="K24" t="s">
        <v>62</v>
      </c>
      <c r="L24">
        <v>3.27</v>
      </c>
      <c r="N24" t="s">
        <v>35</v>
      </c>
      <c r="O24" t="s">
        <v>36</v>
      </c>
      <c r="P24" t="b">
        <v>0</v>
      </c>
      <c r="Q24" t="b">
        <v>1</v>
      </c>
      <c r="R24" t="b">
        <v>0</v>
      </c>
      <c r="S24" t="b">
        <v>1</v>
      </c>
      <c r="T24" t="b">
        <v>0</v>
      </c>
      <c r="U24">
        <v>0.2</v>
      </c>
      <c r="V24">
        <v>7.5</v>
      </c>
      <c r="W24">
        <v>4</v>
      </c>
      <c r="X24">
        <v>4.8</v>
      </c>
      <c r="Y24">
        <v>126.54</v>
      </c>
      <c r="Z24">
        <v>4</v>
      </c>
      <c r="AA24" t="s">
        <v>64</v>
      </c>
    </row>
    <row r="25" spans="1:27" x14ac:dyDescent="0.3">
      <c r="A25" t="s">
        <v>101</v>
      </c>
      <c r="B25">
        <v>19</v>
      </c>
      <c r="C25" t="s">
        <v>53</v>
      </c>
      <c r="D25">
        <v>8.9</v>
      </c>
      <c r="E25" t="s">
        <v>60</v>
      </c>
      <c r="F25" t="s">
        <v>102</v>
      </c>
      <c r="G25" t="s">
        <v>71</v>
      </c>
      <c r="H25">
        <v>5.7</v>
      </c>
      <c r="I25" t="s">
        <v>32</v>
      </c>
      <c r="J25" t="s">
        <v>36</v>
      </c>
      <c r="K25" t="s">
        <v>62</v>
      </c>
      <c r="L25">
        <v>2.63</v>
      </c>
      <c r="M25">
        <v>8</v>
      </c>
      <c r="N25" t="s">
        <v>44</v>
      </c>
      <c r="O25" t="s">
        <v>42</v>
      </c>
      <c r="P25" t="b">
        <v>1</v>
      </c>
      <c r="Q25" t="b">
        <v>0</v>
      </c>
      <c r="R25" t="b">
        <v>0</v>
      </c>
      <c r="S25" t="b">
        <v>1</v>
      </c>
      <c r="T25" t="b">
        <v>1</v>
      </c>
      <c r="U25">
        <v>1.9</v>
      </c>
      <c r="V25">
        <v>5.7</v>
      </c>
      <c r="W25">
        <v>5</v>
      </c>
      <c r="X25">
        <v>5.2</v>
      </c>
      <c r="Y25">
        <v>66.37</v>
      </c>
      <c r="Z25">
        <v>6</v>
      </c>
      <c r="AA25" t="s">
        <v>58</v>
      </c>
    </row>
    <row r="26" spans="1:27" x14ac:dyDescent="0.3">
      <c r="A26" t="s">
        <v>103</v>
      </c>
      <c r="B26">
        <v>22</v>
      </c>
      <c r="C26" t="s">
        <v>28</v>
      </c>
      <c r="D26">
        <v>5.2</v>
      </c>
      <c r="E26" t="s">
        <v>29</v>
      </c>
      <c r="F26" t="s">
        <v>104</v>
      </c>
      <c r="G26" t="s">
        <v>31</v>
      </c>
      <c r="H26">
        <v>7</v>
      </c>
      <c r="I26" t="s">
        <v>41</v>
      </c>
      <c r="J26" t="s">
        <v>42</v>
      </c>
      <c r="K26" t="s">
        <v>43</v>
      </c>
      <c r="L26">
        <v>1.94</v>
      </c>
      <c r="M26">
        <v>1</v>
      </c>
      <c r="N26" t="s">
        <v>105</v>
      </c>
      <c r="O26" t="s">
        <v>42</v>
      </c>
      <c r="P26" t="b">
        <v>0</v>
      </c>
      <c r="Q26" t="b">
        <v>0</v>
      </c>
      <c r="R26" t="b">
        <v>0</v>
      </c>
      <c r="S26" t="b">
        <v>0</v>
      </c>
      <c r="T26" t="b">
        <v>0</v>
      </c>
      <c r="U26">
        <v>1.7</v>
      </c>
      <c r="V26">
        <v>6.2</v>
      </c>
      <c r="W26">
        <v>2</v>
      </c>
      <c r="X26">
        <v>11.2</v>
      </c>
      <c r="Y26">
        <v>60.06</v>
      </c>
      <c r="Z26">
        <v>11</v>
      </c>
      <c r="AA26" t="s">
        <v>46</v>
      </c>
    </row>
    <row r="27" spans="1:27" x14ac:dyDescent="0.3">
      <c r="A27" t="s">
        <v>106</v>
      </c>
      <c r="B27">
        <v>22</v>
      </c>
      <c r="C27" t="s">
        <v>28</v>
      </c>
      <c r="D27">
        <v>3.4</v>
      </c>
      <c r="E27" t="s">
        <v>29</v>
      </c>
      <c r="F27" t="s">
        <v>104</v>
      </c>
      <c r="G27" t="s">
        <v>71</v>
      </c>
      <c r="H27">
        <v>8.6999999999999993</v>
      </c>
      <c r="I27" t="s">
        <v>43</v>
      </c>
      <c r="J27" t="s">
        <v>74</v>
      </c>
      <c r="K27" t="s">
        <v>62</v>
      </c>
      <c r="L27">
        <v>3.41</v>
      </c>
      <c r="M27">
        <v>9</v>
      </c>
      <c r="N27" t="s">
        <v>66</v>
      </c>
      <c r="O27" t="s">
        <v>33</v>
      </c>
      <c r="P27" t="b">
        <v>0</v>
      </c>
      <c r="Q27" t="b">
        <v>0</v>
      </c>
      <c r="R27" t="b">
        <v>0</v>
      </c>
      <c r="S27" t="b">
        <v>0</v>
      </c>
      <c r="T27" t="b">
        <v>0</v>
      </c>
      <c r="U27">
        <v>1.1000000000000001</v>
      </c>
      <c r="V27">
        <v>7.8</v>
      </c>
      <c r="W27">
        <v>3</v>
      </c>
      <c r="X27">
        <v>10.3</v>
      </c>
      <c r="Y27">
        <v>37.26</v>
      </c>
      <c r="Z27">
        <v>9</v>
      </c>
      <c r="AA27" t="s">
        <v>46</v>
      </c>
    </row>
    <row r="28" spans="1:27" x14ac:dyDescent="0.3">
      <c r="A28" t="s">
        <v>107</v>
      </c>
      <c r="B28">
        <v>18</v>
      </c>
      <c r="C28" t="s">
        <v>28</v>
      </c>
      <c r="D28">
        <v>5.9</v>
      </c>
      <c r="E28" t="s">
        <v>60</v>
      </c>
      <c r="F28" t="s">
        <v>61</v>
      </c>
      <c r="G28" t="s">
        <v>50</v>
      </c>
      <c r="H28">
        <v>6.6</v>
      </c>
      <c r="I28" t="s">
        <v>41</v>
      </c>
      <c r="J28" t="s">
        <v>74</v>
      </c>
      <c r="K28" t="s">
        <v>34</v>
      </c>
      <c r="L28">
        <v>3.91</v>
      </c>
      <c r="N28" t="s">
        <v>35</v>
      </c>
      <c r="O28" t="s">
        <v>45</v>
      </c>
      <c r="P28" t="b">
        <v>0</v>
      </c>
      <c r="Q28" t="b">
        <v>0</v>
      </c>
      <c r="R28" t="b">
        <v>0</v>
      </c>
      <c r="S28" t="b">
        <v>1</v>
      </c>
      <c r="T28" t="b">
        <v>1</v>
      </c>
      <c r="U28">
        <v>0.9</v>
      </c>
      <c r="V28">
        <v>8</v>
      </c>
      <c r="W28">
        <v>3</v>
      </c>
      <c r="X28">
        <v>6.8</v>
      </c>
      <c r="Y28">
        <v>55.47</v>
      </c>
      <c r="Z28">
        <v>7</v>
      </c>
      <c r="AA28" t="s">
        <v>46</v>
      </c>
    </row>
    <row r="29" spans="1:27" x14ac:dyDescent="0.3">
      <c r="A29" t="s">
        <v>108</v>
      </c>
      <c r="B29">
        <v>18</v>
      </c>
      <c r="C29" t="s">
        <v>28</v>
      </c>
      <c r="D29">
        <v>8.1999999999999993</v>
      </c>
      <c r="E29" t="s">
        <v>76</v>
      </c>
      <c r="F29" t="s">
        <v>77</v>
      </c>
      <c r="G29" t="s">
        <v>86</v>
      </c>
      <c r="H29">
        <v>5.4</v>
      </c>
      <c r="I29" t="s">
        <v>41</v>
      </c>
      <c r="J29" t="s">
        <v>74</v>
      </c>
      <c r="K29" t="s">
        <v>51</v>
      </c>
      <c r="L29">
        <v>3.71</v>
      </c>
      <c r="N29" t="s">
        <v>35</v>
      </c>
      <c r="O29" t="s">
        <v>42</v>
      </c>
      <c r="P29" t="b">
        <v>0</v>
      </c>
      <c r="Q29" t="b">
        <v>1</v>
      </c>
      <c r="R29" t="b">
        <v>0</v>
      </c>
      <c r="S29" t="b">
        <v>1</v>
      </c>
      <c r="T29" t="b">
        <v>1</v>
      </c>
      <c r="U29">
        <v>3.2</v>
      </c>
      <c r="V29">
        <v>6.5</v>
      </c>
      <c r="W29">
        <v>5</v>
      </c>
      <c r="X29">
        <v>3.3</v>
      </c>
      <c r="Y29">
        <v>57.15</v>
      </c>
      <c r="Z29">
        <v>8</v>
      </c>
      <c r="AA29" t="s">
        <v>64</v>
      </c>
    </row>
    <row r="30" spans="1:27" x14ac:dyDescent="0.3">
      <c r="A30" t="s">
        <v>109</v>
      </c>
      <c r="B30">
        <v>21</v>
      </c>
      <c r="C30" t="s">
        <v>28</v>
      </c>
      <c r="D30">
        <v>1.2</v>
      </c>
      <c r="E30" t="s">
        <v>76</v>
      </c>
      <c r="F30" t="s">
        <v>110</v>
      </c>
      <c r="G30" t="s">
        <v>86</v>
      </c>
      <c r="H30">
        <v>7.1</v>
      </c>
      <c r="I30" t="s">
        <v>43</v>
      </c>
      <c r="J30" t="s">
        <v>74</v>
      </c>
      <c r="K30" t="s">
        <v>43</v>
      </c>
      <c r="L30">
        <v>2.31</v>
      </c>
      <c r="M30">
        <v>9</v>
      </c>
      <c r="N30" t="s">
        <v>105</v>
      </c>
      <c r="O30" t="s">
        <v>33</v>
      </c>
      <c r="P30" t="b">
        <v>0</v>
      </c>
      <c r="Q30" t="b">
        <v>0</v>
      </c>
      <c r="R30" t="b">
        <v>0</v>
      </c>
      <c r="S30" t="b">
        <v>0</v>
      </c>
      <c r="T30" t="b">
        <v>0</v>
      </c>
      <c r="U30">
        <v>0.2</v>
      </c>
      <c r="V30">
        <v>8.6</v>
      </c>
      <c r="W30">
        <v>2</v>
      </c>
      <c r="X30">
        <v>16.7</v>
      </c>
      <c r="Y30">
        <v>34.909999999999997</v>
      </c>
      <c r="Z30">
        <v>6</v>
      </c>
      <c r="AA30" t="s">
        <v>46</v>
      </c>
    </row>
    <row r="31" spans="1:27" x14ac:dyDescent="0.3">
      <c r="A31" t="s">
        <v>111</v>
      </c>
      <c r="B31">
        <v>19</v>
      </c>
      <c r="C31" t="s">
        <v>53</v>
      </c>
      <c r="D31">
        <v>4.7</v>
      </c>
      <c r="E31" t="s">
        <v>54</v>
      </c>
      <c r="F31" t="s">
        <v>55</v>
      </c>
      <c r="G31" t="s">
        <v>50</v>
      </c>
      <c r="H31">
        <v>5.8</v>
      </c>
      <c r="I31" t="s">
        <v>41</v>
      </c>
      <c r="J31" t="s">
        <v>42</v>
      </c>
      <c r="K31" t="s">
        <v>62</v>
      </c>
      <c r="L31">
        <v>1.62</v>
      </c>
      <c r="M31">
        <v>4</v>
      </c>
      <c r="N31" t="s">
        <v>44</v>
      </c>
      <c r="O31" t="s">
        <v>33</v>
      </c>
      <c r="P31" t="b">
        <v>0</v>
      </c>
      <c r="Q31" t="b">
        <v>0</v>
      </c>
      <c r="R31" t="b">
        <v>0</v>
      </c>
      <c r="S31" t="b">
        <v>1</v>
      </c>
      <c r="T31" t="b">
        <v>0</v>
      </c>
      <c r="U31">
        <v>0.5</v>
      </c>
      <c r="V31">
        <v>5.6</v>
      </c>
      <c r="W31">
        <v>3</v>
      </c>
      <c r="X31">
        <v>10</v>
      </c>
      <c r="Y31">
        <v>126.85</v>
      </c>
      <c r="Z31">
        <v>8</v>
      </c>
      <c r="AA31" t="s">
        <v>46</v>
      </c>
    </row>
    <row r="32" spans="1:27" x14ac:dyDescent="0.3">
      <c r="A32" t="s">
        <v>112</v>
      </c>
      <c r="B32">
        <v>20</v>
      </c>
      <c r="C32" t="s">
        <v>28</v>
      </c>
      <c r="D32">
        <v>1</v>
      </c>
      <c r="E32" t="s">
        <v>54</v>
      </c>
      <c r="F32" t="s">
        <v>98</v>
      </c>
      <c r="G32" t="s">
        <v>86</v>
      </c>
      <c r="H32">
        <v>7.3</v>
      </c>
      <c r="I32" t="s">
        <v>43</v>
      </c>
      <c r="J32" t="s">
        <v>33</v>
      </c>
      <c r="K32" t="s">
        <v>62</v>
      </c>
      <c r="L32">
        <v>1.21</v>
      </c>
      <c r="M32">
        <v>5</v>
      </c>
      <c r="N32" t="s">
        <v>66</v>
      </c>
      <c r="O32" t="s">
        <v>36</v>
      </c>
      <c r="P32" t="b">
        <v>0</v>
      </c>
      <c r="Q32" t="b">
        <v>0</v>
      </c>
      <c r="R32" t="b">
        <v>0</v>
      </c>
      <c r="S32" t="b">
        <v>0</v>
      </c>
      <c r="T32" t="b">
        <v>0</v>
      </c>
      <c r="U32">
        <v>0</v>
      </c>
      <c r="V32">
        <v>8.9</v>
      </c>
      <c r="W32">
        <v>1</v>
      </c>
      <c r="X32">
        <v>14.4</v>
      </c>
      <c r="Y32">
        <v>21.09</v>
      </c>
      <c r="Z32">
        <v>6</v>
      </c>
      <c r="AA32" t="s">
        <v>46</v>
      </c>
    </row>
    <row r="33" spans="1:27" x14ac:dyDescent="0.3">
      <c r="A33" t="s">
        <v>113</v>
      </c>
      <c r="B33">
        <v>17</v>
      </c>
      <c r="C33" t="s">
        <v>28</v>
      </c>
      <c r="D33">
        <v>5.0999999999999996</v>
      </c>
      <c r="E33" t="s">
        <v>29</v>
      </c>
      <c r="F33" t="s">
        <v>30</v>
      </c>
      <c r="G33" t="s">
        <v>86</v>
      </c>
      <c r="H33">
        <v>6.4</v>
      </c>
      <c r="I33" t="s">
        <v>51</v>
      </c>
      <c r="J33" t="s">
        <v>74</v>
      </c>
      <c r="K33" t="s">
        <v>62</v>
      </c>
      <c r="L33">
        <v>3.02</v>
      </c>
      <c r="N33" t="s">
        <v>80</v>
      </c>
      <c r="O33" t="s">
        <v>45</v>
      </c>
      <c r="P33" t="b">
        <v>0</v>
      </c>
      <c r="Q33" t="b">
        <v>0</v>
      </c>
      <c r="R33" t="b">
        <v>0</v>
      </c>
      <c r="S33" t="b">
        <v>0</v>
      </c>
      <c r="T33" t="b">
        <v>0</v>
      </c>
      <c r="U33">
        <v>2.2000000000000002</v>
      </c>
      <c r="V33">
        <v>8.9</v>
      </c>
      <c r="W33">
        <v>2</v>
      </c>
      <c r="X33">
        <v>8.3000000000000007</v>
      </c>
      <c r="Y33">
        <v>36.53</v>
      </c>
      <c r="Z33">
        <v>5</v>
      </c>
      <c r="AA33" t="s">
        <v>46</v>
      </c>
    </row>
    <row r="34" spans="1:27" x14ac:dyDescent="0.3">
      <c r="A34" t="s">
        <v>114</v>
      </c>
      <c r="B34">
        <v>20</v>
      </c>
      <c r="C34" t="s">
        <v>28</v>
      </c>
      <c r="D34">
        <v>5.9</v>
      </c>
      <c r="E34" t="s">
        <v>76</v>
      </c>
      <c r="F34" t="s">
        <v>77</v>
      </c>
      <c r="G34" t="s">
        <v>71</v>
      </c>
      <c r="H34">
        <v>6.8</v>
      </c>
      <c r="I34" t="s">
        <v>41</v>
      </c>
      <c r="J34" t="s">
        <v>42</v>
      </c>
      <c r="K34" t="s">
        <v>51</v>
      </c>
      <c r="L34">
        <v>3.39</v>
      </c>
      <c r="M34">
        <v>6</v>
      </c>
      <c r="N34" t="s">
        <v>35</v>
      </c>
      <c r="O34" t="s">
        <v>36</v>
      </c>
      <c r="P34" t="b">
        <v>0</v>
      </c>
      <c r="Q34" t="b">
        <v>0</v>
      </c>
      <c r="R34" t="b">
        <v>0</v>
      </c>
      <c r="S34" t="b">
        <v>0</v>
      </c>
      <c r="T34" t="b">
        <v>1</v>
      </c>
      <c r="U34">
        <v>0.3</v>
      </c>
      <c r="V34">
        <v>7.5</v>
      </c>
      <c r="W34">
        <v>3</v>
      </c>
      <c r="X34">
        <v>7.1</v>
      </c>
      <c r="Y34">
        <v>147.6</v>
      </c>
      <c r="Z34">
        <v>7</v>
      </c>
      <c r="AA34" t="s">
        <v>46</v>
      </c>
    </row>
    <row r="35" spans="1:27" x14ac:dyDescent="0.3">
      <c r="A35" t="s">
        <v>115</v>
      </c>
      <c r="B35">
        <v>20</v>
      </c>
      <c r="C35" t="s">
        <v>28</v>
      </c>
      <c r="D35">
        <v>5.2</v>
      </c>
      <c r="E35" t="s">
        <v>60</v>
      </c>
      <c r="F35" t="s">
        <v>102</v>
      </c>
      <c r="G35" t="s">
        <v>71</v>
      </c>
      <c r="H35">
        <v>5.6</v>
      </c>
      <c r="I35" t="s">
        <v>32</v>
      </c>
      <c r="J35" t="s">
        <v>45</v>
      </c>
      <c r="K35" t="s">
        <v>62</v>
      </c>
      <c r="L35">
        <v>3.03</v>
      </c>
      <c r="M35">
        <v>8</v>
      </c>
      <c r="N35" t="s">
        <v>63</v>
      </c>
      <c r="O35" t="s">
        <v>42</v>
      </c>
      <c r="P35" t="b">
        <v>0</v>
      </c>
      <c r="Q35" t="b">
        <v>0</v>
      </c>
      <c r="R35" t="b">
        <v>0</v>
      </c>
      <c r="S35" t="b">
        <v>1</v>
      </c>
      <c r="T35" t="b">
        <v>0</v>
      </c>
      <c r="U35">
        <v>1.4</v>
      </c>
      <c r="V35">
        <v>7.9</v>
      </c>
      <c r="W35">
        <v>5</v>
      </c>
      <c r="X35">
        <v>8.6999999999999993</v>
      </c>
      <c r="Y35">
        <v>19.91</v>
      </c>
      <c r="Z35">
        <v>7</v>
      </c>
      <c r="AA35" t="s">
        <v>46</v>
      </c>
    </row>
    <row r="36" spans="1:27" x14ac:dyDescent="0.3">
      <c r="A36" t="s">
        <v>116</v>
      </c>
      <c r="B36">
        <v>18</v>
      </c>
      <c r="C36" t="s">
        <v>28</v>
      </c>
      <c r="D36">
        <v>6.6</v>
      </c>
      <c r="E36" t="s">
        <v>48</v>
      </c>
      <c r="F36" t="s">
        <v>49</v>
      </c>
      <c r="G36" t="s">
        <v>71</v>
      </c>
      <c r="H36">
        <v>4.0999999999999996</v>
      </c>
      <c r="I36" t="s">
        <v>78</v>
      </c>
      <c r="J36" t="s">
        <v>45</v>
      </c>
      <c r="K36" t="s">
        <v>51</v>
      </c>
      <c r="L36">
        <v>3.98</v>
      </c>
      <c r="N36" t="s">
        <v>35</v>
      </c>
      <c r="O36" t="s">
        <v>33</v>
      </c>
      <c r="P36" t="b">
        <v>1</v>
      </c>
      <c r="Q36" t="b">
        <v>1</v>
      </c>
      <c r="R36" t="b">
        <v>0</v>
      </c>
      <c r="S36" t="b">
        <v>0</v>
      </c>
      <c r="T36" t="b">
        <v>0</v>
      </c>
      <c r="U36">
        <v>0.1</v>
      </c>
      <c r="V36">
        <v>5.5</v>
      </c>
      <c r="W36">
        <v>5</v>
      </c>
      <c r="X36">
        <v>8.4</v>
      </c>
      <c r="Y36">
        <v>93.68</v>
      </c>
      <c r="Z36">
        <v>2</v>
      </c>
      <c r="AA36" t="s">
        <v>58</v>
      </c>
    </row>
    <row r="37" spans="1:27" x14ac:dyDescent="0.3">
      <c r="A37" t="s">
        <v>117</v>
      </c>
      <c r="B37">
        <v>22</v>
      </c>
      <c r="C37" t="s">
        <v>53</v>
      </c>
      <c r="D37">
        <v>4.5999999999999996</v>
      </c>
      <c r="E37" t="s">
        <v>29</v>
      </c>
      <c r="F37" t="s">
        <v>118</v>
      </c>
      <c r="G37" t="s">
        <v>31</v>
      </c>
      <c r="H37">
        <v>5.4</v>
      </c>
      <c r="I37" t="s">
        <v>51</v>
      </c>
      <c r="J37" t="s">
        <v>36</v>
      </c>
      <c r="K37" t="s">
        <v>62</v>
      </c>
      <c r="L37">
        <v>1.1499999999999999</v>
      </c>
      <c r="M37">
        <v>6</v>
      </c>
      <c r="N37" t="s">
        <v>63</v>
      </c>
      <c r="O37" t="s">
        <v>33</v>
      </c>
      <c r="P37" t="b">
        <v>0</v>
      </c>
      <c r="Q37" t="b">
        <v>0</v>
      </c>
      <c r="R37" t="b">
        <v>0</v>
      </c>
      <c r="S37" t="b">
        <v>1</v>
      </c>
      <c r="T37" t="b">
        <v>0</v>
      </c>
      <c r="U37">
        <v>1.6</v>
      </c>
      <c r="V37">
        <v>8.4</v>
      </c>
      <c r="W37">
        <v>4</v>
      </c>
      <c r="X37">
        <v>8.3000000000000007</v>
      </c>
      <c r="Y37">
        <v>80.92</v>
      </c>
      <c r="Z37">
        <v>12</v>
      </c>
      <c r="AA37" t="s">
        <v>46</v>
      </c>
    </row>
    <row r="38" spans="1:27" x14ac:dyDescent="0.3">
      <c r="A38" t="s">
        <v>119</v>
      </c>
      <c r="B38">
        <v>20</v>
      </c>
      <c r="C38" t="s">
        <v>28</v>
      </c>
      <c r="D38">
        <v>2.8</v>
      </c>
      <c r="E38" t="s">
        <v>39</v>
      </c>
      <c r="F38" t="s">
        <v>120</v>
      </c>
      <c r="G38" t="s">
        <v>86</v>
      </c>
      <c r="H38">
        <v>8.3000000000000007</v>
      </c>
      <c r="I38" t="s">
        <v>41</v>
      </c>
      <c r="J38" t="s">
        <v>36</v>
      </c>
      <c r="K38" t="s">
        <v>84</v>
      </c>
      <c r="L38">
        <v>3.54</v>
      </c>
      <c r="M38">
        <v>9</v>
      </c>
      <c r="N38" t="s">
        <v>121</v>
      </c>
      <c r="O38" t="s">
        <v>36</v>
      </c>
      <c r="P38" t="b">
        <v>0</v>
      </c>
      <c r="Q38" t="b">
        <v>0</v>
      </c>
      <c r="R38" t="b">
        <v>0</v>
      </c>
      <c r="S38" t="b">
        <v>0</v>
      </c>
      <c r="T38" t="b">
        <v>0</v>
      </c>
      <c r="U38">
        <v>0.3</v>
      </c>
      <c r="V38">
        <v>8.3000000000000007</v>
      </c>
      <c r="W38">
        <v>3</v>
      </c>
      <c r="X38">
        <v>14.3</v>
      </c>
      <c r="Y38">
        <v>45.96</v>
      </c>
      <c r="Z38">
        <v>9</v>
      </c>
      <c r="AA38" t="s">
        <v>46</v>
      </c>
    </row>
    <row r="39" spans="1:27" x14ac:dyDescent="0.3">
      <c r="A39" t="s">
        <v>122</v>
      </c>
      <c r="B39">
        <v>20</v>
      </c>
      <c r="C39" t="s">
        <v>28</v>
      </c>
      <c r="D39">
        <v>7.6</v>
      </c>
      <c r="E39" t="s">
        <v>82</v>
      </c>
      <c r="F39" t="s">
        <v>83</v>
      </c>
      <c r="G39" t="s">
        <v>86</v>
      </c>
      <c r="H39">
        <v>4.2</v>
      </c>
      <c r="I39" t="s">
        <v>32</v>
      </c>
      <c r="J39" t="s">
        <v>36</v>
      </c>
      <c r="K39" t="s">
        <v>51</v>
      </c>
      <c r="L39">
        <v>2.7</v>
      </c>
      <c r="M39">
        <v>9</v>
      </c>
      <c r="N39" t="s">
        <v>80</v>
      </c>
      <c r="O39" t="s">
        <v>36</v>
      </c>
      <c r="P39" t="b">
        <v>0</v>
      </c>
      <c r="Q39" t="b">
        <v>1</v>
      </c>
      <c r="R39" t="b">
        <v>0</v>
      </c>
      <c r="S39" t="b">
        <v>1</v>
      </c>
      <c r="T39" t="b">
        <v>1</v>
      </c>
      <c r="U39">
        <v>3.6</v>
      </c>
      <c r="V39">
        <v>5.2</v>
      </c>
      <c r="W39">
        <v>6</v>
      </c>
      <c r="X39">
        <v>2.6</v>
      </c>
      <c r="Y39">
        <v>123.45</v>
      </c>
      <c r="Z39">
        <v>2</v>
      </c>
      <c r="AA39" t="s">
        <v>64</v>
      </c>
    </row>
    <row r="40" spans="1:27" x14ac:dyDescent="0.3">
      <c r="A40" t="s">
        <v>123</v>
      </c>
      <c r="B40">
        <v>16</v>
      </c>
      <c r="C40" t="s">
        <v>53</v>
      </c>
      <c r="D40">
        <v>2.2999999999999998</v>
      </c>
      <c r="E40" t="s">
        <v>39</v>
      </c>
      <c r="F40" t="s">
        <v>93</v>
      </c>
      <c r="G40" t="s">
        <v>86</v>
      </c>
      <c r="H40">
        <v>8.4</v>
      </c>
      <c r="I40" t="s">
        <v>43</v>
      </c>
      <c r="J40" t="s">
        <v>45</v>
      </c>
      <c r="K40" t="s">
        <v>62</v>
      </c>
      <c r="L40">
        <v>1.22</v>
      </c>
      <c r="N40" t="s">
        <v>35</v>
      </c>
      <c r="O40" t="s">
        <v>57</v>
      </c>
      <c r="P40" t="b">
        <v>0</v>
      </c>
      <c r="Q40" t="b">
        <v>0</v>
      </c>
      <c r="R40" t="b">
        <v>0</v>
      </c>
      <c r="S40" t="b">
        <v>0</v>
      </c>
      <c r="T40" t="b">
        <v>0</v>
      </c>
      <c r="U40">
        <v>0.8</v>
      </c>
      <c r="V40">
        <v>7.2</v>
      </c>
      <c r="W40">
        <v>2</v>
      </c>
      <c r="X40">
        <v>12.3</v>
      </c>
      <c r="Y40">
        <v>42.43</v>
      </c>
      <c r="Z40">
        <v>4</v>
      </c>
      <c r="AA40" t="s">
        <v>46</v>
      </c>
    </row>
    <row r="41" spans="1:27" x14ac:dyDescent="0.3">
      <c r="A41" t="s">
        <v>124</v>
      </c>
      <c r="B41">
        <v>20</v>
      </c>
      <c r="C41" t="s">
        <v>28</v>
      </c>
      <c r="D41">
        <v>4.4000000000000004</v>
      </c>
      <c r="E41" t="s">
        <v>54</v>
      </c>
      <c r="F41" t="s">
        <v>89</v>
      </c>
      <c r="G41" t="s">
        <v>86</v>
      </c>
      <c r="H41">
        <v>6.4</v>
      </c>
      <c r="I41" t="s">
        <v>41</v>
      </c>
      <c r="J41" t="s">
        <v>45</v>
      </c>
      <c r="K41" t="s">
        <v>84</v>
      </c>
      <c r="L41">
        <v>1.38</v>
      </c>
      <c r="M41">
        <v>2</v>
      </c>
      <c r="N41" t="s">
        <v>80</v>
      </c>
      <c r="O41" t="s">
        <v>42</v>
      </c>
      <c r="P41" t="b">
        <v>0</v>
      </c>
      <c r="Q41" t="b">
        <v>0</v>
      </c>
      <c r="R41" t="b">
        <v>0</v>
      </c>
      <c r="S41" t="b">
        <v>0</v>
      </c>
      <c r="T41" t="b">
        <v>0</v>
      </c>
      <c r="U41">
        <v>0.2</v>
      </c>
      <c r="V41">
        <v>9.1</v>
      </c>
      <c r="W41">
        <v>4</v>
      </c>
      <c r="X41">
        <v>8.5</v>
      </c>
      <c r="Y41">
        <v>26.63</v>
      </c>
      <c r="Z41">
        <v>2</v>
      </c>
      <c r="AA41" t="s">
        <v>46</v>
      </c>
    </row>
    <row r="42" spans="1:27" x14ac:dyDescent="0.3">
      <c r="A42" t="s">
        <v>125</v>
      </c>
      <c r="B42">
        <v>33</v>
      </c>
      <c r="C42" t="s">
        <v>28</v>
      </c>
      <c r="D42">
        <v>3.1</v>
      </c>
      <c r="E42" t="s">
        <v>76</v>
      </c>
      <c r="F42" t="s">
        <v>126</v>
      </c>
      <c r="G42" t="s">
        <v>50</v>
      </c>
      <c r="H42">
        <v>8.4</v>
      </c>
      <c r="I42" t="s">
        <v>41</v>
      </c>
      <c r="J42" t="s">
        <v>36</v>
      </c>
      <c r="K42" t="s">
        <v>62</v>
      </c>
      <c r="M42">
        <v>8</v>
      </c>
      <c r="N42" t="s">
        <v>66</v>
      </c>
      <c r="O42" t="s">
        <v>42</v>
      </c>
      <c r="P42" t="b">
        <v>0</v>
      </c>
      <c r="Q42" t="b">
        <v>0</v>
      </c>
      <c r="R42" t="b">
        <v>0</v>
      </c>
      <c r="S42" t="b">
        <v>0</v>
      </c>
      <c r="T42" t="b">
        <v>0</v>
      </c>
      <c r="U42">
        <v>1.3</v>
      </c>
      <c r="V42">
        <v>8.3000000000000007</v>
      </c>
      <c r="W42">
        <v>1</v>
      </c>
      <c r="X42">
        <v>12.8</v>
      </c>
      <c r="Y42">
        <v>47.69</v>
      </c>
      <c r="Z42">
        <v>6</v>
      </c>
      <c r="AA42" t="s">
        <v>46</v>
      </c>
    </row>
    <row r="43" spans="1:27" x14ac:dyDescent="0.3">
      <c r="A43" t="s">
        <v>127</v>
      </c>
      <c r="B43">
        <v>16</v>
      </c>
      <c r="C43" t="s">
        <v>28</v>
      </c>
      <c r="D43">
        <v>8</v>
      </c>
      <c r="E43" t="s">
        <v>48</v>
      </c>
      <c r="F43" t="s">
        <v>128</v>
      </c>
      <c r="G43" t="s">
        <v>86</v>
      </c>
      <c r="H43">
        <v>3.8</v>
      </c>
      <c r="I43" t="s">
        <v>51</v>
      </c>
      <c r="J43" t="s">
        <v>33</v>
      </c>
      <c r="K43" t="s">
        <v>129</v>
      </c>
      <c r="L43">
        <v>3.22</v>
      </c>
      <c r="N43" t="s">
        <v>44</v>
      </c>
      <c r="O43" t="s">
        <v>33</v>
      </c>
      <c r="P43" t="b">
        <v>1</v>
      </c>
      <c r="Q43" t="b">
        <v>1</v>
      </c>
      <c r="R43" t="b">
        <v>1</v>
      </c>
      <c r="S43" t="b">
        <v>1</v>
      </c>
      <c r="T43" t="b">
        <v>1</v>
      </c>
      <c r="U43">
        <v>0.9</v>
      </c>
      <c r="V43">
        <v>6</v>
      </c>
      <c r="W43">
        <v>8</v>
      </c>
      <c r="X43">
        <v>6.3</v>
      </c>
      <c r="Y43">
        <v>61.37</v>
      </c>
      <c r="Z43">
        <v>1</v>
      </c>
      <c r="AA43" t="s">
        <v>37</v>
      </c>
    </row>
    <row r="44" spans="1:27" x14ac:dyDescent="0.3">
      <c r="A44" t="s">
        <v>130</v>
      </c>
      <c r="B44">
        <v>20</v>
      </c>
      <c r="C44" t="s">
        <v>28</v>
      </c>
      <c r="D44">
        <v>4.2</v>
      </c>
      <c r="E44" t="s">
        <v>82</v>
      </c>
      <c r="F44" t="s">
        <v>83</v>
      </c>
      <c r="G44" t="s">
        <v>86</v>
      </c>
      <c r="H44">
        <v>5.4</v>
      </c>
      <c r="I44" t="s">
        <v>43</v>
      </c>
      <c r="J44" t="s">
        <v>33</v>
      </c>
      <c r="K44" t="s">
        <v>62</v>
      </c>
      <c r="L44">
        <v>2.21</v>
      </c>
      <c r="M44">
        <v>7</v>
      </c>
      <c r="N44" t="s">
        <v>66</v>
      </c>
      <c r="O44" t="s">
        <v>45</v>
      </c>
      <c r="P44" t="b">
        <v>0</v>
      </c>
      <c r="Q44" t="b">
        <v>0</v>
      </c>
      <c r="R44" t="b">
        <v>0</v>
      </c>
      <c r="S44" t="b">
        <v>0</v>
      </c>
      <c r="T44" t="b">
        <v>0</v>
      </c>
      <c r="U44">
        <v>0.1</v>
      </c>
      <c r="V44">
        <v>7.1</v>
      </c>
      <c r="W44">
        <v>1</v>
      </c>
      <c r="X44">
        <v>8.8000000000000007</v>
      </c>
      <c r="Y44">
        <v>9.18</v>
      </c>
      <c r="Z44">
        <v>1</v>
      </c>
      <c r="AA44" t="s">
        <v>46</v>
      </c>
    </row>
    <row r="45" spans="1:27" x14ac:dyDescent="0.3">
      <c r="A45" t="s">
        <v>131</v>
      </c>
      <c r="B45">
        <v>20</v>
      </c>
      <c r="C45" t="s">
        <v>28</v>
      </c>
      <c r="D45">
        <v>7.9</v>
      </c>
      <c r="E45" t="s">
        <v>60</v>
      </c>
      <c r="F45" t="s">
        <v>102</v>
      </c>
      <c r="G45" t="s">
        <v>71</v>
      </c>
      <c r="H45">
        <v>3.5</v>
      </c>
      <c r="I45" t="s">
        <v>51</v>
      </c>
      <c r="J45" t="s">
        <v>36</v>
      </c>
      <c r="K45" t="s">
        <v>34</v>
      </c>
      <c r="L45">
        <v>2.25</v>
      </c>
      <c r="M45">
        <v>3</v>
      </c>
      <c r="N45" t="s">
        <v>63</v>
      </c>
      <c r="O45" t="s">
        <v>42</v>
      </c>
      <c r="P45" t="b">
        <v>1</v>
      </c>
      <c r="Q45" t="b">
        <v>0</v>
      </c>
      <c r="R45" t="b">
        <v>1</v>
      </c>
      <c r="S45" t="b">
        <v>0</v>
      </c>
      <c r="T45" t="b">
        <v>1</v>
      </c>
      <c r="U45">
        <v>3.3</v>
      </c>
      <c r="V45">
        <v>7</v>
      </c>
      <c r="W45">
        <v>6</v>
      </c>
      <c r="X45">
        <v>4.2</v>
      </c>
      <c r="Y45">
        <v>81.23</v>
      </c>
      <c r="Z45">
        <v>4</v>
      </c>
      <c r="AA45" t="s">
        <v>58</v>
      </c>
    </row>
    <row r="46" spans="1:27" x14ac:dyDescent="0.3">
      <c r="A46" t="s">
        <v>132</v>
      </c>
      <c r="B46">
        <v>14</v>
      </c>
      <c r="C46" t="s">
        <v>53</v>
      </c>
      <c r="D46">
        <v>3.9</v>
      </c>
      <c r="E46" t="s">
        <v>29</v>
      </c>
      <c r="F46" t="s">
        <v>118</v>
      </c>
      <c r="G46" t="s">
        <v>86</v>
      </c>
      <c r="H46">
        <v>5.0999999999999996</v>
      </c>
      <c r="I46" t="s">
        <v>51</v>
      </c>
      <c r="J46" t="s">
        <v>33</v>
      </c>
      <c r="K46" t="s">
        <v>43</v>
      </c>
      <c r="L46">
        <v>2.88</v>
      </c>
      <c r="N46" t="s">
        <v>69</v>
      </c>
      <c r="O46" t="s">
        <v>42</v>
      </c>
      <c r="P46" t="b">
        <v>0</v>
      </c>
      <c r="Q46" t="b">
        <v>0</v>
      </c>
      <c r="R46" t="b">
        <v>0</v>
      </c>
      <c r="S46" t="b">
        <v>0</v>
      </c>
      <c r="T46" t="b">
        <v>0</v>
      </c>
      <c r="U46">
        <v>1.2</v>
      </c>
      <c r="V46">
        <v>7.8</v>
      </c>
      <c r="W46">
        <v>2</v>
      </c>
      <c r="X46">
        <v>7.5</v>
      </c>
      <c r="Y46">
        <v>17.43</v>
      </c>
      <c r="Z46">
        <v>3</v>
      </c>
      <c r="AA46" t="s">
        <v>46</v>
      </c>
    </row>
    <row r="47" spans="1:27" x14ac:dyDescent="0.3">
      <c r="A47" t="s">
        <v>133</v>
      </c>
      <c r="B47">
        <v>26</v>
      </c>
      <c r="C47" t="s">
        <v>53</v>
      </c>
      <c r="D47">
        <v>6.2</v>
      </c>
      <c r="E47" t="s">
        <v>82</v>
      </c>
      <c r="F47" t="s">
        <v>134</v>
      </c>
      <c r="G47" t="s">
        <v>50</v>
      </c>
      <c r="H47">
        <v>5.7</v>
      </c>
      <c r="I47" t="s">
        <v>41</v>
      </c>
      <c r="J47" t="s">
        <v>36</v>
      </c>
      <c r="K47" t="s">
        <v>62</v>
      </c>
      <c r="M47">
        <v>5</v>
      </c>
      <c r="N47" t="s">
        <v>105</v>
      </c>
      <c r="O47" t="s">
        <v>57</v>
      </c>
      <c r="P47" t="b">
        <v>0</v>
      </c>
      <c r="Q47" t="b">
        <v>1</v>
      </c>
      <c r="R47" t="b">
        <v>0</v>
      </c>
      <c r="S47" t="b">
        <v>1</v>
      </c>
      <c r="T47" t="b">
        <v>1</v>
      </c>
      <c r="U47">
        <v>0.4</v>
      </c>
      <c r="V47">
        <v>5.5</v>
      </c>
      <c r="W47">
        <v>3</v>
      </c>
      <c r="X47">
        <v>4.9000000000000004</v>
      </c>
      <c r="Y47">
        <v>48.84</v>
      </c>
      <c r="Z47">
        <v>8</v>
      </c>
      <c r="AA47" t="s">
        <v>64</v>
      </c>
    </row>
    <row r="48" spans="1:27" x14ac:dyDescent="0.3">
      <c r="A48" t="s">
        <v>135</v>
      </c>
      <c r="B48">
        <v>20</v>
      </c>
      <c r="C48" t="s">
        <v>28</v>
      </c>
      <c r="D48">
        <v>3.4</v>
      </c>
      <c r="E48" t="s">
        <v>76</v>
      </c>
      <c r="F48" t="s">
        <v>77</v>
      </c>
      <c r="G48" t="s">
        <v>31</v>
      </c>
      <c r="H48">
        <v>7.1</v>
      </c>
      <c r="I48" t="s">
        <v>51</v>
      </c>
      <c r="J48" t="s">
        <v>33</v>
      </c>
      <c r="K48" t="s">
        <v>34</v>
      </c>
      <c r="L48">
        <v>1.19</v>
      </c>
      <c r="M48">
        <v>7</v>
      </c>
      <c r="N48" t="s">
        <v>66</v>
      </c>
      <c r="O48" t="s">
        <v>33</v>
      </c>
      <c r="P48" t="b">
        <v>0</v>
      </c>
      <c r="Q48" t="b">
        <v>0</v>
      </c>
      <c r="R48" t="b">
        <v>0</v>
      </c>
      <c r="S48" t="b">
        <v>0</v>
      </c>
      <c r="T48" t="b">
        <v>0</v>
      </c>
      <c r="U48">
        <v>1.3</v>
      </c>
      <c r="V48">
        <v>7.8</v>
      </c>
      <c r="W48">
        <v>1</v>
      </c>
      <c r="X48">
        <v>12.9</v>
      </c>
      <c r="Y48">
        <v>23.33</v>
      </c>
      <c r="Z48">
        <v>8</v>
      </c>
      <c r="AA48" t="s">
        <v>46</v>
      </c>
    </row>
    <row r="49" spans="1:27" x14ac:dyDescent="0.3">
      <c r="A49" t="s">
        <v>136</v>
      </c>
      <c r="B49">
        <v>29</v>
      </c>
      <c r="C49" t="s">
        <v>53</v>
      </c>
      <c r="D49">
        <v>6.1</v>
      </c>
      <c r="E49" t="s">
        <v>48</v>
      </c>
      <c r="F49" t="s">
        <v>68</v>
      </c>
      <c r="G49" t="s">
        <v>86</v>
      </c>
      <c r="H49">
        <v>6.7</v>
      </c>
      <c r="I49" t="s">
        <v>51</v>
      </c>
      <c r="J49" t="s">
        <v>45</v>
      </c>
      <c r="K49" t="s">
        <v>43</v>
      </c>
      <c r="M49">
        <v>5</v>
      </c>
      <c r="N49" t="s">
        <v>80</v>
      </c>
      <c r="O49" t="s">
        <v>57</v>
      </c>
      <c r="P49" t="b">
        <v>0</v>
      </c>
      <c r="Q49" t="b">
        <v>1</v>
      </c>
      <c r="R49" t="b">
        <v>0</v>
      </c>
      <c r="S49" t="b">
        <v>1</v>
      </c>
      <c r="T49" t="b">
        <v>1</v>
      </c>
      <c r="U49">
        <v>0.8</v>
      </c>
      <c r="V49">
        <v>7.7</v>
      </c>
      <c r="W49">
        <v>2</v>
      </c>
      <c r="X49">
        <v>10.7</v>
      </c>
      <c r="Y49">
        <v>110.74</v>
      </c>
      <c r="Z49">
        <v>14</v>
      </c>
      <c r="AA49" t="s">
        <v>64</v>
      </c>
    </row>
    <row r="50" spans="1:27" x14ac:dyDescent="0.3">
      <c r="A50" t="s">
        <v>137</v>
      </c>
      <c r="B50">
        <v>16</v>
      </c>
      <c r="C50" t="s">
        <v>53</v>
      </c>
      <c r="D50">
        <v>5.9</v>
      </c>
      <c r="E50" t="s">
        <v>54</v>
      </c>
      <c r="F50" t="s">
        <v>55</v>
      </c>
      <c r="G50" t="s">
        <v>71</v>
      </c>
      <c r="H50">
        <v>5.4</v>
      </c>
      <c r="I50" t="s">
        <v>41</v>
      </c>
      <c r="J50" t="s">
        <v>45</v>
      </c>
      <c r="K50" t="s">
        <v>62</v>
      </c>
      <c r="L50">
        <v>2.11</v>
      </c>
      <c r="N50" t="s">
        <v>105</v>
      </c>
      <c r="O50" t="s">
        <v>36</v>
      </c>
      <c r="P50" t="b">
        <v>0</v>
      </c>
      <c r="Q50" t="b">
        <v>0</v>
      </c>
      <c r="R50" t="b">
        <v>0</v>
      </c>
      <c r="S50" t="b">
        <v>0</v>
      </c>
      <c r="T50" t="b">
        <v>0</v>
      </c>
      <c r="U50">
        <v>0.7</v>
      </c>
      <c r="V50">
        <v>6</v>
      </c>
      <c r="W50">
        <v>3</v>
      </c>
      <c r="X50">
        <v>7.6</v>
      </c>
      <c r="Y50">
        <v>125.89</v>
      </c>
      <c r="Z50">
        <v>2</v>
      </c>
      <c r="AA50" t="s">
        <v>46</v>
      </c>
    </row>
    <row r="51" spans="1:27" x14ac:dyDescent="0.3">
      <c r="A51" t="s">
        <v>138</v>
      </c>
      <c r="B51">
        <v>15</v>
      </c>
      <c r="C51" t="s">
        <v>53</v>
      </c>
      <c r="D51">
        <v>5.0999999999999996</v>
      </c>
      <c r="E51" t="s">
        <v>76</v>
      </c>
      <c r="F51" t="s">
        <v>110</v>
      </c>
      <c r="G51" t="s">
        <v>31</v>
      </c>
      <c r="H51">
        <v>6.5</v>
      </c>
      <c r="I51" t="s">
        <v>51</v>
      </c>
      <c r="J51" t="s">
        <v>36</v>
      </c>
      <c r="K51" t="s">
        <v>34</v>
      </c>
      <c r="L51">
        <v>3.87</v>
      </c>
      <c r="N51" t="s">
        <v>63</v>
      </c>
      <c r="O51" t="s">
        <v>33</v>
      </c>
      <c r="P51" t="b">
        <v>0</v>
      </c>
      <c r="Q51" t="b">
        <v>0</v>
      </c>
      <c r="R51" t="b">
        <v>0</v>
      </c>
      <c r="S51" t="b">
        <v>0</v>
      </c>
      <c r="T51" t="b">
        <v>0</v>
      </c>
      <c r="U51">
        <v>0.6</v>
      </c>
      <c r="V51">
        <v>6.2</v>
      </c>
      <c r="W51">
        <v>2</v>
      </c>
      <c r="X51">
        <v>8.8000000000000007</v>
      </c>
      <c r="Y51">
        <v>39.9</v>
      </c>
      <c r="Z51">
        <v>1</v>
      </c>
      <c r="AA51" t="s">
        <v>46</v>
      </c>
    </row>
    <row r="52" spans="1:27" x14ac:dyDescent="0.3">
      <c r="A52" t="s">
        <v>139</v>
      </c>
      <c r="B52">
        <v>24</v>
      </c>
      <c r="C52" t="s">
        <v>28</v>
      </c>
      <c r="D52">
        <v>7</v>
      </c>
      <c r="E52" t="s">
        <v>82</v>
      </c>
      <c r="F52" t="s">
        <v>134</v>
      </c>
      <c r="G52" t="s">
        <v>71</v>
      </c>
      <c r="H52">
        <v>4.7</v>
      </c>
      <c r="I52" t="s">
        <v>32</v>
      </c>
      <c r="J52" t="s">
        <v>33</v>
      </c>
      <c r="K52" t="s">
        <v>51</v>
      </c>
      <c r="M52">
        <v>5</v>
      </c>
      <c r="N52" t="s">
        <v>63</v>
      </c>
      <c r="O52" t="s">
        <v>45</v>
      </c>
      <c r="P52" t="b">
        <v>1</v>
      </c>
      <c r="Q52" t="b">
        <v>0</v>
      </c>
      <c r="R52" t="b">
        <v>0</v>
      </c>
      <c r="S52" t="b">
        <v>0</v>
      </c>
      <c r="T52" t="b">
        <v>0</v>
      </c>
      <c r="U52">
        <v>0.5</v>
      </c>
      <c r="V52">
        <v>8</v>
      </c>
      <c r="W52">
        <v>4</v>
      </c>
      <c r="X52">
        <v>8.8000000000000007</v>
      </c>
      <c r="Y52">
        <v>132.68</v>
      </c>
      <c r="Z52">
        <v>1</v>
      </c>
      <c r="AA52" t="s">
        <v>64</v>
      </c>
    </row>
    <row r="53" spans="1:27" x14ac:dyDescent="0.3">
      <c r="A53" t="s">
        <v>140</v>
      </c>
      <c r="B53">
        <v>20</v>
      </c>
      <c r="C53" t="s">
        <v>28</v>
      </c>
      <c r="D53">
        <v>3.5</v>
      </c>
      <c r="E53" t="s">
        <v>54</v>
      </c>
      <c r="F53" t="s">
        <v>55</v>
      </c>
      <c r="G53" t="s">
        <v>86</v>
      </c>
      <c r="H53">
        <v>7.8</v>
      </c>
      <c r="I53" t="s">
        <v>43</v>
      </c>
      <c r="J53" t="s">
        <v>36</v>
      </c>
      <c r="K53" t="s">
        <v>43</v>
      </c>
      <c r="L53">
        <v>1.39</v>
      </c>
      <c r="M53">
        <v>3</v>
      </c>
      <c r="N53" t="s">
        <v>66</v>
      </c>
      <c r="O53" t="s">
        <v>42</v>
      </c>
      <c r="P53" t="b">
        <v>0</v>
      </c>
      <c r="Q53" t="b">
        <v>0</v>
      </c>
      <c r="R53" t="b">
        <v>0</v>
      </c>
      <c r="S53" t="b">
        <v>0</v>
      </c>
      <c r="T53" t="b">
        <v>0</v>
      </c>
      <c r="U53">
        <v>1.3</v>
      </c>
      <c r="V53">
        <v>9.8000000000000007</v>
      </c>
      <c r="W53">
        <v>2</v>
      </c>
      <c r="X53">
        <v>10.7</v>
      </c>
      <c r="Y53">
        <v>40.35</v>
      </c>
      <c r="Z53">
        <v>4</v>
      </c>
      <c r="AA53" t="s">
        <v>46</v>
      </c>
    </row>
    <row r="54" spans="1:27" x14ac:dyDescent="0.3">
      <c r="A54" t="s">
        <v>141</v>
      </c>
      <c r="B54">
        <v>20</v>
      </c>
      <c r="C54" t="s">
        <v>28</v>
      </c>
      <c r="D54">
        <v>11.4</v>
      </c>
      <c r="E54" t="s">
        <v>48</v>
      </c>
      <c r="F54" t="s">
        <v>68</v>
      </c>
      <c r="G54" t="s">
        <v>71</v>
      </c>
      <c r="H54">
        <v>4.3</v>
      </c>
      <c r="I54" t="s">
        <v>32</v>
      </c>
      <c r="J54" t="s">
        <v>36</v>
      </c>
      <c r="K54" t="s">
        <v>129</v>
      </c>
      <c r="L54">
        <v>2.02</v>
      </c>
      <c r="M54">
        <v>5</v>
      </c>
      <c r="N54" t="s">
        <v>35</v>
      </c>
      <c r="O54" t="s">
        <v>36</v>
      </c>
      <c r="P54" t="b">
        <v>1</v>
      </c>
      <c r="Q54" t="b">
        <v>0</v>
      </c>
      <c r="R54" t="b">
        <v>0</v>
      </c>
      <c r="S54" t="b">
        <v>1</v>
      </c>
      <c r="T54" t="b">
        <v>1</v>
      </c>
      <c r="U54">
        <v>0.3</v>
      </c>
      <c r="V54">
        <v>5</v>
      </c>
      <c r="W54">
        <v>6</v>
      </c>
      <c r="X54">
        <v>0.2</v>
      </c>
      <c r="Y54">
        <v>433.8</v>
      </c>
      <c r="Z54">
        <v>9</v>
      </c>
      <c r="AA54" t="s">
        <v>58</v>
      </c>
    </row>
    <row r="55" spans="1:27" x14ac:dyDescent="0.3">
      <c r="A55" t="s">
        <v>142</v>
      </c>
      <c r="B55">
        <v>20</v>
      </c>
      <c r="C55" t="s">
        <v>53</v>
      </c>
      <c r="D55">
        <v>0.5</v>
      </c>
      <c r="E55" t="s">
        <v>29</v>
      </c>
      <c r="F55" t="s">
        <v>73</v>
      </c>
      <c r="G55" t="s">
        <v>50</v>
      </c>
      <c r="H55">
        <v>7.2</v>
      </c>
      <c r="I55" t="s">
        <v>43</v>
      </c>
      <c r="J55" t="s">
        <v>33</v>
      </c>
      <c r="K55" t="s">
        <v>84</v>
      </c>
      <c r="L55">
        <v>3.39</v>
      </c>
      <c r="M55">
        <v>4</v>
      </c>
      <c r="N55" t="s">
        <v>105</v>
      </c>
      <c r="O55" t="s">
        <v>42</v>
      </c>
      <c r="P55" t="b">
        <v>0</v>
      </c>
      <c r="Q55" t="b">
        <v>0</v>
      </c>
      <c r="R55" t="b">
        <v>0</v>
      </c>
      <c r="S55" t="b">
        <v>0</v>
      </c>
      <c r="T55" t="b">
        <v>0</v>
      </c>
      <c r="U55">
        <v>0.1</v>
      </c>
      <c r="V55">
        <v>10</v>
      </c>
      <c r="W55">
        <v>1</v>
      </c>
      <c r="X55">
        <v>13.9</v>
      </c>
      <c r="Y55">
        <v>9.0399999999999991</v>
      </c>
      <c r="Z55">
        <v>5</v>
      </c>
      <c r="AA55" t="s">
        <v>46</v>
      </c>
    </row>
    <row r="56" spans="1:27" x14ac:dyDescent="0.3">
      <c r="A56" t="s">
        <v>143</v>
      </c>
      <c r="B56">
        <v>22</v>
      </c>
      <c r="C56" t="s">
        <v>53</v>
      </c>
      <c r="D56">
        <v>5.8</v>
      </c>
      <c r="E56" t="s">
        <v>48</v>
      </c>
      <c r="F56" t="s">
        <v>49</v>
      </c>
      <c r="G56" t="s">
        <v>31</v>
      </c>
      <c r="H56">
        <v>6.7</v>
      </c>
      <c r="I56" t="s">
        <v>43</v>
      </c>
      <c r="J56" t="s">
        <v>42</v>
      </c>
      <c r="K56" t="s">
        <v>62</v>
      </c>
      <c r="L56">
        <v>2.2999999999999998</v>
      </c>
      <c r="M56">
        <v>3</v>
      </c>
      <c r="N56" t="s">
        <v>69</v>
      </c>
      <c r="O56" t="s">
        <v>33</v>
      </c>
      <c r="P56" t="b">
        <v>0</v>
      </c>
      <c r="Q56" t="b">
        <v>0</v>
      </c>
      <c r="R56" t="b">
        <v>0</v>
      </c>
      <c r="S56" t="b">
        <v>1</v>
      </c>
      <c r="T56" t="b">
        <v>0</v>
      </c>
      <c r="U56">
        <v>1.3</v>
      </c>
      <c r="V56">
        <v>6.4</v>
      </c>
      <c r="W56">
        <v>3</v>
      </c>
      <c r="X56">
        <v>10.5</v>
      </c>
      <c r="Y56">
        <v>114.52</v>
      </c>
      <c r="Z56">
        <v>5</v>
      </c>
      <c r="AA56" t="s">
        <v>46</v>
      </c>
    </row>
    <row r="57" spans="1:27" x14ac:dyDescent="0.3">
      <c r="A57" t="s">
        <v>144</v>
      </c>
      <c r="B57">
        <v>19</v>
      </c>
      <c r="C57" t="s">
        <v>28</v>
      </c>
      <c r="D57">
        <v>1.7</v>
      </c>
      <c r="E57" t="s">
        <v>39</v>
      </c>
      <c r="F57" t="s">
        <v>120</v>
      </c>
      <c r="G57" t="s">
        <v>86</v>
      </c>
      <c r="H57">
        <v>8.1</v>
      </c>
      <c r="I57" t="s">
        <v>43</v>
      </c>
      <c r="J57" t="s">
        <v>33</v>
      </c>
      <c r="K57" t="s">
        <v>84</v>
      </c>
      <c r="L57">
        <v>1.41</v>
      </c>
      <c r="M57">
        <v>9</v>
      </c>
      <c r="N57" t="s">
        <v>66</v>
      </c>
      <c r="O57" t="s">
        <v>57</v>
      </c>
      <c r="P57" t="b">
        <v>0</v>
      </c>
      <c r="Q57" t="b">
        <v>0</v>
      </c>
      <c r="R57" t="b">
        <v>0</v>
      </c>
      <c r="S57" t="b">
        <v>0</v>
      </c>
      <c r="T57" t="b">
        <v>0</v>
      </c>
      <c r="U57">
        <v>0</v>
      </c>
      <c r="V57">
        <v>9.3000000000000007</v>
      </c>
      <c r="W57">
        <v>1</v>
      </c>
      <c r="X57">
        <v>12.6</v>
      </c>
      <c r="Y57">
        <v>47.53</v>
      </c>
      <c r="Z57">
        <v>5</v>
      </c>
      <c r="AA57" t="s">
        <v>46</v>
      </c>
    </row>
    <row r="58" spans="1:27" x14ac:dyDescent="0.3">
      <c r="A58" t="s">
        <v>145</v>
      </c>
      <c r="B58">
        <v>24</v>
      </c>
      <c r="C58" t="s">
        <v>28</v>
      </c>
      <c r="D58">
        <v>6</v>
      </c>
      <c r="E58" t="s">
        <v>82</v>
      </c>
      <c r="F58" t="s">
        <v>83</v>
      </c>
      <c r="G58" t="s">
        <v>71</v>
      </c>
      <c r="H58">
        <v>6.9</v>
      </c>
      <c r="I58" t="s">
        <v>43</v>
      </c>
      <c r="J58" t="s">
        <v>74</v>
      </c>
      <c r="K58" t="s">
        <v>43</v>
      </c>
      <c r="M58">
        <v>10</v>
      </c>
      <c r="N58" t="s">
        <v>69</v>
      </c>
      <c r="O58" t="s">
        <v>33</v>
      </c>
      <c r="P58" t="b">
        <v>0</v>
      </c>
      <c r="Q58" t="b">
        <v>1</v>
      </c>
      <c r="R58" t="b">
        <v>0</v>
      </c>
      <c r="S58" t="b">
        <v>0</v>
      </c>
      <c r="T58" t="b">
        <v>1</v>
      </c>
      <c r="U58">
        <v>0.1</v>
      </c>
      <c r="V58">
        <v>8.1999999999999993</v>
      </c>
      <c r="W58">
        <v>4</v>
      </c>
      <c r="X58">
        <v>9.3000000000000007</v>
      </c>
      <c r="Y58">
        <v>133.31</v>
      </c>
      <c r="Z58">
        <v>3</v>
      </c>
      <c r="AA58" t="s">
        <v>64</v>
      </c>
    </row>
    <row r="59" spans="1:27" x14ac:dyDescent="0.3">
      <c r="A59" t="s">
        <v>146</v>
      </c>
      <c r="B59">
        <v>25</v>
      </c>
      <c r="C59" t="s">
        <v>28</v>
      </c>
      <c r="D59">
        <v>7.1</v>
      </c>
      <c r="E59" t="s">
        <v>54</v>
      </c>
      <c r="F59" t="s">
        <v>89</v>
      </c>
      <c r="G59" t="s">
        <v>71</v>
      </c>
      <c r="H59">
        <v>5.2</v>
      </c>
      <c r="I59" t="s">
        <v>51</v>
      </c>
      <c r="J59" t="s">
        <v>33</v>
      </c>
      <c r="K59" t="s">
        <v>62</v>
      </c>
      <c r="M59">
        <v>1</v>
      </c>
      <c r="N59" t="s">
        <v>35</v>
      </c>
      <c r="O59" t="s">
        <v>33</v>
      </c>
      <c r="P59" t="b">
        <v>1</v>
      </c>
      <c r="Q59" t="b">
        <v>0</v>
      </c>
      <c r="R59" t="b">
        <v>0</v>
      </c>
      <c r="S59" t="b">
        <v>0</v>
      </c>
      <c r="T59" t="b">
        <v>1</v>
      </c>
      <c r="U59">
        <v>4.3</v>
      </c>
      <c r="V59">
        <v>7.2</v>
      </c>
      <c r="W59">
        <v>4</v>
      </c>
      <c r="X59">
        <v>6.6</v>
      </c>
      <c r="Y59">
        <v>136.21</v>
      </c>
      <c r="Z59">
        <v>8</v>
      </c>
      <c r="AA59" t="s">
        <v>64</v>
      </c>
    </row>
    <row r="60" spans="1:27" x14ac:dyDescent="0.3">
      <c r="A60" t="s">
        <v>147</v>
      </c>
      <c r="B60">
        <v>23</v>
      </c>
      <c r="C60" t="s">
        <v>28</v>
      </c>
      <c r="D60">
        <v>0.6</v>
      </c>
      <c r="E60" t="s">
        <v>60</v>
      </c>
      <c r="F60" t="s">
        <v>96</v>
      </c>
      <c r="G60" t="s">
        <v>86</v>
      </c>
      <c r="H60">
        <v>7.2</v>
      </c>
      <c r="I60" t="s">
        <v>43</v>
      </c>
      <c r="J60" t="s">
        <v>42</v>
      </c>
      <c r="K60" t="s">
        <v>43</v>
      </c>
      <c r="M60">
        <v>4</v>
      </c>
      <c r="N60" t="s">
        <v>121</v>
      </c>
      <c r="O60" t="s">
        <v>33</v>
      </c>
      <c r="P60" t="b">
        <v>0</v>
      </c>
      <c r="Q60" t="b">
        <v>0</v>
      </c>
      <c r="R60" t="b">
        <v>0</v>
      </c>
      <c r="S60" t="b">
        <v>0</v>
      </c>
      <c r="T60" t="b">
        <v>0</v>
      </c>
      <c r="U60">
        <v>0</v>
      </c>
      <c r="V60">
        <v>8.8000000000000007</v>
      </c>
      <c r="W60">
        <v>1</v>
      </c>
      <c r="X60">
        <v>11.1</v>
      </c>
      <c r="Y60">
        <v>39.51</v>
      </c>
      <c r="Z60">
        <v>10</v>
      </c>
      <c r="AA60" t="s">
        <v>46</v>
      </c>
    </row>
    <row r="61" spans="1:27" x14ac:dyDescent="0.3">
      <c r="A61" t="s">
        <v>148</v>
      </c>
      <c r="B61">
        <v>33</v>
      </c>
      <c r="C61" t="s">
        <v>53</v>
      </c>
      <c r="D61">
        <v>7.2</v>
      </c>
      <c r="E61" t="s">
        <v>29</v>
      </c>
      <c r="F61" t="s">
        <v>118</v>
      </c>
      <c r="G61" t="s">
        <v>50</v>
      </c>
      <c r="H61">
        <v>4.2</v>
      </c>
      <c r="I61" t="s">
        <v>41</v>
      </c>
      <c r="J61" t="s">
        <v>42</v>
      </c>
      <c r="K61" t="s">
        <v>34</v>
      </c>
      <c r="M61">
        <v>9</v>
      </c>
      <c r="N61" t="s">
        <v>35</v>
      </c>
      <c r="O61" t="s">
        <v>45</v>
      </c>
      <c r="P61" t="b">
        <v>0</v>
      </c>
      <c r="Q61" t="b">
        <v>0</v>
      </c>
      <c r="R61" t="b">
        <v>0</v>
      </c>
      <c r="S61" t="b">
        <v>1</v>
      </c>
      <c r="T61" t="b">
        <v>1</v>
      </c>
      <c r="U61">
        <v>0.7</v>
      </c>
      <c r="V61">
        <v>7.6</v>
      </c>
      <c r="W61">
        <v>5</v>
      </c>
      <c r="X61">
        <v>9</v>
      </c>
      <c r="Y61">
        <v>96.57</v>
      </c>
      <c r="Z61">
        <v>8</v>
      </c>
      <c r="AA61" t="s">
        <v>46</v>
      </c>
    </row>
    <row r="62" spans="1:27" x14ac:dyDescent="0.3">
      <c r="A62" t="s">
        <v>149</v>
      </c>
      <c r="B62">
        <v>22</v>
      </c>
      <c r="C62" t="s">
        <v>53</v>
      </c>
      <c r="D62">
        <v>5.6</v>
      </c>
      <c r="E62" t="s">
        <v>48</v>
      </c>
      <c r="F62" t="s">
        <v>68</v>
      </c>
      <c r="G62" t="s">
        <v>71</v>
      </c>
      <c r="H62">
        <v>5.3</v>
      </c>
      <c r="I62" t="s">
        <v>43</v>
      </c>
      <c r="J62" t="s">
        <v>36</v>
      </c>
      <c r="K62" t="s">
        <v>62</v>
      </c>
      <c r="L62">
        <v>2.08</v>
      </c>
      <c r="M62">
        <v>4</v>
      </c>
      <c r="N62" t="s">
        <v>66</v>
      </c>
      <c r="O62" t="s">
        <v>33</v>
      </c>
      <c r="P62" t="b">
        <v>0</v>
      </c>
      <c r="Q62" t="b">
        <v>1</v>
      </c>
      <c r="R62" t="b">
        <v>0</v>
      </c>
      <c r="S62" t="b">
        <v>0</v>
      </c>
      <c r="T62" t="b">
        <v>1</v>
      </c>
      <c r="U62">
        <v>0.7</v>
      </c>
      <c r="V62">
        <v>7.7</v>
      </c>
      <c r="W62">
        <v>3</v>
      </c>
      <c r="X62">
        <v>9.6999999999999993</v>
      </c>
      <c r="Y62">
        <v>144.26</v>
      </c>
      <c r="Z62">
        <v>10</v>
      </c>
      <c r="AA62" t="s">
        <v>64</v>
      </c>
    </row>
    <row r="63" spans="1:27" x14ac:dyDescent="0.3">
      <c r="A63" t="s">
        <v>150</v>
      </c>
      <c r="B63">
        <v>13</v>
      </c>
      <c r="C63" t="s">
        <v>28</v>
      </c>
      <c r="D63">
        <v>8.9</v>
      </c>
      <c r="E63" t="s">
        <v>54</v>
      </c>
      <c r="F63" t="s">
        <v>98</v>
      </c>
      <c r="G63" t="s">
        <v>86</v>
      </c>
      <c r="H63">
        <v>4.2</v>
      </c>
      <c r="I63" t="s">
        <v>32</v>
      </c>
      <c r="J63" t="s">
        <v>33</v>
      </c>
      <c r="K63" t="s">
        <v>34</v>
      </c>
      <c r="L63">
        <v>3.91</v>
      </c>
      <c r="N63" t="s">
        <v>80</v>
      </c>
      <c r="O63" t="s">
        <v>36</v>
      </c>
      <c r="P63" t="b">
        <v>1</v>
      </c>
      <c r="Q63" t="b">
        <v>1</v>
      </c>
      <c r="R63" t="b">
        <v>0</v>
      </c>
      <c r="S63" t="b">
        <v>1</v>
      </c>
      <c r="T63" t="b">
        <v>1</v>
      </c>
      <c r="U63">
        <v>2.1</v>
      </c>
      <c r="V63">
        <v>3.6</v>
      </c>
      <c r="W63">
        <v>5</v>
      </c>
      <c r="X63">
        <v>2.2999999999999998</v>
      </c>
      <c r="Y63">
        <v>417.13</v>
      </c>
      <c r="Z63">
        <v>3</v>
      </c>
      <c r="AA63" t="s">
        <v>37</v>
      </c>
    </row>
    <row r="64" spans="1:27" x14ac:dyDescent="0.3">
      <c r="A64" t="s">
        <v>151</v>
      </c>
      <c r="B64">
        <v>16</v>
      </c>
      <c r="C64" t="s">
        <v>152</v>
      </c>
      <c r="D64">
        <v>12.4</v>
      </c>
      <c r="E64" t="s">
        <v>39</v>
      </c>
      <c r="F64" t="s">
        <v>120</v>
      </c>
      <c r="G64" t="s">
        <v>31</v>
      </c>
      <c r="H64">
        <v>4.7</v>
      </c>
      <c r="I64" t="s">
        <v>78</v>
      </c>
      <c r="J64" t="s">
        <v>45</v>
      </c>
      <c r="K64" t="s">
        <v>34</v>
      </c>
      <c r="L64">
        <v>2</v>
      </c>
      <c r="N64" t="s">
        <v>44</v>
      </c>
      <c r="O64" t="s">
        <v>57</v>
      </c>
      <c r="P64" t="b">
        <v>1</v>
      </c>
      <c r="Q64" t="b">
        <v>0</v>
      </c>
      <c r="R64" t="b">
        <v>0</v>
      </c>
      <c r="S64" t="b">
        <v>1</v>
      </c>
      <c r="T64" t="b">
        <v>1</v>
      </c>
      <c r="U64">
        <v>0.2</v>
      </c>
      <c r="V64">
        <v>4.3</v>
      </c>
      <c r="W64">
        <v>7</v>
      </c>
      <c r="X64">
        <v>0.6</v>
      </c>
      <c r="Y64">
        <v>359.05</v>
      </c>
      <c r="Z64">
        <v>6</v>
      </c>
      <c r="AA64" t="s">
        <v>58</v>
      </c>
    </row>
    <row r="65" spans="1:27" x14ac:dyDescent="0.3">
      <c r="A65" t="s">
        <v>153</v>
      </c>
      <c r="B65">
        <v>19</v>
      </c>
      <c r="C65" t="s">
        <v>53</v>
      </c>
      <c r="D65">
        <v>6.6</v>
      </c>
      <c r="E65" t="s">
        <v>48</v>
      </c>
      <c r="F65" t="s">
        <v>128</v>
      </c>
      <c r="G65" t="s">
        <v>86</v>
      </c>
      <c r="H65">
        <v>3.3</v>
      </c>
      <c r="I65" t="s">
        <v>32</v>
      </c>
      <c r="J65" t="s">
        <v>45</v>
      </c>
      <c r="K65" t="s">
        <v>34</v>
      </c>
      <c r="L65">
        <v>3.09</v>
      </c>
      <c r="M65">
        <v>10</v>
      </c>
      <c r="N65" t="s">
        <v>44</v>
      </c>
      <c r="O65" t="s">
        <v>33</v>
      </c>
      <c r="P65" t="b">
        <v>1</v>
      </c>
      <c r="Q65" t="b">
        <v>1</v>
      </c>
      <c r="R65" t="b">
        <v>0</v>
      </c>
      <c r="S65" t="b">
        <v>1</v>
      </c>
      <c r="T65" t="b">
        <v>1</v>
      </c>
      <c r="U65">
        <v>2.2999999999999998</v>
      </c>
      <c r="V65">
        <v>8</v>
      </c>
      <c r="W65">
        <v>4</v>
      </c>
      <c r="X65">
        <v>9.5</v>
      </c>
      <c r="Y65">
        <v>144.41</v>
      </c>
      <c r="Z65">
        <v>9</v>
      </c>
      <c r="AA65" t="s">
        <v>58</v>
      </c>
    </row>
    <row r="66" spans="1:27" x14ac:dyDescent="0.3">
      <c r="A66" t="s">
        <v>154</v>
      </c>
      <c r="B66">
        <v>26</v>
      </c>
      <c r="C66" t="s">
        <v>53</v>
      </c>
      <c r="D66">
        <v>4.9000000000000004</v>
      </c>
      <c r="E66" t="s">
        <v>82</v>
      </c>
      <c r="F66" t="s">
        <v>83</v>
      </c>
      <c r="G66" t="s">
        <v>86</v>
      </c>
      <c r="H66">
        <v>5.7</v>
      </c>
      <c r="I66" t="s">
        <v>41</v>
      </c>
      <c r="J66" t="s">
        <v>45</v>
      </c>
      <c r="K66" t="s">
        <v>51</v>
      </c>
      <c r="M66">
        <v>5</v>
      </c>
      <c r="N66" t="s">
        <v>44</v>
      </c>
      <c r="O66" t="s">
        <v>42</v>
      </c>
      <c r="P66" t="b">
        <v>0</v>
      </c>
      <c r="Q66" t="b">
        <v>0</v>
      </c>
      <c r="R66" t="b">
        <v>0</v>
      </c>
      <c r="S66" t="b">
        <v>1</v>
      </c>
      <c r="T66" t="b">
        <v>0</v>
      </c>
      <c r="U66">
        <v>1.2</v>
      </c>
      <c r="V66">
        <v>8.8000000000000007</v>
      </c>
      <c r="W66">
        <v>3</v>
      </c>
      <c r="X66">
        <v>9.5</v>
      </c>
      <c r="Y66">
        <v>60.06</v>
      </c>
      <c r="Z66">
        <v>10</v>
      </c>
      <c r="AA66" t="s">
        <v>46</v>
      </c>
    </row>
    <row r="67" spans="1:27" x14ac:dyDescent="0.3">
      <c r="A67" t="s">
        <v>155</v>
      </c>
      <c r="B67">
        <v>18</v>
      </c>
      <c r="C67" t="s">
        <v>28</v>
      </c>
      <c r="D67">
        <v>4.4000000000000004</v>
      </c>
      <c r="E67" t="s">
        <v>29</v>
      </c>
      <c r="F67" t="s">
        <v>104</v>
      </c>
      <c r="G67" t="s">
        <v>31</v>
      </c>
      <c r="H67">
        <v>6.6</v>
      </c>
      <c r="I67" t="s">
        <v>51</v>
      </c>
      <c r="J67" t="s">
        <v>45</v>
      </c>
      <c r="K67" t="s">
        <v>34</v>
      </c>
      <c r="L67">
        <v>1.4</v>
      </c>
      <c r="N67" t="s">
        <v>66</v>
      </c>
      <c r="O67" t="s">
        <v>57</v>
      </c>
      <c r="P67" t="b">
        <v>0</v>
      </c>
      <c r="Q67" t="b">
        <v>0</v>
      </c>
      <c r="R67" t="b">
        <v>0</v>
      </c>
      <c r="S67" t="b">
        <v>0</v>
      </c>
      <c r="T67" t="b">
        <v>0</v>
      </c>
      <c r="U67">
        <v>0</v>
      </c>
      <c r="V67">
        <v>8.3000000000000007</v>
      </c>
      <c r="W67">
        <v>1</v>
      </c>
      <c r="X67">
        <v>11.3</v>
      </c>
      <c r="Y67">
        <v>45.33</v>
      </c>
      <c r="Z67">
        <v>5</v>
      </c>
      <c r="AA67" t="s">
        <v>46</v>
      </c>
    </row>
    <row r="68" spans="1:27" x14ac:dyDescent="0.3">
      <c r="A68" t="s">
        <v>156</v>
      </c>
      <c r="B68">
        <v>23</v>
      </c>
      <c r="C68" t="s">
        <v>53</v>
      </c>
      <c r="D68">
        <v>4.7</v>
      </c>
      <c r="E68" t="s">
        <v>54</v>
      </c>
      <c r="F68" t="s">
        <v>55</v>
      </c>
      <c r="G68" t="s">
        <v>50</v>
      </c>
      <c r="H68">
        <v>5.0999999999999996</v>
      </c>
      <c r="I68" t="s">
        <v>43</v>
      </c>
      <c r="J68" t="s">
        <v>33</v>
      </c>
      <c r="K68" t="s">
        <v>62</v>
      </c>
      <c r="M68">
        <v>8</v>
      </c>
      <c r="N68" t="s">
        <v>63</v>
      </c>
      <c r="O68" t="s">
        <v>36</v>
      </c>
      <c r="P68" t="b">
        <v>0</v>
      </c>
      <c r="Q68" t="b">
        <v>0</v>
      </c>
      <c r="R68" t="b">
        <v>0</v>
      </c>
      <c r="S68" t="b">
        <v>1</v>
      </c>
      <c r="T68" t="b">
        <v>0</v>
      </c>
      <c r="U68">
        <v>1.2</v>
      </c>
      <c r="V68">
        <v>7</v>
      </c>
      <c r="W68">
        <v>4</v>
      </c>
      <c r="X68">
        <v>10.7</v>
      </c>
      <c r="Y68">
        <v>108</v>
      </c>
      <c r="Z68">
        <v>8</v>
      </c>
      <c r="AA68" t="s">
        <v>46</v>
      </c>
    </row>
    <row r="69" spans="1:27" x14ac:dyDescent="0.3">
      <c r="A69" t="s">
        <v>157</v>
      </c>
      <c r="B69">
        <v>22</v>
      </c>
      <c r="C69" t="s">
        <v>28</v>
      </c>
      <c r="D69">
        <v>7</v>
      </c>
      <c r="E69" t="s">
        <v>76</v>
      </c>
      <c r="F69" t="s">
        <v>126</v>
      </c>
      <c r="G69" t="s">
        <v>50</v>
      </c>
      <c r="H69">
        <v>4</v>
      </c>
      <c r="I69" t="s">
        <v>32</v>
      </c>
      <c r="J69" t="s">
        <v>33</v>
      </c>
      <c r="K69" t="s">
        <v>51</v>
      </c>
      <c r="L69">
        <v>3.54</v>
      </c>
      <c r="M69">
        <v>2</v>
      </c>
      <c r="N69" t="s">
        <v>44</v>
      </c>
      <c r="O69" t="s">
        <v>57</v>
      </c>
      <c r="P69" t="b">
        <v>1</v>
      </c>
      <c r="Q69" t="b">
        <v>0</v>
      </c>
      <c r="R69" t="b">
        <v>0</v>
      </c>
      <c r="S69" t="b">
        <v>1</v>
      </c>
      <c r="T69" t="b">
        <v>1</v>
      </c>
      <c r="U69">
        <v>1</v>
      </c>
      <c r="V69">
        <v>5.8</v>
      </c>
      <c r="W69">
        <v>5</v>
      </c>
      <c r="X69">
        <v>5.3</v>
      </c>
      <c r="Y69">
        <v>119.22</v>
      </c>
      <c r="Z69">
        <v>4</v>
      </c>
      <c r="AA69" t="s">
        <v>64</v>
      </c>
    </row>
    <row r="70" spans="1:27" x14ac:dyDescent="0.3">
      <c r="A70" t="s">
        <v>158</v>
      </c>
      <c r="B70">
        <v>20</v>
      </c>
      <c r="C70" t="s">
        <v>53</v>
      </c>
      <c r="D70">
        <v>6.2</v>
      </c>
      <c r="E70" t="s">
        <v>29</v>
      </c>
      <c r="F70" t="s">
        <v>73</v>
      </c>
      <c r="G70" t="s">
        <v>71</v>
      </c>
      <c r="H70">
        <v>5.8</v>
      </c>
      <c r="I70" t="s">
        <v>32</v>
      </c>
      <c r="J70" t="s">
        <v>36</v>
      </c>
      <c r="K70" t="s">
        <v>62</v>
      </c>
      <c r="L70">
        <v>3.51</v>
      </c>
      <c r="M70">
        <v>2</v>
      </c>
      <c r="N70" t="s">
        <v>44</v>
      </c>
      <c r="O70" t="s">
        <v>42</v>
      </c>
      <c r="P70" t="b">
        <v>0</v>
      </c>
      <c r="Q70" t="b">
        <v>1</v>
      </c>
      <c r="R70" t="b">
        <v>0</v>
      </c>
      <c r="S70" t="b">
        <v>1</v>
      </c>
      <c r="T70" t="b">
        <v>1</v>
      </c>
      <c r="U70">
        <v>3.3</v>
      </c>
      <c r="V70">
        <v>6.7</v>
      </c>
      <c r="W70">
        <v>5</v>
      </c>
      <c r="X70">
        <v>9.6</v>
      </c>
      <c r="Y70">
        <v>42.1</v>
      </c>
      <c r="Z70">
        <v>8</v>
      </c>
      <c r="AA70" t="s">
        <v>64</v>
      </c>
    </row>
    <row r="71" spans="1:27" x14ac:dyDescent="0.3">
      <c r="A71" t="s">
        <v>159</v>
      </c>
      <c r="B71">
        <v>18</v>
      </c>
      <c r="C71" t="s">
        <v>53</v>
      </c>
      <c r="D71">
        <v>15.1</v>
      </c>
      <c r="E71" t="s">
        <v>76</v>
      </c>
      <c r="F71" t="s">
        <v>110</v>
      </c>
      <c r="G71" t="s">
        <v>31</v>
      </c>
      <c r="H71">
        <v>4.8</v>
      </c>
      <c r="I71" t="s">
        <v>41</v>
      </c>
      <c r="J71" t="s">
        <v>45</v>
      </c>
      <c r="K71" t="s">
        <v>34</v>
      </c>
      <c r="L71">
        <v>3.05</v>
      </c>
      <c r="N71" t="s">
        <v>80</v>
      </c>
      <c r="O71" t="s">
        <v>45</v>
      </c>
      <c r="P71" t="b">
        <v>1</v>
      </c>
      <c r="Q71" t="b">
        <v>0</v>
      </c>
      <c r="R71" t="b">
        <v>0</v>
      </c>
      <c r="S71" t="b">
        <v>1</v>
      </c>
      <c r="T71" t="b">
        <v>1</v>
      </c>
      <c r="U71">
        <v>0</v>
      </c>
      <c r="V71">
        <v>4.2</v>
      </c>
      <c r="W71">
        <v>10</v>
      </c>
      <c r="X71">
        <v>0</v>
      </c>
      <c r="Y71">
        <v>209.75</v>
      </c>
      <c r="Z71">
        <v>6</v>
      </c>
      <c r="AA71" t="s">
        <v>58</v>
      </c>
    </row>
    <row r="72" spans="1:27" x14ac:dyDescent="0.3">
      <c r="A72" t="s">
        <v>160</v>
      </c>
      <c r="B72">
        <v>25</v>
      </c>
      <c r="C72" t="s">
        <v>28</v>
      </c>
      <c r="D72">
        <v>4.8</v>
      </c>
      <c r="E72" t="s">
        <v>76</v>
      </c>
      <c r="F72" t="s">
        <v>126</v>
      </c>
      <c r="G72" t="s">
        <v>50</v>
      </c>
      <c r="H72">
        <v>6.8</v>
      </c>
      <c r="I72" t="s">
        <v>41</v>
      </c>
      <c r="J72" t="s">
        <v>36</v>
      </c>
      <c r="K72" t="s">
        <v>62</v>
      </c>
      <c r="M72">
        <v>7</v>
      </c>
      <c r="N72" t="s">
        <v>69</v>
      </c>
      <c r="O72" t="s">
        <v>36</v>
      </c>
      <c r="P72" t="b">
        <v>0</v>
      </c>
      <c r="Q72" t="b">
        <v>0</v>
      </c>
      <c r="R72" t="b">
        <v>0</v>
      </c>
      <c r="S72" t="b">
        <v>0</v>
      </c>
      <c r="T72" t="b">
        <v>0</v>
      </c>
      <c r="U72">
        <v>1.6</v>
      </c>
      <c r="V72">
        <v>5.8</v>
      </c>
      <c r="W72">
        <v>2</v>
      </c>
      <c r="X72">
        <v>10</v>
      </c>
      <c r="Y72">
        <v>132.26</v>
      </c>
      <c r="Z72">
        <v>11</v>
      </c>
      <c r="AA72" t="s">
        <v>46</v>
      </c>
    </row>
    <row r="73" spans="1:27" x14ac:dyDescent="0.3">
      <c r="A73" t="s">
        <v>161</v>
      </c>
      <c r="B73">
        <v>23</v>
      </c>
      <c r="C73" t="s">
        <v>28</v>
      </c>
      <c r="D73">
        <v>2.6</v>
      </c>
      <c r="E73" t="s">
        <v>29</v>
      </c>
      <c r="F73" t="s">
        <v>30</v>
      </c>
      <c r="G73" t="s">
        <v>71</v>
      </c>
      <c r="H73">
        <v>8.8000000000000007</v>
      </c>
      <c r="I73" t="s">
        <v>41</v>
      </c>
      <c r="J73" t="s">
        <v>36</v>
      </c>
      <c r="K73" t="s">
        <v>43</v>
      </c>
      <c r="M73">
        <v>5</v>
      </c>
      <c r="N73" t="s">
        <v>121</v>
      </c>
      <c r="O73" t="s">
        <v>33</v>
      </c>
      <c r="P73" t="b">
        <v>0</v>
      </c>
      <c r="Q73" t="b">
        <v>0</v>
      </c>
      <c r="R73" t="b">
        <v>0</v>
      </c>
      <c r="S73" t="b">
        <v>0</v>
      </c>
      <c r="T73" t="b">
        <v>0</v>
      </c>
      <c r="U73">
        <v>0.4</v>
      </c>
      <c r="V73">
        <v>8.9</v>
      </c>
      <c r="W73">
        <v>1</v>
      </c>
      <c r="X73">
        <v>11.2</v>
      </c>
      <c r="Y73">
        <v>7.76</v>
      </c>
      <c r="Z73">
        <v>3</v>
      </c>
      <c r="AA73" t="s">
        <v>46</v>
      </c>
    </row>
    <row r="74" spans="1:27" x14ac:dyDescent="0.3">
      <c r="A74" t="s">
        <v>162</v>
      </c>
      <c r="B74">
        <v>17</v>
      </c>
      <c r="C74" t="s">
        <v>53</v>
      </c>
      <c r="D74">
        <v>4</v>
      </c>
      <c r="E74" t="s">
        <v>29</v>
      </c>
      <c r="F74" t="s">
        <v>73</v>
      </c>
      <c r="G74" t="s">
        <v>50</v>
      </c>
      <c r="H74">
        <v>5.8</v>
      </c>
      <c r="I74" t="s">
        <v>41</v>
      </c>
      <c r="J74" t="s">
        <v>33</v>
      </c>
      <c r="K74" t="s">
        <v>43</v>
      </c>
      <c r="L74">
        <v>3.1</v>
      </c>
      <c r="N74" t="s">
        <v>63</v>
      </c>
      <c r="O74" t="s">
        <v>33</v>
      </c>
      <c r="P74" t="b">
        <v>0</v>
      </c>
      <c r="Q74" t="b">
        <v>0</v>
      </c>
      <c r="R74" t="b">
        <v>0</v>
      </c>
      <c r="S74" t="b">
        <v>0</v>
      </c>
      <c r="T74" t="b">
        <v>0</v>
      </c>
      <c r="U74">
        <v>3.3</v>
      </c>
      <c r="V74">
        <v>6.3</v>
      </c>
      <c r="W74">
        <v>2</v>
      </c>
      <c r="X74">
        <v>7.4</v>
      </c>
      <c r="Y74">
        <v>18.88</v>
      </c>
      <c r="Z74">
        <v>1</v>
      </c>
      <c r="AA74" t="s">
        <v>46</v>
      </c>
    </row>
    <row r="75" spans="1:27" x14ac:dyDescent="0.3">
      <c r="A75" t="s">
        <v>163</v>
      </c>
      <c r="B75">
        <v>20</v>
      </c>
      <c r="C75" t="s">
        <v>28</v>
      </c>
      <c r="D75">
        <v>5</v>
      </c>
      <c r="E75" t="s">
        <v>76</v>
      </c>
      <c r="F75" t="s">
        <v>77</v>
      </c>
      <c r="G75" t="s">
        <v>71</v>
      </c>
      <c r="H75">
        <v>6.9</v>
      </c>
      <c r="I75" t="s">
        <v>51</v>
      </c>
      <c r="J75" t="s">
        <v>33</v>
      </c>
      <c r="K75" t="s">
        <v>84</v>
      </c>
      <c r="L75">
        <v>1.55</v>
      </c>
      <c r="M75">
        <v>9</v>
      </c>
      <c r="N75" t="s">
        <v>66</v>
      </c>
      <c r="O75" t="s">
        <v>36</v>
      </c>
      <c r="P75" t="b">
        <v>0</v>
      </c>
      <c r="Q75" t="b">
        <v>0</v>
      </c>
      <c r="R75" t="b">
        <v>0</v>
      </c>
      <c r="S75" t="b">
        <v>0</v>
      </c>
      <c r="T75" t="b">
        <v>0</v>
      </c>
      <c r="U75">
        <v>0.9</v>
      </c>
      <c r="V75">
        <v>7.7</v>
      </c>
      <c r="W75">
        <v>4</v>
      </c>
      <c r="X75">
        <v>6.8</v>
      </c>
      <c r="Y75">
        <v>85.67</v>
      </c>
      <c r="Z75">
        <v>8</v>
      </c>
      <c r="AA75" t="s">
        <v>46</v>
      </c>
    </row>
    <row r="76" spans="1:27" x14ac:dyDescent="0.3">
      <c r="A76" t="s">
        <v>164</v>
      </c>
      <c r="B76">
        <v>19</v>
      </c>
      <c r="C76" t="s">
        <v>28</v>
      </c>
      <c r="D76">
        <v>3.5</v>
      </c>
      <c r="E76" t="s">
        <v>60</v>
      </c>
      <c r="F76" t="s">
        <v>102</v>
      </c>
      <c r="G76" t="s">
        <v>50</v>
      </c>
      <c r="H76">
        <v>8</v>
      </c>
      <c r="I76" t="s">
        <v>43</v>
      </c>
      <c r="J76" t="s">
        <v>45</v>
      </c>
      <c r="K76" t="s">
        <v>62</v>
      </c>
      <c r="L76">
        <v>1.87</v>
      </c>
      <c r="M76">
        <v>4</v>
      </c>
      <c r="N76" t="s">
        <v>121</v>
      </c>
      <c r="O76" t="s">
        <v>42</v>
      </c>
      <c r="P76" t="b">
        <v>0</v>
      </c>
      <c r="Q76" t="b">
        <v>0</v>
      </c>
      <c r="R76" t="b">
        <v>0</v>
      </c>
      <c r="S76" t="b">
        <v>0</v>
      </c>
      <c r="T76" t="b">
        <v>0</v>
      </c>
      <c r="U76">
        <v>0.4</v>
      </c>
      <c r="V76">
        <v>6.7</v>
      </c>
      <c r="W76">
        <v>2</v>
      </c>
      <c r="X76">
        <v>11.4</v>
      </c>
      <c r="Y76">
        <v>39.950000000000003</v>
      </c>
      <c r="Z76">
        <v>3</v>
      </c>
      <c r="AA76" t="s">
        <v>46</v>
      </c>
    </row>
    <row r="77" spans="1:27" x14ac:dyDescent="0.3">
      <c r="A77" t="s">
        <v>165</v>
      </c>
      <c r="B77">
        <v>33</v>
      </c>
      <c r="C77" t="s">
        <v>28</v>
      </c>
      <c r="D77">
        <v>5.2</v>
      </c>
      <c r="E77" t="s">
        <v>60</v>
      </c>
      <c r="F77" t="s">
        <v>61</v>
      </c>
      <c r="G77" t="s">
        <v>50</v>
      </c>
      <c r="H77">
        <v>6.9</v>
      </c>
      <c r="I77" t="s">
        <v>41</v>
      </c>
      <c r="J77" t="s">
        <v>45</v>
      </c>
      <c r="K77" t="s">
        <v>43</v>
      </c>
      <c r="M77">
        <v>3</v>
      </c>
      <c r="N77" t="s">
        <v>69</v>
      </c>
      <c r="O77" t="s">
        <v>57</v>
      </c>
      <c r="P77" t="b">
        <v>0</v>
      </c>
      <c r="Q77" t="b">
        <v>0</v>
      </c>
      <c r="R77" t="b">
        <v>0</v>
      </c>
      <c r="S77" t="b">
        <v>1</v>
      </c>
      <c r="T77" t="b">
        <v>0</v>
      </c>
      <c r="U77">
        <v>2</v>
      </c>
      <c r="V77">
        <v>9</v>
      </c>
      <c r="W77">
        <v>6</v>
      </c>
      <c r="X77">
        <v>6.9</v>
      </c>
      <c r="Y77">
        <v>73.02</v>
      </c>
      <c r="Z77">
        <v>8</v>
      </c>
      <c r="AA77" t="s">
        <v>46</v>
      </c>
    </row>
    <row r="78" spans="1:27" x14ac:dyDescent="0.3">
      <c r="A78" t="s">
        <v>166</v>
      </c>
      <c r="B78">
        <v>17</v>
      </c>
      <c r="C78" t="s">
        <v>28</v>
      </c>
      <c r="D78">
        <v>9.4</v>
      </c>
      <c r="E78" t="s">
        <v>82</v>
      </c>
      <c r="F78" t="s">
        <v>167</v>
      </c>
      <c r="G78" t="s">
        <v>31</v>
      </c>
      <c r="H78">
        <v>3.1</v>
      </c>
      <c r="I78" t="s">
        <v>51</v>
      </c>
      <c r="J78" t="s">
        <v>45</v>
      </c>
      <c r="K78" t="s">
        <v>51</v>
      </c>
      <c r="L78">
        <v>1.01</v>
      </c>
      <c r="N78" t="s">
        <v>105</v>
      </c>
      <c r="O78" t="s">
        <v>36</v>
      </c>
      <c r="P78" t="b">
        <v>1</v>
      </c>
      <c r="Q78" t="b">
        <v>0</v>
      </c>
      <c r="R78" t="b">
        <v>1</v>
      </c>
      <c r="S78" t="b">
        <v>1</v>
      </c>
      <c r="T78" t="b">
        <v>1</v>
      </c>
      <c r="U78">
        <v>1.3</v>
      </c>
      <c r="V78">
        <v>4.7</v>
      </c>
      <c r="W78">
        <v>6</v>
      </c>
      <c r="X78">
        <v>1.8</v>
      </c>
      <c r="Y78">
        <v>364.97</v>
      </c>
      <c r="Z78">
        <v>1</v>
      </c>
      <c r="AA78" t="s">
        <v>37</v>
      </c>
    </row>
    <row r="79" spans="1:27" x14ac:dyDescent="0.3">
      <c r="A79" t="s">
        <v>168</v>
      </c>
      <c r="B79">
        <v>16</v>
      </c>
      <c r="C79" t="s">
        <v>53</v>
      </c>
      <c r="D79">
        <v>5.7</v>
      </c>
      <c r="E79" t="s">
        <v>39</v>
      </c>
      <c r="F79" t="s">
        <v>93</v>
      </c>
      <c r="G79" t="s">
        <v>50</v>
      </c>
      <c r="H79">
        <v>6.8</v>
      </c>
      <c r="I79" t="s">
        <v>51</v>
      </c>
      <c r="J79" t="s">
        <v>33</v>
      </c>
      <c r="K79" t="s">
        <v>62</v>
      </c>
      <c r="L79">
        <v>2.48</v>
      </c>
      <c r="N79" t="s">
        <v>80</v>
      </c>
      <c r="O79" t="s">
        <v>33</v>
      </c>
      <c r="P79" t="b">
        <v>0</v>
      </c>
      <c r="Q79" t="b">
        <v>0</v>
      </c>
      <c r="R79" t="b">
        <v>0</v>
      </c>
      <c r="S79" t="b">
        <v>1</v>
      </c>
      <c r="T79" t="b">
        <v>1</v>
      </c>
      <c r="U79">
        <v>1.5</v>
      </c>
      <c r="V79">
        <v>8.4</v>
      </c>
      <c r="W79">
        <v>4</v>
      </c>
      <c r="X79">
        <v>8.5</v>
      </c>
      <c r="Y79">
        <v>136.30000000000001</v>
      </c>
      <c r="Z79">
        <v>2</v>
      </c>
      <c r="AA79" t="s">
        <v>46</v>
      </c>
    </row>
    <row r="80" spans="1:27" x14ac:dyDescent="0.3">
      <c r="A80" t="s">
        <v>169</v>
      </c>
      <c r="B80">
        <v>19</v>
      </c>
      <c r="C80" t="s">
        <v>152</v>
      </c>
      <c r="D80">
        <v>8.3000000000000007</v>
      </c>
      <c r="E80" t="s">
        <v>39</v>
      </c>
      <c r="F80" t="s">
        <v>93</v>
      </c>
      <c r="G80" t="s">
        <v>31</v>
      </c>
      <c r="H80">
        <v>5.5</v>
      </c>
      <c r="I80" t="s">
        <v>51</v>
      </c>
      <c r="J80" t="s">
        <v>74</v>
      </c>
      <c r="K80" t="s">
        <v>62</v>
      </c>
      <c r="L80">
        <v>1.17</v>
      </c>
      <c r="M80">
        <v>8</v>
      </c>
      <c r="N80" t="s">
        <v>44</v>
      </c>
      <c r="O80" t="s">
        <v>36</v>
      </c>
      <c r="P80" t="b">
        <v>1</v>
      </c>
      <c r="Q80" t="b">
        <v>0</v>
      </c>
      <c r="R80" t="b">
        <v>0</v>
      </c>
      <c r="S80" t="b">
        <v>0</v>
      </c>
      <c r="T80" t="b">
        <v>0</v>
      </c>
      <c r="U80">
        <v>3</v>
      </c>
      <c r="V80">
        <v>4</v>
      </c>
      <c r="W80">
        <v>7</v>
      </c>
      <c r="X80">
        <v>3.9</v>
      </c>
      <c r="Y80">
        <v>82.29</v>
      </c>
      <c r="Z80">
        <v>6</v>
      </c>
      <c r="AA80" t="s">
        <v>64</v>
      </c>
    </row>
    <row r="81" spans="1:27" x14ac:dyDescent="0.3">
      <c r="A81" t="s">
        <v>170</v>
      </c>
      <c r="B81">
        <v>16</v>
      </c>
      <c r="C81" t="s">
        <v>53</v>
      </c>
      <c r="D81">
        <v>9</v>
      </c>
      <c r="E81" t="s">
        <v>29</v>
      </c>
      <c r="F81" t="s">
        <v>73</v>
      </c>
      <c r="G81" t="s">
        <v>86</v>
      </c>
      <c r="H81">
        <v>5.8</v>
      </c>
      <c r="I81" t="s">
        <v>51</v>
      </c>
      <c r="J81" t="s">
        <v>36</v>
      </c>
      <c r="K81" t="s">
        <v>51</v>
      </c>
      <c r="L81">
        <v>2.3199999999999998</v>
      </c>
      <c r="N81" t="s">
        <v>80</v>
      </c>
      <c r="O81" t="s">
        <v>45</v>
      </c>
      <c r="P81" t="b">
        <v>1</v>
      </c>
      <c r="Q81" t="b">
        <v>0</v>
      </c>
      <c r="R81" t="b">
        <v>1</v>
      </c>
      <c r="S81" t="b">
        <v>1</v>
      </c>
      <c r="T81" t="b">
        <v>1</v>
      </c>
      <c r="U81">
        <v>3.7</v>
      </c>
      <c r="V81">
        <v>3.8</v>
      </c>
      <c r="W81">
        <v>5</v>
      </c>
      <c r="X81">
        <v>6</v>
      </c>
      <c r="Y81">
        <v>192.38</v>
      </c>
      <c r="Z81">
        <v>1</v>
      </c>
      <c r="AA81" t="s">
        <v>37</v>
      </c>
    </row>
    <row r="82" spans="1:27" x14ac:dyDescent="0.3">
      <c r="A82" t="s">
        <v>171</v>
      </c>
      <c r="B82">
        <v>22</v>
      </c>
      <c r="C82" t="s">
        <v>53</v>
      </c>
      <c r="D82">
        <v>7.2</v>
      </c>
      <c r="E82" t="s">
        <v>29</v>
      </c>
      <c r="F82" t="s">
        <v>73</v>
      </c>
      <c r="G82" t="s">
        <v>50</v>
      </c>
      <c r="H82">
        <v>3.6</v>
      </c>
      <c r="I82" t="s">
        <v>32</v>
      </c>
      <c r="J82" t="s">
        <v>42</v>
      </c>
      <c r="K82" t="s">
        <v>51</v>
      </c>
      <c r="L82">
        <v>1.98</v>
      </c>
      <c r="M82">
        <v>1</v>
      </c>
      <c r="N82" t="s">
        <v>44</v>
      </c>
      <c r="O82" t="s">
        <v>57</v>
      </c>
      <c r="P82" t="b">
        <v>1</v>
      </c>
      <c r="Q82" t="b">
        <v>0</v>
      </c>
      <c r="R82" t="b">
        <v>0</v>
      </c>
      <c r="S82" t="b">
        <v>1</v>
      </c>
      <c r="T82" t="b">
        <v>0</v>
      </c>
      <c r="U82">
        <v>1.7</v>
      </c>
      <c r="V82">
        <v>6.5</v>
      </c>
      <c r="W82">
        <v>4</v>
      </c>
      <c r="X82">
        <v>8</v>
      </c>
      <c r="Y82">
        <v>32.86</v>
      </c>
      <c r="Z82">
        <v>11</v>
      </c>
      <c r="AA82" t="s">
        <v>64</v>
      </c>
    </row>
    <row r="83" spans="1:27" x14ac:dyDescent="0.3">
      <c r="A83" t="s">
        <v>172</v>
      </c>
      <c r="B83">
        <v>17</v>
      </c>
      <c r="C83" t="s">
        <v>53</v>
      </c>
      <c r="D83">
        <v>10.8</v>
      </c>
      <c r="E83" t="s">
        <v>76</v>
      </c>
      <c r="F83" t="s">
        <v>110</v>
      </c>
      <c r="G83" t="s">
        <v>50</v>
      </c>
      <c r="H83">
        <v>5</v>
      </c>
      <c r="I83" t="s">
        <v>41</v>
      </c>
      <c r="J83" t="s">
        <v>42</v>
      </c>
      <c r="K83" t="s">
        <v>51</v>
      </c>
      <c r="L83">
        <v>3.56</v>
      </c>
      <c r="N83" t="s">
        <v>35</v>
      </c>
      <c r="O83" t="s">
        <v>45</v>
      </c>
      <c r="P83" t="b">
        <v>1</v>
      </c>
      <c r="Q83" t="b">
        <v>0</v>
      </c>
      <c r="R83" t="b">
        <v>1</v>
      </c>
      <c r="S83" t="b">
        <v>1</v>
      </c>
      <c r="T83" t="b">
        <v>1</v>
      </c>
      <c r="U83">
        <v>0.4</v>
      </c>
      <c r="V83">
        <v>2.9</v>
      </c>
      <c r="W83">
        <v>7</v>
      </c>
      <c r="X83">
        <v>0.8</v>
      </c>
      <c r="Y83">
        <v>462.43</v>
      </c>
      <c r="Z83">
        <v>3</v>
      </c>
      <c r="AA83" t="s">
        <v>37</v>
      </c>
    </row>
    <row r="84" spans="1:27" x14ac:dyDescent="0.3">
      <c r="A84" t="s">
        <v>173</v>
      </c>
      <c r="B84">
        <v>18</v>
      </c>
      <c r="C84" t="s">
        <v>28</v>
      </c>
      <c r="D84">
        <v>9.3000000000000007</v>
      </c>
      <c r="E84" t="s">
        <v>54</v>
      </c>
      <c r="F84" t="s">
        <v>89</v>
      </c>
      <c r="G84" t="s">
        <v>50</v>
      </c>
      <c r="H84">
        <v>5.5</v>
      </c>
      <c r="I84" t="s">
        <v>78</v>
      </c>
      <c r="J84" t="s">
        <v>42</v>
      </c>
      <c r="K84" t="s">
        <v>51</v>
      </c>
      <c r="L84">
        <v>1.42</v>
      </c>
      <c r="N84" t="s">
        <v>44</v>
      </c>
      <c r="O84" t="s">
        <v>33</v>
      </c>
      <c r="P84" t="b">
        <v>1</v>
      </c>
      <c r="Q84" t="b">
        <v>0</v>
      </c>
      <c r="R84" t="b">
        <v>0</v>
      </c>
      <c r="S84" t="b">
        <v>0</v>
      </c>
      <c r="T84" t="b">
        <v>1</v>
      </c>
      <c r="U84">
        <v>0.9</v>
      </c>
      <c r="V84">
        <v>6.3</v>
      </c>
      <c r="W84">
        <v>6</v>
      </c>
      <c r="X84">
        <v>1.5</v>
      </c>
      <c r="Y84">
        <v>404.23</v>
      </c>
      <c r="Z84">
        <v>2</v>
      </c>
      <c r="AA84" t="s">
        <v>58</v>
      </c>
    </row>
    <row r="85" spans="1:27" x14ac:dyDescent="0.3">
      <c r="A85" t="s">
        <v>174</v>
      </c>
      <c r="B85">
        <v>20</v>
      </c>
      <c r="C85" t="s">
        <v>28</v>
      </c>
      <c r="D85">
        <v>6.4</v>
      </c>
      <c r="E85" t="s">
        <v>54</v>
      </c>
      <c r="F85" t="s">
        <v>89</v>
      </c>
      <c r="G85" t="s">
        <v>50</v>
      </c>
      <c r="H85">
        <v>6.8</v>
      </c>
      <c r="I85" t="s">
        <v>41</v>
      </c>
      <c r="J85" t="s">
        <v>42</v>
      </c>
      <c r="K85" t="s">
        <v>62</v>
      </c>
      <c r="L85">
        <v>2.95</v>
      </c>
      <c r="M85">
        <v>8</v>
      </c>
      <c r="N85" t="s">
        <v>66</v>
      </c>
      <c r="O85" t="s">
        <v>36</v>
      </c>
      <c r="P85" t="b">
        <v>0</v>
      </c>
      <c r="Q85" t="b">
        <v>1</v>
      </c>
      <c r="R85" t="b">
        <v>0</v>
      </c>
      <c r="S85" t="b">
        <v>0</v>
      </c>
      <c r="T85" t="b">
        <v>1</v>
      </c>
      <c r="U85">
        <v>1.5</v>
      </c>
      <c r="V85">
        <v>7.6</v>
      </c>
      <c r="W85">
        <v>5</v>
      </c>
      <c r="X85">
        <v>7.5</v>
      </c>
      <c r="Y85">
        <v>91.02</v>
      </c>
      <c r="Z85">
        <v>8</v>
      </c>
      <c r="AA85" t="s">
        <v>64</v>
      </c>
    </row>
    <row r="86" spans="1:27" x14ac:dyDescent="0.3">
      <c r="A86" t="s">
        <v>175</v>
      </c>
      <c r="B86">
        <v>26</v>
      </c>
      <c r="C86" t="s">
        <v>28</v>
      </c>
      <c r="D86">
        <v>1.1000000000000001</v>
      </c>
      <c r="E86" t="s">
        <v>29</v>
      </c>
      <c r="F86" t="s">
        <v>118</v>
      </c>
      <c r="G86" t="s">
        <v>50</v>
      </c>
      <c r="H86">
        <v>7.6</v>
      </c>
      <c r="I86" t="s">
        <v>43</v>
      </c>
      <c r="J86" t="s">
        <v>33</v>
      </c>
      <c r="K86" t="s">
        <v>43</v>
      </c>
      <c r="M86">
        <v>5</v>
      </c>
      <c r="N86" t="s">
        <v>66</v>
      </c>
      <c r="O86" t="s">
        <v>45</v>
      </c>
      <c r="P86" t="b">
        <v>0</v>
      </c>
      <c r="Q86" t="b">
        <v>0</v>
      </c>
      <c r="R86" t="b">
        <v>0</v>
      </c>
      <c r="S86" t="b">
        <v>0</v>
      </c>
      <c r="T86" t="b">
        <v>0</v>
      </c>
      <c r="U86">
        <v>0.4</v>
      </c>
      <c r="V86">
        <v>9.5</v>
      </c>
      <c r="W86">
        <v>1</v>
      </c>
      <c r="X86">
        <v>15.5</v>
      </c>
      <c r="Y86">
        <v>24.99</v>
      </c>
      <c r="Z86">
        <v>10</v>
      </c>
      <c r="AA86" t="s">
        <v>46</v>
      </c>
    </row>
    <row r="87" spans="1:27" x14ac:dyDescent="0.3">
      <c r="A87" t="s">
        <v>176</v>
      </c>
      <c r="B87">
        <v>22</v>
      </c>
      <c r="C87" t="s">
        <v>28</v>
      </c>
      <c r="D87">
        <v>3</v>
      </c>
      <c r="E87" t="s">
        <v>60</v>
      </c>
      <c r="F87" t="s">
        <v>96</v>
      </c>
      <c r="G87" t="s">
        <v>86</v>
      </c>
      <c r="H87">
        <v>8.8000000000000007</v>
      </c>
      <c r="I87" t="s">
        <v>51</v>
      </c>
      <c r="J87" t="s">
        <v>42</v>
      </c>
      <c r="K87" t="s">
        <v>43</v>
      </c>
      <c r="L87">
        <v>2.4</v>
      </c>
      <c r="M87">
        <v>5</v>
      </c>
      <c r="N87" t="s">
        <v>66</v>
      </c>
      <c r="O87" t="s">
        <v>42</v>
      </c>
      <c r="P87" t="b">
        <v>0</v>
      </c>
      <c r="Q87" t="b">
        <v>0</v>
      </c>
      <c r="R87" t="b">
        <v>0</v>
      </c>
      <c r="S87" t="b">
        <v>0</v>
      </c>
      <c r="T87" t="b">
        <v>0</v>
      </c>
      <c r="U87">
        <v>1.1000000000000001</v>
      </c>
      <c r="V87">
        <v>7.1</v>
      </c>
      <c r="W87">
        <v>2</v>
      </c>
      <c r="X87">
        <v>8.5</v>
      </c>
      <c r="Y87">
        <v>34.92</v>
      </c>
      <c r="Z87">
        <v>11</v>
      </c>
      <c r="AA87" t="s">
        <v>46</v>
      </c>
    </row>
    <row r="88" spans="1:27" x14ac:dyDescent="0.3">
      <c r="A88" t="s">
        <v>177</v>
      </c>
      <c r="B88">
        <v>14</v>
      </c>
      <c r="C88" t="s">
        <v>28</v>
      </c>
      <c r="D88">
        <v>7.5</v>
      </c>
      <c r="E88" t="s">
        <v>76</v>
      </c>
      <c r="F88" t="s">
        <v>77</v>
      </c>
      <c r="G88" t="s">
        <v>50</v>
      </c>
      <c r="H88">
        <v>4.8</v>
      </c>
      <c r="I88" t="s">
        <v>41</v>
      </c>
      <c r="J88" t="s">
        <v>36</v>
      </c>
      <c r="K88" t="s">
        <v>51</v>
      </c>
      <c r="L88">
        <v>1.29</v>
      </c>
      <c r="N88" t="s">
        <v>63</v>
      </c>
      <c r="O88" t="s">
        <v>45</v>
      </c>
      <c r="P88" t="b">
        <v>1</v>
      </c>
      <c r="Q88" t="b">
        <v>1</v>
      </c>
      <c r="R88" t="b">
        <v>0</v>
      </c>
      <c r="S88" t="b">
        <v>1</v>
      </c>
      <c r="T88" t="b">
        <v>0</v>
      </c>
      <c r="U88">
        <v>0.7</v>
      </c>
      <c r="V88">
        <v>7.9</v>
      </c>
      <c r="W88">
        <v>5</v>
      </c>
      <c r="X88">
        <v>6.6</v>
      </c>
      <c r="Y88">
        <v>123.8</v>
      </c>
      <c r="Z88">
        <v>3</v>
      </c>
      <c r="AA88" t="s">
        <v>58</v>
      </c>
    </row>
    <row r="89" spans="1:27" x14ac:dyDescent="0.3">
      <c r="A89" t="s">
        <v>178</v>
      </c>
      <c r="B89">
        <v>17</v>
      </c>
      <c r="C89" t="s">
        <v>28</v>
      </c>
      <c r="D89">
        <v>6.1</v>
      </c>
      <c r="E89" t="s">
        <v>48</v>
      </c>
      <c r="F89" t="s">
        <v>68</v>
      </c>
      <c r="G89" t="s">
        <v>31</v>
      </c>
      <c r="H89">
        <v>6.7</v>
      </c>
      <c r="I89" t="s">
        <v>41</v>
      </c>
      <c r="J89" t="s">
        <v>45</v>
      </c>
      <c r="K89" t="s">
        <v>62</v>
      </c>
      <c r="L89">
        <v>3.06</v>
      </c>
      <c r="N89" t="s">
        <v>66</v>
      </c>
      <c r="O89" t="s">
        <v>33</v>
      </c>
      <c r="P89" t="b">
        <v>0</v>
      </c>
      <c r="Q89" t="b">
        <v>1</v>
      </c>
      <c r="R89" t="b">
        <v>0</v>
      </c>
      <c r="S89" t="b">
        <v>1</v>
      </c>
      <c r="T89" t="b">
        <v>1</v>
      </c>
      <c r="U89">
        <v>1.8</v>
      </c>
      <c r="V89">
        <v>5.6</v>
      </c>
      <c r="W89">
        <v>4</v>
      </c>
      <c r="X89">
        <v>9.8000000000000007</v>
      </c>
      <c r="Y89">
        <v>71.69</v>
      </c>
      <c r="Z89">
        <v>1</v>
      </c>
      <c r="AA89" t="s">
        <v>64</v>
      </c>
    </row>
    <row r="90" spans="1:27" x14ac:dyDescent="0.3">
      <c r="A90" t="s">
        <v>179</v>
      </c>
      <c r="B90">
        <v>18</v>
      </c>
      <c r="C90" t="s">
        <v>53</v>
      </c>
      <c r="D90">
        <v>5.9</v>
      </c>
      <c r="E90" t="s">
        <v>82</v>
      </c>
      <c r="F90" t="s">
        <v>83</v>
      </c>
      <c r="G90" t="s">
        <v>31</v>
      </c>
      <c r="H90">
        <v>6.5</v>
      </c>
      <c r="I90" t="s">
        <v>51</v>
      </c>
      <c r="J90" t="s">
        <v>42</v>
      </c>
      <c r="K90" t="s">
        <v>62</v>
      </c>
      <c r="L90">
        <v>2.46</v>
      </c>
      <c r="N90" t="s">
        <v>66</v>
      </c>
      <c r="O90" t="s">
        <v>36</v>
      </c>
      <c r="P90" t="b">
        <v>0</v>
      </c>
      <c r="Q90" t="b">
        <v>1</v>
      </c>
      <c r="R90" t="b">
        <v>0</v>
      </c>
      <c r="S90" t="b">
        <v>1</v>
      </c>
      <c r="T90" t="b">
        <v>0</v>
      </c>
      <c r="U90">
        <v>0.4</v>
      </c>
      <c r="V90">
        <v>7.4</v>
      </c>
      <c r="W90">
        <v>4</v>
      </c>
      <c r="X90">
        <v>4.9000000000000004</v>
      </c>
      <c r="Y90">
        <v>96.37</v>
      </c>
      <c r="Z90">
        <v>4</v>
      </c>
      <c r="AA90" t="s">
        <v>64</v>
      </c>
    </row>
    <row r="91" spans="1:27" x14ac:dyDescent="0.3">
      <c r="A91" t="s">
        <v>180</v>
      </c>
      <c r="B91">
        <v>22</v>
      </c>
      <c r="C91" t="s">
        <v>53</v>
      </c>
      <c r="D91">
        <v>8.1</v>
      </c>
      <c r="E91" t="s">
        <v>29</v>
      </c>
      <c r="F91" t="s">
        <v>104</v>
      </c>
      <c r="G91" t="s">
        <v>86</v>
      </c>
      <c r="H91">
        <v>3.1</v>
      </c>
      <c r="I91" t="s">
        <v>41</v>
      </c>
      <c r="J91" t="s">
        <v>33</v>
      </c>
      <c r="K91" t="s">
        <v>129</v>
      </c>
      <c r="L91">
        <v>3.21</v>
      </c>
      <c r="M91">
        <v>6</v>
      </c>
      <c r="N91" t="s">
        <v>35</v>
      </c>
      <c r="O91" t="s">
        <v>33</v>
      </c>
      <c r="P91" t="b">
        <v>0</v>
      </c>
      <c r="Q91" t="b">
        <v>1</v>
      </c>
      <c r="R91" t="b">
        <v>0</v>
      </c>
      <c r="S91" t="b">
        <v>1</v>
      </c>
      <c r="T91" t="b">
        <v>0</v>
      </c>
      <c r="U91">
        <v>0.3</v>
      </c>
      <c r="V91">
        <v>6.8</v>
      </c>
      <c r="W91">
        <v>5</v>
      </c>
      <c r="X91">
        <v>5.0999999999999996</v>
      </c>
      <c r="Y91">
        <v>67.48</v>
      </c>
      <c r="Z91">
        <v>1</v>
      </c>
      <c r="AA91" t="s">
        <v>64</v>
      </c>
    </row>
    <row r="92" spans="1:27" x14ac:dyDescent="0.3">
      <c r="A92" t="s">
        <v>181</v>
      </c>
      <c r="B92">
        <v>20</v>
      </c>
      <c r="C92" t="s">
        <v>28</v>
      </c>
      <c r="D92">
        <v>10.3</v>
      </c>
      <c r="E92" t="s">
        <v>76</v>
      </c>
      <c r="F92" t="s">
        <v>110</v>
      </c>
      <c r="G92" t="s">
        <v>31</v>
      </c>
      <c r="H92">
        <v>5.8</v>
      </c>
      <c r="I92" t="s">
        <v>51</v>
      </c>
      <c r="J92" t="s">
        <v>42</v>
      </c>
      <c r="K92" t="s">
        <v>34</v>
      </c>
      <c r="L92">
        <v>1.5</v>
      </c>
      <c r="M92">
        <v>1</v>
      </c>
      <c r="N92" t="s">
        <v>63</v>
      </c>
      <c r="O92" t="s">
        <v>33</v>
      </c>
      <c r="P92" t="b">
        <v>0</v>
      </c>
      <c r="Q92" t="b">
        <v>0</v>
      </c>
      <c r="R92" t="b">
        <v>0</v>
      </c>
      <c r="S92" t="b">
        <v>0</v>
      </c>
      <c r="T92" t="b">
        <v>1</v>
      </c>
      <c r="U92">
        <v>4.5</v>
      </c>
      <c r="V92">
        <v>3.6</v>
      </c>
      <c r="W92">
        <v>8</v>
      </c>
      <c r="X92">
        <v>1.6</v>
      </c>
      <c r="Y92">
        <v>499.27</v>
      </c>
      <c r="Z92">
        <v>4</v>
      </c>
      <c r="AA92" t="s">
        <v>64</v>
      </c>
    </row>
    <row r="93" spans="1:27" x14ac:dyDescent="0.3">
      <c r="A93" t="s">
        <v>182</v>
      </c>
      <c r="B93">
        <v>17</v>
      </c>
      <c r="C93" t="s">
        <v>53</v>
      </c>
      <c r="D93">
        <v>8.9</v>
      </c>
      <c r="E93" t="s">
        <v>82</v>
      </c>
      <c r="F93" t="s">
        <v>167</v>
      </c>
      <c r="G93" t="s">
        <v>31</v>
      </c>
      <c r="H93">
        <v>5.9</v>
      </c>
      <c r="I93" t="s">
        <v>41</v>
      </c>
      <c r="J93" t="s">
        <v>36</v>
      </c>
      <c r="K93" t="s">
        <v>43</v>
      </c>
      <c r="L93">
        <v>3.26</v>
      </c>
      <c r="N93" t="s">
        <v>80</v>
      </c>
      <c r="O93" t="s">
        <v>36</v>
      </c>
      <c r="P93" t="b">
        <v>1</v>
      </c>
      <c r="Q93" t="b">
        <v>0</v>
      </c>
      <c r="R93" t="b">
        <v>0</v>
      </c>
      <c r="S93" t="b">
        <v>1</v>
      </c>
      <c r="T93" t="b">
        <v>1</v>
      </c>
      <c r="U93">
        <v>5.7</v>
      </c>
      <c r="V93">
        <v>5.3</v>
      </c>
      <c r="W93">
        <v>5</v>
      </c>
      <c r="X93">
        <v>2.7</v>
      </c>
      <c r="Y93">
        <v>254.42</v>
      </c>
      <c r="Z93">
        <v>5</v>
      </c>
      <c r="AA93" t="s">
        <v>58</v>
      </c>
    </row>
    <row r="94" spans="1:27" x14ac:dyDescent="0.3">
      <c r="A94" t="s">
        <v>183</v>
      </c>
      <c r="B94">
        <v>26</v>
      </c>
      <c r="C94" t="s">
        <v>53</v>
      </c>
      <c r="D94">
        <v>5.9</v>
      </c>
      <c r="E94" t="s">
        <v>29</v>
      </c>
      <c r="F94" t="s">
        <v>30</v>
      </c>
      <c r="G94" t="s">
        <v>71</v>
      </c>
      <c r="H94">
        <v>6.1</v>
      </c>
      <c r="I94" t="s">
        <v>43</v>
      </c>
      <c r="J94" t="s">
        <v>74</v>
      </c>
      <c r="K94" t="s">
        <v>43</v>
      </c>
      <c r="M94">
        <v>10</v>
      </c>
      <c r="N94" t="s">
        <v>121</v>
      </c>
      <c r="O94" t="s">
        <v>33</v>
      </c>
      <c r="P94" t="b">
        <v>0</v>
      </c>
      <c r="Q94" t="b">
        <v>1</v>
      </c>
      <c r="R94" t="b">
        <v>0</v>
      </c>
      <c r="S94" t="b">
        <v>0</v>
      </c>
      <c r="T94" t="b">
        <v>0</v>
      </c>
      <c r="U94">
        <v>0.5</v>
      </c>
      <c r="V94">
        <v>5.2</v>
      </c>
      <c r="W94">
        <v>5</v>
      </c>
      <c r="X94">
        <v>8.4</v>
      </c>
      <c r="Y94">
        <v>83.67</v>
      </c>
      <c r="Z94">
        <v>14</v>
      </c>
      <c r="AA94" t="s">
        <v>64</v>
      </c>
    </row>
    <row r="95" spans="1:27" x14ac:dyDescent="0.3">
      <c r="A95" t="s">
        <v>184</v>
      </c>
      <c r="B95">
        <v>21</v>
      </c>
      <c r="C95" t="s">
        <v>53</v>
      </c>
      <c r="D95">
        <v>4.9000000000000004</v>
      </c>
      <c r="E95" t="s">
        <v>82</v>
      </c>
      <c r="F95" t="s">
        <v>83</v>
      </c>
      <c r="G95" t="s">
        <v>86</v>
      </c>
      <c r="H95">
        <v>6.1</v>
      </c>
      <c r="I95" t="s">
        <v>41</v>
      </c>
      <c r="J95" t="s">
        <v>74</v>
      </c>
      <c r="K95" t="s">
        <v>129</v>
      </c>
      <c r="L95">
        <v>3.53</v>
      </c>
      <c r="M95">
        <v>5</v>
      </c>
      <c r="N95" t="s">
        <v>56</v>
      </c>
      <c r="O95" t="s">
        <v>42</v>
      </c>
      <c r="P95" t="b">
        <v>0</v>
      </c>
      <c r="Q95" t="b">
        <v>0</v>
      </c>
      <c r="R95" t="b">
        <v>0</v>
      </c>
      <c r="S95" t="b">
        <v>1</v>
      </c>
      <c r="T95" t="b">
        <v>0</v>
      </c>
      <c r="U95">
        <v>0.3</v>
      </c>
      <c r="V95">
        <v>9.1</v>
      </c>
      <c r="W95">
        <v>2</v>
      </c>
      <c r="X95">
        <v>7.6</v>
      </c>
      <c r="Y95">
        <v>56.37</v>
      </c>
      <c r="Z95">
        <v>8</v>
      </c>
      <c r="AA95" t="s">
        <v>46</v>
      </c>
    </row>
    <row r="96" spans="1:27" x14ac:dyDescent="0.3">
      <c r="A96" t="s">
        <v>185</v>
      </c>
      <c r="B96">
        <v>22</v>
      </c>
      <c r="C96" t="s">
        <v>28</v>
      </c>
      <c r="D96">
        <v>1.7</v>
      </c>
      <c r="E96" t="s">
        <v>54</v>
      </c>
      <c r="F96" t="s">
        <v>55</v>
      </c>
      <c r="G96" t="s">
        <v>71</v>
      </c>
      <c r="H96">
        <v>7.3</v>
      </c>
      <c r="I96" t="s">
        <v>41</v>
      </c>
      <c r="J96" t="s">
        <v>42</v>
      </c>
      <c r="K96" t="s">
        <v>62</v>
      </c>
      <c r="L96">
        <v>1.41</v>
      </c>
      <c r="M96">
        <v>7</v>
      </c>
      <c r="N96" t="s">
        <v>66</v>
      </c>
      <c r="O96" t="s">
        <v>36</v>
      </c>
      <c r="P96" t="b">
        <v>0</v>
      </c>
      <c r="Q96" t="b">
        <v>0</v>
      </c>
      <c r="R96" t="b">
        <v>0</v>
      </c>
      <c r="S96" t="b">
        <v>0</v>
      </c>
      <c r="T96" t="b">
        <v>0</v>
      </c>
      <c r="U96">
        <v>0.4</v>
      </c>
      <c r="V96">
        <v>10.8</v>
      </c>
      <c r="W96">
        <v>1</v>
      </c>
      <c r="X96">
        <v>14.1</v>
      </c>
      <c r="Y96">
        <v>24.1</v>
      </c>
      <c r="Z96">
        <v>5</v>
      </c>
      <c r="AA96" t="s">
        <v>46</v>
      </c>
    </row>
    <row r="97" spans="1:27" x14ac:dyDescent="0.3">
      <c r="A97" t="s">
        <v>186</v>
      </c>
      <c r="B97">
        <v>19</v>
      </c>
      <c r="C97" t="s">
        <v>28</v>
      </c>
      <c r="D97">
        <v>7</v>
      </c>
      <c r="E97" t="s">
        <v>29</v>
      </c>
      <c r="F97" t="s">
        <v>104</v>
      </c>
      <c r="G97" t="s">
        <v>86</v>
      </c>
      <c r="H97">
        <v>4.9000000000000004</v>
      </c>
      <c r="I97" t="s">
        <v>51</v>
      </c>
      <c r="J97" t="s">
        <v>45</v>
      </c>
      <c r="K97" t="s">
        <v>129</v>
      </c>
      <c r="L97">
        <v>3.92</v>
      </c>
      <c r="M97">
        <v>4</v>
      </c>
      <c r="N97" t="s">
        <v>80</v>
      </c>
      <c r="O97" t="s">
        <v>57</v>
      </c>
      <c r="P97" t="b">
        <v>1</v>
      </c>
      <c r="Q97" t="b">
        <v>1</v>
      </c>
      <c r="R97" t="b">
        <v>0</v>
      </c>
      <c r="S97" t="b">
        <v>1</v>
      </c>
      <c r="T97" t="b">
        <v>1</v>
      </c>
      <c r="U97">
        <v>0.4</v>
      </c>
      <c r="V97">
        <v>4.5999999999999996</v>
      </c>
      <c r="W97">
        <v>6</v>
      </c>
      <c r="X97">
        <v>8.8000000000000007</v>
      </c>
      <c r="Y97">
        <v>115.12</v>
      </c>
      <c r="Z97">
        <v>1</v>
      </c>
      <c r="AA97" t="s">
        <v>58</v>
      </c>
    </row>
    <row r="98" spans="1:27" x14ac:dyDescent="0.3">
      <c r="A98" t="s">
        <v>187</v>
      </c>
      <c r="B98">
        <v>19</v>
      </c>
      <c r="C98" t="s">
        <v>28</v>
      </c>
      <c r="D98">
        <v>3.2</v>
      </c>
      <c r="E98" t="s">
        <v>39</v>
      </c>
      <c r="F98" t="s">
        <v>120</v>
      </c>
      <c r="G98" t="s">
        <v>86</v>
      </c>
      <c r="H98">
        <v>7.3</v>
      </c>
      <c r="I98" t="s">
        <v>41</v>
      </c>
      <c r="J98" t="s">
        <v>45</v>
      </c>
      <c r="K98" t="s">
        <v>62</v>
      </c>
      <c r="L98">
        <v>2.0499999999999998</v>
      </c>
      <c r="M98">
        <v>9</v>
      </c>
      <c r="N98" t="s">
        <v>80</v>
      </c>
      <c r="O98" t="s">
        <v>42</v>
      </c>
      <c r="P98" t="b">
        <v>0</v>
      </c>
      <c r="Q98" t="b">
        <v>0</v>
      </c>
      <c r="R98" t="b">
        <v>0</v>
      </c>
      <c r="S98" t="b">
        <v>0</v>
      </c>
      <c r="T98" t="b">
        <v>0</v>
      </c>
      <c r="U98">
        <v>0.5</v>
      </c>
      <c r="V98">
        <v>9.1</v>
      </c>
      <c r="W98">
        <v>2</v>
      </c>
      <c r="X98">
        <v>14.4</v>
      </c>
      <c r="Y98">
        <v>15.77</v>
      </c>
      <c r="Z98">
        <v>1</v>
      </c>
      <c r="AA98" t="s">
        <v>46</v>
      </c>
    </row>
    <row r="99" spans="1:27" x14ac:dyDescent="0.3">
      <c r="A99" t="s">
        <v>188</v>
      </c>
      <c r="B99">
        <v>23</v>
      </c>
      <c r="C99" t="s">
        <v>28</v>
      </c>
      <c r="D99">
        <v>10.4</v>
      </c>
      <c r="E99" t="s">
        <v>54</v>
      </c>
      <c r="F99" t="s">
        <v>98</v>
      </c>
      <c r="G99" t="s">
        <v>86</v>
      </c>
      <c r="H99">
        <v>5.6</v>
      </c>
      <c r="I99" t="s">
        <v>51</v>
      </c>
      <c r="J99" t="s">
        <v>45</v>
      </c>
      <c r="K99" t="s">
        <v>51</v>
      </c>
      <c r="M99">
        <v>10</v>
      </c>
      <c r="N99" t="s">
        <v>35</v>
      </c>
      <c r="O99" t="s">
        <v>42</v>
      </c>
      <c r="P99" t="b">
        <v>0</v>
      </c>
      <c r="Q99" t="b">
        <v>1</v>
      </c>
      <c r="R99" t="b">
        <v>1</v>
      </c>
      <c r="S99" t="b">
        <v>0</v>
      </c>
      <c r="T99" t="b">
        <v>0</v>
      </c>
      <c r="U99">
        <v>4.0999999999999996</v>
      </c>
      <c r="V99">
        <v>3.7</v>
      </c>
      <c r="W99">
        <v>5</v>
      </c>
      <c r="X99">
        <v>3.9</v>
      </c>
      <c r="Y99">
        <v>197.03</v>
      </c>
      <c r="Z99">
        <v>5</v>
      </c>
      <c r="AA99" t="s">
        <v>37</v>
      </c>
    </row>
    <row r="100" spans="1:27" x14ac:dyDescent="0.3">
      <c r="A100" t="s">
        <v>189</v>
      </c>
      <c r="B100">
        <v>31</v>
      </c>
      <c r="C100" t="s">
        <v>28</v>
      </c>
      <c r="D100">
        <v>5.0999999999999996</v>
      </c>
      <c r="E100" t="s">
        <v>39</v>
      </c>
      <c r="F100" t="s">
        <v>120</v>
      </c>
      <c r="G100" t="s">
        <v>31</v>
      </c>
      <c r="H100">
        <v>6.5</v>
      </c>
      <c r="I100" t="s">
        <v>41</v>
      </c>
      <c r="J100" t="s">
        <v>45</v>
      </c>
      <c r="K100" t="s">
        <v>62</v>
      </c>
      <c r="M100">
        <v>1</v>
      </c>
      <c r="N100" t="s">
        <v>63</v>
      </c>
      <c r="O100" t="s">
        <v>45</v>
      </c>
      <c r="P100" t="b">
        <v>0</v>
      </c>
      <c r="Q100" t="b">
        <v>0</v>
      </c>
      <c r="R100" t="b">
        <v>0</v>
      </c>
      <c r="S100" t="b">
        <v>1</v>
      </c>
      <c r="T100" t="b">
        <v>0</v>
      </c>
      <c r="U100">
        <v>0.9</v>
      </c>
      <c r="V100">
        <v>7.4</v>
      </c>
      <c r="W100">
        <v>2</v>
      </c>
      <c r="X100">
        <v>10.9</v>
      </c>
      <c r="Y100">
        <v>72.27</v>
      </c>
      <c r="Z100">
        <v>12</v>
      </c>
      <c r="AA100" t="s">
        <v>46</v>
      </c>
    </row>
    <row r="101" spans="1:27" x14ac:dyDescent="0.3">
      <c r="A101" t="s">
        <v>190</v>
      </c>
      <c r="B101">
        <v>27</v>
      </c>
      <c r="C101" t="s">
        <v>53</v>
      </c>
      <c r="D101">
        <v>6.3</v>
      </c>
      <c r="E101" t="s">
        <v>29</v>
      </c>
      <c r="F101" t="s">
        <v>104</v>
      </c>
      <c r="G101" t="s">
        <v>31</v>
      </c>
      <c r="H101">
        <v>6.3</v>
      </c>
      <c r="I101" t="s">
        <v>32</v>
      </c>
      <c r="J101" t="s">
        <v>45</v>
      </c>
      <c r="K101" t="s">
        <v>62</v>
      </c>
      <c r="M101">
        <v>10</v>
      </c>
      <c r="N101" t="s">
        <v>105</v>
      </c>
      <c r="O101" t="s">
        <v>57</v>
      </c>
      <c r="P101" t="b">
        <v>0</v>
      </c>
      <c r="Q101" t="b">
        <v>0</v>
      </c>
      <c r="R101" t="b">
        <v>0</v>
      </c>
      <c r="S101" t="b">
        <v>1</v>
      </c>
      <c r="T101" t="b">
        <v>0</v>
      </c>
      <c r="U101">
        <v>1.3</v>
      </c>
      <c r="V101">
        <v>8</v>
      </c>
      <c r="W101">
        <v>2</v>
      </c>
      <c r="X101">
        <v>10.199999999999999</v>
      </c>
      <c r="Y101">
        <v>21.12</v>
      </c>
      <c r="Z101">
        <v>2</v>
      </c>
      <c r="AA101" t="s">
        <v>46</v>
      </c>
    </row>
    <row r="102" spans="1:27" x14ac:dyDescent="0.3">
      <c r="A102" t="s">
        <v>191</v>
      </c>
      <c r="B102">
        <v>21</v>
      </c>
      <c r="C102" t="s">
        <v>28</v>
      </c>
      <c r="D102">
        <v>5.4</v>
      </c>
      <c r="E102" t="s">
        <v>48</v>
      </c>
      <c r="F102" t="s">
        <v>128</v>
      </c>
      <c r="G102" t="s">
        <v>31</v>
      </c>
      <c r="H102">
        <v>6.6</v>
      </c>
      <c r="I102" t="s">
        <v>41</v>
      </c>
      <c r="J102" t="s">
        <v>42</v>
      </c>
      <c r="K102" t="s">
        <v>129</v>
      </c>
      <c r="L102">
        <v>3.51</v>
      </c>
      <c r="M102">
        <v>4</v>
      </c>
      <c r="N102" t="s">
        <v>66</v>
      </c>
      <c r="O102" t="s">
        <v>42</v>
      </c>
      <c r="P102" t="b">
        <v>0</v>
      </c>
      <c r="Q102" t="b">
        <v>0</v>
      </c>
      <c r="R102" t="b">
        <v>0</v>
      </c>
      <c r="S102" t="b">
        <v>1</v>
      </c>
      <c r="T102" t="b">
        <v>0</v>
      </c>
      <c r="U102">
        <v>1.3</v>
      </c>
      <c r="V102">
        <v>5.7</v>
      </c>
      <c r="W102">
        <v>1</v>
      </c>
      <c r="X102">
        <v>11.2</v>
      </c>
      <c r="Y102">
        <v>33.119999999999997</v>
      </c>
      <c r="Z102">
        <v>11</v>
      </c>
      <c r="AA102" t="s">
        <v>46</v>
      </c>
    </row>
    <row r="103" spans="1:27" x14ac:dyDescent="0.3">
      <c r="A103" t="s">
        <v>192</v>
      </c>
      <c r="B103">
        <v>19</v>
      </c>
      <c r="C103" t="s">
        <v>28</v>
      </c>
      <c r="D103">
        <v>6.1</v>
      </c>
      <c r="E103" t="s">
        <v>54</v>
      </c>
      <c r="F103" t="s">
        <v>89</v>
      </c>
      <c r="G103" t="s">
        <v>71</v>
      </c>
      <c r="H103">
        <v>5.5</v>
      </c>
      <c r="I103" t="s">
        <v>43</v>
      </c>
      <c r="J103" t="s">
        <v>74</v>
      </c>
      <c r="K103" t="s">
        <v>62</v>
      </c>
      <c r="L103">
        <v>3.22</v>
      </c>
      <c r="M103">
        <v>7</v>
      </c>
      <c r="N103" t="s">
        <v>66</v>
      </c>
      <c r="O103" t="s">
        <v>42</v>
      </c>
      <c r="P103" t="b">
        <v>0</v>
      </c>
      <c r="Q103" t="b">
        <v>0</v>
      </c>
      <c r="R103" t="b">
        <v>0</v>
      </c>
      <c r="S103" t="b">
        <v>1</v>
      </c>
      <c r="T103" t="b">
        <v>0</v>
      </c>
      <c r="U103">
        <v>0.6</v>
      </c>
      <c r="V103">
        <v>8.1</v>
      </c>
      <c r="W103">
        <v>5</v>
      </c>
      <c r="X103">
        <v>7.9</v>
      </c>
      <c r="Y103">
        <v>110.19</v>
      </c>
      <c r="Z103">
        <v>3</v>
      </c>
      <c r="AA103" t="s">
        <v>46</v>
      </c>
    </row>
    <row r="104" spans="1:27" x14ac:dyDescent="0.3">
      <c r="A104" t="s">
        <v>193</v>
      </c>
      <c r="B104">
        <v>19</v>
      </c>
      <c r="C104" t="s">
        <v>53</v>
      </c>
      <c r="D104">
        <v>7.1</v>
      </c>
      <c r="E104" t="s">
        <v>76</v>
      </c>
      <c r="F104" t="s">
        <v>126</v>
      </c>
      <c r="G104" t="s">
        <v>31</v>
      </c>
      <c r="H104">
        <v>5</v>
      </c>
      <c r="I104" t="s">
        <v>51</v>
      </c>
      <c r="J104" t="s">
        <v>42</v>
      </c>
      <c r="K104" t="s">
        <v>43</v>
      </c>
      <c r="L104">
        <v>2.66</v>
      </c>
      <c r="M104">
        <v>1</v>
      </c>
      <c r="N104" t="s">
        <v>44</v>
      </c>
      <c r="O104" t="s">
        <v>33</v>
      </c>
      <c r="P104" t="b">
        <v>1</v>
      </c>
      <c r="Q104" t="b">
        <v>1</v>
      </c>
      <c r="R104" t="b">
        <v>0</v>
      </c>
      <c r="S104" t="b">
        <v>0</v>
      </c>
      <c r="T104" t="b">
        <v>1</v>
      </c>
      <c r="U104">
        <v>0.1</v>
      </c>
      <c r="V104">
        <v>5.3</v>
      </c>
      <c r="W104">
        <v>4</v>
      </c>
      <c r="X104">
        <v>6</v>
      </c>
      <c r="Y104">
        <v>112.86</v>
      </c>
      <c r="Z104">
        <v>8</v>
      </c>
      <c r="AA104" t="s">
        <v>58</v>
      </c>
    </row>
    <row r="105" spans="1:27" x14ac:dyDescent="0.3">
      <c r="A105" t="s">
        <v>194</v>
      </c>
      <c r="B105">
        <v>19</v>
      </c>
      <c r="C105" t="s">
        <v>53</v>
      </c>
      <c r="D105">
        <v>8</v>
      </c>
      <c r="E105" t="s">
        <v>54</v>
      </c>
      <c r="F105" t="s">
        <v>89</v>
      </c>
      <c r="G105" t="s">
        <v>31</v>
      </c>
      <c r="H105">
        <v>3.4</v>
      </c>
      <c r="I105" t="s">
        <v>32</v>
      </c>
      <c r="J105" t="s">
        <v>36</v>
      </c>
      <c r="K105" t="s">
        <v>51</v>
      </c>
      <c r="L105">
        <v>2.5299999999999998</v>
      </c>
      <c r="M105">
        <v>6</v>
      </c>
      <c r="N105" t="s">
        <v>80</v>
      </c>
      <c r="O105" t="s">
        <v>45</v>
      </c>
      <c r="P105" t="b">
        <v>1</v>
      </c>
      <c r="Q105" t="b">
        <v>1</v>
      </c>
      <c r="R105" t="b">
        <v>0</v>
      </c>
      <c r="S105" t="b">
        <v>1</v>
      </c>
      <c r="T105" t="b">
        <v>1</v>
      </c>
      <c r="U105">
        <v>0</v>
      </c>
      <c r="V105">
        <v>6.6</v>
      </c>
      <c r="W105">
        <v>4</v>
      </c>
      <c r="X105">
        <v>2.6</v>
      </c>
      <c r="Y105">
        <v>26.81</v>
      </c>
      <c r="Z105">
        <v>3</v>
      </c>
      <c r="AA105" t="s">
        <v>58</v>
      </c>
    </row>
    <row r="106" spans="1:27" x14ac:dyDescent="0.3">
      <c r="A106" t="s">
        <v>195</v>
      </c>
      <c r="B106">
        <v>21</v>
      </c>
      <c r="C106" t="s">
        <v>53</v>
      </c>
      <c r="D106">
        <v>4.8</v>
      </c>
      <c r="E106" t="s">
        <v>60</v>
      </c>
      <c r="F106" t="s">
        <v>96</v>
      </c>
      <c r="G106" t="s">
        <v>86</v>
      </c>
      <c r="H106">
        <v>6.6</v>
      </c>
      <c r="I106" t="s">
        <v>41</v>
      </c>
      <c r="J106" t="s">
        <v>45</v>
      </c>
      <c r="K106" t="s">
        <v>34</v>
      </c>
      <c r="L106">
        <v>1.08</v>
      </c>
      <c r="M106">
        <v>5</v>
      </c>
      <c r="N106" t="s">
        <v>121</v>
      </c>
      <c r="O106" t="s">
        <v>42</v>
      </c>
      <c r="P106" t="b">
        <v>0</v>
      </c>
      <c r="Q106" t="b">
        <v>0</v>
      </c>
      <c r="R106" t="b">
        <v>0</v>
      </c>
      <c r="S106" t="b">
        <v>0</v>
      </c>
      <c r="T106" t="b">
        <v>0</v>
      </c>
      <c r="U106">
        <v>3.6</v>
      </c>
      <c r="V106">
        <v>6.1</v>
      </c>
      <c r="W106">
        <v>2</v>
      </c>
      <c r="X106">
        <v>10.9</v>
      </c>
      <c r="Y106">
        <v>48.19</v>
      </c>
      <c r="Z106">
        <v>1</v>
      </c>
      <c r="AA106" t="s">
        <v>46</v>
      </c>
    </row>
    <row r="107" spans="1:27" x14ac:dyDescent="0.3">
      <c r="A107" t="s">
        <v>196</v>
      </c>
      <c r="B107">
        <v>17</v>
      </c>
      <c r="C107" t="s">
        <v>53</v>
      </c>
      <c r="D107">
        <v>9.8000000000000007</v>
      </c>
      <c r="E107" t="s">
        <v>60</v>
      </c>
      <c r="F107" t="s">
        <v>96</v>
      </c>
      <c r="G107" t="s">
        <v>31</v>
      </c>
      <c r="H107">
        <v>5</v>
      </c>
      <c r="I107" t="s">
        <v>32</v>
      </c>
      <c r="J107" t="s">
        <v>74</v>
      </c>
      <c r="K107" t="s">
        <v>51</v>
      </c>
      <c r="L107">
        <v>3.66</v>
      </c>
      <c r="N107" t="s">
        <v>35</v>
      </c>
      <c r="O107" t="s">
        <v>57</v>
      </c>
      <c r="P107" t="b">
        <v>1</v>
      </c>
      <c r="Q107" t="b">
        <v>1</v>
      </c>
      <c r="R107" t="b">
        <v>0</v>
      </c>
      <c r="S107" t="b">
        <v>0</v>
      </c>
      <c r="T107" t="b">
        <v>0</v>
      </c>
      <c r="U107">
        <v>5.2</v>
      </c>
      <c r="V107">
        <v>6.8</v>
      </c>
      <c r="W107">
        <v>7</v>
      </c>
      <c r="X107">
        <v>3.4</v>
      </c>
      <c r="Y107">
        <v>114.88</v>
      </c>
      <c r="Z107">
        <v>7</v>
      </c>
      <c r="AA107" t="s">
        <v>37</v>
      </c>
    </row>
    <row r="108" spans="1:27" x14ac:dyDescent="0.3">
      <c r="A108" t="s">
        <v>197</v>
      </c>
      <c r="B108">
        <v>14</v>
      </c>
      <c r="C108" t="s">
        <v>53</v>
      </c>
      <c r="D108">
        <v>2.9</v>
      </c>
      <c r="E108" t="s">
        <v>48</v>
      </c>
      <c r="F108" t="s">
        <v>128</v>
      </c>
      <c r="G108" t="s">
        <v>86</v>
      </c>
      <c r="H108">
        <v>7.9</v>
      </c>
      <c r="I108" t="s">
        <v>43</v>
      </c>
      <c r="J108" t="s">
        <v>36</v>
      </c>
      <c r="K108" t="s">
        <v>84</v>
      </c>
      <c r="L108">
        <v>1.37</v>
      </c>
      <c r="N108" t="s">
        <v>105</v>
      </c>
      <c r="O108" t="s">
        <v>57</v>
      </c>
      <c r="P108" t="b">
        <v>0</v>
      </c>
      <c r="Q108" t="b">
        <v>0</v>
      </c>
      <c r="R108" t="b">
        <v>0</v>
      </c>
      <c r="S108" t="b">
        <v>0</v>
      </c>
      <c r="T108" t="b">
        <v>0</v>
      </c>
      <c r="U108">
        <v>0.5</v>
      </c>
      <c r="V108">
        <v>9.4</v>
      </c>
      <c r="W108">
        <v>3</v>
      </c>
      <c r="X108">
        <v>8.6999999999999993</v>
      </c>
      <c r="Y108">
        <v>24.6</v>
      </c>
      <c r="Z108">
        <v>3</v>
      </c>
      <c r="AA108" t="s">
        <v>46</v>
      </c>
    </row>
    <row r="109" spans="1:27" x14ac:dyDescent="0.3">
      <c r="A109" t="s">
        <v>198</v>
      </c>
      <c r="B109">
        <v>19</v>
      </c>
      <c r="C109" t="s">
        <v>53</v>
      </c>
      <c r="D109">
        <v>6.8</v>
      </c>
      <c r="E109" t="s">
        <v>60</v>
      </c>
      <c r="F109" t="s">
        <v>102</v>
      </c>
      <c r="G109" t="s">
        <v>50</v>
      </c>
      <c r="H109">
        <v>3.7</v>
      </c>
      <c r="I109" t="s">
        <v>51</v>
      </c>
      <c r="J109" t="s">
        <v>36</v>
      </c>
      <c r="K109" t="s">
        <v>129</v>
      </c>
      <c r="L109">
        <v>2.96</v>
      </c>
      <c r="M109">
        <v>7</v>
      </c>
      <c r="N109" t="s">
        <v>63</v>
      </c>
      <c r="O109" t="s">
        <v>42</v>
      </c>
      <c r="P109" t="b">
        <v>1</v>
      </c>
      <c r="Q109" t="b">
        <v>0</v>
      </c>
      <c r="R109" t="b">
        <v>0</v>
      </c>
      <c r="S109" t="b">
        <v>1</v>
      </c>
      <c r="T109" t="b">
        <v>1</v>
      </c>
      <c r="U109">
        <v>1.9</v>
      </c>
      <c r="V109">
        <v>6.4</v>
      </c>
      <c r="W109">
        <v>4</v>
      </c>
      <c r="X109">
        <v>4.7</v>
      </c>
      <c r="Y109">
        <v>127</v>
      </c>
      <c r="Z109">
        <v>9</v>
      </c>
      <c r="AA109" t="s">
        <v>64</v>
      </c>
    </row>
    <row r="110" spans="1:27" x14ac:dyDescent="0.3">
      <c r="A110" t="s">
        <v>199</v>
      </c>
      <c r="B110">
        <v>19</v>
      </c>
      <c r="C110" t="s">
        <v>28</v>
      </c>
      <c r="D110">
        <v>4.5999999999999996</v>
      </c>
      <c r="E110" t="s">
        <v>60</v>
      </c>
      <c r="F110" t="s">
        <v>200</v>
      </c>
      <c r="G110" t="s">
        <v>71</v>
      </c>
      <c r="H110">
        <v>5.3</v>
      </c>
      <c r="I110" t="s">
        <v>41</v>
      </c>
      <c r="J110" t="s">
        <v>33</v>
      </c>
      <c r="K110" t="s">
        <v>84</v>
      </c>
      <c r="L110">
        <v>2.21</v>
      </c>
      <c r="M110">
        <v>4</v>
      </c>
      <c r="N110" t="s">
        <v>44</v>
      </c>
      <c r="O110" t="s">
        <v>57</v>
      </c>
      <c r="P110" t="b">
        <v>0</v>
      </c>
      <c r="Q110" t="b">
        <v>0</v>
      </c>
      <c r="R110" t="b">
        <v>0</v>
      </c>
      <c r="S110" t="b">
        <v>0</v>
      </c>
      <c r="T110" t="b">
        <v>0</v>
      </c>
      <c r="U110">
        <v>0.2</v>
      </c>
      <c r="V110">
        <v>6.8</v>
      </c>
      <c r="W110">
        <v>2</v>
      </c>
      <c r="X110">
        <v>11.3</v>
      </c>
      <c r="Y110">
        <v>85.23</v>
      </c>
      <c r="Z110">
        <v>8</v>
      </c>
      <c r="AA110" t="s">
        <v>46</v>
      </c>
    </row>
    <row r="111" spans="1:27" x14ac:dyDescent="0.3">
      <c r="A111" t="s">
        <v>201</v>
      </c>
      <c r="B111">
        <v>26</v>
      </c>
      <c r="C111" t="s">
        <v>28</v>
      </c>
      <c r="D111">
        <v>12</v>
      </c>
      <c r="E111" t="s">
        <v>54</v>
      </c>
      <c r="F111" t="s">
        <v>98</v>
      </c>
      <c r="G111" t="s">
        <v>31</v>
      </c>
      <c r="H111">
        <v>4.4000000000000004</v>
      </c>
      <c r="I111" t="s">
        <v>51</v>
      </c>
      <c r="J111" t="s">
        <v>36</v>
      </c>
      <c r="K111" t="s">
        <v>129</v>
      </c>
      <c r="M111">
        <v>2</v>
      </c>
      <c r="N111" t="s">
        <v>44</v>
      </c>
      <c r="O111" t="s">
        <v>33</v>
      </c>
      <c r="P111" t="b">
        <v>1</v>
      </c>
      <c r="Q111" t="b">
        <v>0</v>
      </c>
      <c r="R111" t="b">
        <v>1</v>
      </c>
      <c r="S111" t="b">
        <v>1</v>
      </c>
      <c r="T111" t="b">
        <v>1</v>
      </c>
      <c r="U111">
        <v>1.8</v>
      </c>
      <c r="V111">
        <v>5.2</v>
      </c>
      <c r="W111">
        <v>9</v>
      </c>
      <c r="X111">
        <v>2.5</v>
      </c>
      <c r="Y111">
        <v>326.95999999999998</v>
      </c>
      <c r="Z111">
        <v>15</v>
      </c>
      <c r="AA111" t="s">
        <v>37</v>
      </c>
    </row>
    <row r="112" spans="1:27" x14ac:dyDescent="0.3">
      <c r="A112" t="s">
        <v>202</v>
      </c>
      <c r="B112">
        <v>16</v>
      </c>
      <c r="C112" t="s">
        <v>53</v>
      </c>
      <c r="D112">
        <v>5.4</v>
      </c>
      <c r="E112" t="s">
        <v>60</v>
      </c>
      <c r="F112" t="s">
        <v>200</v>
      </c>
      <c r="G112" t="s">
        <v>31</v>
      </c>
      <c r="H112">
        <v>6.7</v>
      </c>
      <c r="I112" t="s">
        <v>43</v>
      </c>
      <c r="J112" t="s">
        <v>42</v>
      </c>
      <c r="K112" t="s">
        <v>34</v>
      </c>
      <c r="L112">
        <v>2.85</v>
      </c>
      <c r="N112" t="s">
        <v>66</v>
      </c>
      <c r="O112" t="s">
        <v>42</v>
      </c>
      <c r="P112" t="b">
        <v>0</v>
      </c>
      <c r="Q112" t="b">
        <v>0</v>
      </c>
      <c r="R112" t="b">
        <v>0</v>
      </c>
      <c r="S112" t="b">
        <v>1</v>
      </c>
      <c r="T112" t="b">
        <v>0</v>
      </c>
      <c r="U112">
        <v>0.4</v>
      </c>
      <c r="V112">
        <v>7.9</v>
      </c>
      <c r="W112">
        <v>3</v>
      </c>
      <c r="X112">
        <v>11</v>
      </c>
      <c r="Y112">
        <v>147.65</v>
      </c>
      <c r="Z112">
        <v>3</v>
      </c>
      <c r="AA112" t="s">
        <v>46</v>
      </c>
    </row>
    <row r="113" spans="1:27" x14ac:dyDescent="0.3">
      <c r="A113" t="s">
        <v>203</v>
      </c>
      <c r="B113">
        <v>31</v>
      </c>
      <c r="C113" t="s">
        <v>53</v>
      </c>
      <c r="D113">
        <v>5.5</v>
      </c>
      <c r="E113" t="s">
        <v>39</v>
      </c>
      <c r="F113" t="s">
        <v>93</v>
      </c>
      <c r="G113" t="s">
        <v>31</v>
      </c>
      <c r="H113">
        <v>6.8</v>
      </c>
      <c r="I113" t="s">
        <v>41</v>
      </c>
      <c r="J113" t="s">
        <v>42</v>
      </c>
      <c r="K113" t="s">
        <v>43</v>
      </c>
      <c r="M113">
        <v>8</v>
      </c>
      <c r="N113" t="s">
        <v>66</v>
      </c>
      <c r="O113" t="s">
        <v>36</v>
      </c>
      <c r="P113" t="b">
        <v>0</v>
      </c>
      <c r="Q113" t="b">
        <v>1</v>
      </c>
      <c r="R113" t="b">
        <v>0</v>
      </c>
      <c r="S113" t="b">
        <v>1</v>
      </c>
      <c r="T113" t="b">
        <v>1</v>
      </c>
      <c r="U113">
        <v>3.3</v>
      </c>
      <c r="V113">
        <v>6.4</v>
      </c>
      <c r="W113">
        <v>4</v>
      </c>
      <c r="X113">
        <v>10.199999999999999</v>
      </c>
      <c r="Y113">
        <v>126.15</v>
      </c>
      <c r="Z113">
        <v>20</v>
      </c>
      <c r="AA113" t="s">
        <v>64</v>
      </c>
    </row>
    <row r="114" spans="1:27" x14ac:dyDescent="0.3">
      <c r="A114" t="s">
        <v>204</v>
      </c>
      <c r="B114">
        <v>16</v>
      </c>
      <c r="C114" t="s">
        <v>28</v>
      </c>
      <c r="D114">
        <v>3.6</v>
      </c>
      <c r="E114" t="s">
        <v>82</v>
      </c>
      <c r="F114" t="s">
        <v>134</v>
      </c>
      <c r="G114" t="s">
        <v>50</v>
      </c>
      <c r="H114">
        <v>6.9</v>
      </c>
      <c r="I114" t="s">
        <v>41</v>
      </c>
      <c r="J114" t="s">
        <v>45</v>
      </c>
      <c r="K114" t="s">
        <v>34</v>
      </c>
      <c r="L114">
        <v>3.82</v>
      </c>
      <c r="N114" t="s">
        <v>44</v>
      </c>
      <c r="O114" t="s">
        <v>45</v>
      </c>
      <c r="P114" t="b">
        <v>0</v>
      </c>
      <c r="Q114" t="b">
        <v>0</v>
      </c>
      <c r="R114" t="b">
        <v>0</v>
      </c>
      <c r="S114" t="b">
        <v>0</v>
      </c>
      <c r="T114" t="b">
        <v>0</v>
      </c>
      <c r="U114">
        <v>0.2</v>
      </c>
      <c r="V114">
        <v>9.9</v>
      </c>
      <c r="W114">
        <v>1</v>
      </c>
      <c r="X114">
        <v>9.6</v>
      </c>
      <c r="Y114">
        <v>40.4</v>
      </c>
      <c r="Z114">
        <v>5</v>
      </c>
      <c r="AA114" t="s">
        <v>46</v>
      </c>
    </row>
    <row r="115" spans="1:27" x14ac:dyDescent="0.3">
      <c r="A115" t="s">
        <v>205</v>
      </c>
      <c r="B115">
        <v>20</v>
      </c>
      <c r="C115" t="s">
        <v>53</v>
      </c>
      <c r="D115">
        <v>9.1999999999999993</v>
      </c>
      <c r="E115" t="s">
        <v>29</v>
      </c>
      <c r="F115" t="s">
        <v>73</v>
      </c>
      <c r="G115" t="s">
        <v>50</v>
      </c>
      <c r="H115">
        <v>5.8</v>
      </c>
      <c r="I115" t="s">
        <v>32</v>
      </c>
      <c r="J115" t="s">
        <v>45</v>
      </c>
      <c r="K115" t="s">
        <v>34</v>
      </c>
      <c r="L115">
        <v>2.98</v>
      </c>
      <c r="M115">
        <v>6</v>
      </c>
      <c r="N115" t="s">
        <v>56</v>
      </c>
      <c r="O115" t="s">
        <v>57</v>
      </c>
      <c r="P115" t="b">
        <v>1</v>
      </c>
      <c r="Q115" t="b">
        <v>0</v>
      </c>
      <c r="R115" t="b">
        <v>0</v>
      </c>
      <c r="S115" t="b">
        <v>1</v>
      </c>
      <c r="T115" t="b">
        <v>1</v>
      </c>
      <c r="U115">
        <v>0.3</v>
      </c>
      <c r="V115">
        <v>7</v>
      </c>
      <c r="W115">
        <v>6</v>
      </c>
      <c r="X115">
        <v>3.6</v>
      </c>
      <c r="Y115">
        <v>177.45</v>
      </c>
      <c r="Z115">
        <v>5</v>
      </c>
      <c r="AA115" t="s">
        <v>58</v>
      </c>
    </row>
    <row r="116" spans="1:27" x14ac:dyDescent="0.3">
      <c r="A116" t="s">
        <v>206</v>
      </c>
      <c r="B116">
        <v>23</v>
      </c>
      <c r="C116" t="s">
        <v>28</v>
      </c>
      <c r="D116">
        <v>3.2</v>
      </c>
      <c r="E116" t="s">
        <v>29</v>
      </c>
      <c r="F116" t="s">
        <v>73</v>
      </c>
      <c r="G116" t="s">
        <v>71</v>
      </c>
      <c r="H116">
        <v>8.4</v>
      </c>
      <c r="I116" t="s">
        <v>41</v>
      </c>
      <c r="J116" t="s">
        <v>42</v>
      </c>
      <c r="K116" t="s">
        <v>84</v>
      </c>
      <c r="M116">
        <v>9</v>
      </c>
      <c r="N116" t="s">
        <v>66</v>
      </c>
      <c r="O116" t="s">
        <v>57</v>
      </c>
      <c r="P116" t="b">
        <v>0</v>
      </c>
      <c r="Q116" t="b">
        <v>0</v>
      </c>
      <c r="R116" t="b">
        <v>0</v>
      </c>
      <c r="S116" t="b">
        <v>0</v>
      </c>
      <c r="T116" t="b">
        <v>0</v>
      </c>
      <c r="U116">
        <v>0.3</v>
      </c>
      <c r="V116">
        <v>10</v>
      </c>
      <c r="W116">
        <v>3</v>
      </c>
      <c r="X116">
        <v>11.7</v>
      </c>
      <c r="Y116">
        <v>49.01</v>
      </c>
      <c r="Z116">
        <v>5</v>
      </c>
      <c r="AA116" t="s">
        <v>46</v>
      </c>
    </row>
    <row r="117" spans="1:27" x14ac:dyDescent="0.3">
      <c r="A117" t="s">
        <v>207</v>
      </c>
      <c r="B117">
        <v>22</v>
      </c>
      <c r="C117" t="s">
        <v>53</v>
      </c>
      <c r="D117">
        <v>8.4</v>
      </c>
      <c r="E117" t="s">
        <v>76</v>
      </c>
      <c r="F117" t="s">
        <v>110</v>
      </c>
      <c r="G117" t="s">
        <v>86</v>
      </c>
      <c r="H117">
        <v>4.2</v>
      </c>
      <c r="I117" t="s">
        <v>32</v>
      </c>
      <c r="J117" t="s">
        <v>74</v>
      </c>
      <c r="K117" t="s">
        <v>129</v>
      </c>
      <c r="L117">
        <v>2.57</v>
      </c>
      <c r="M117">
        <v>3</v>
      </c>
      <c r="N117" t="s">
        <v>44</v>
      </c>
      <c r="O117" t="s">
        <v>36</v>
      </c>
      <c r="P117" t="b">
        <v>0</v>
      </c>
      <c r="Q117" t="b">
        <v>1</v>
      </c>
      <c r="R117" t="b">
        <v>1</v>
      </c>
      <c r="S117" t="b">
        <v>1</v>
      </c>
      <c r="T117" t="b">
        <v>0</v>
      </c>
      <c r="U117">
        <v>1.3</v>
      </c>
      <c r="V117">
        <v>5.6</v>
      </c>
      <c r="W117">
        <v>6</v>
      </c>
      <c r="X117">
        <v>3.4</v>
      </c>
      <c r="Y117">
        <v>82.28</v>
      </c>
      <c r="Z117">
        <v>8</v>
      </c>
      <c r="AA117" t="s">
        <v>58</v>
      </c>
    </row>
    <row r="118" spans="1:27" x14ac:dyDescent="0.3">
      <c r="A118" t="s">
        <v>208</v>
      </c>
      <c r="B118">
        <v>15</v>
      </c>
      <c r="C118" t="s">
        <v>28</v>
      </c>
      <c r="D118">
        <v>13</v>
      </c>
      <c r="E118" t="s">
        <v>60</v>
      </c>
      <c r="F118" t="s">
        <v>61</v>
      </c>
      <c r="G118" t="s">
        <v>50</v>
      </c>
      <c r="H118">
        <v>5.4</v>
      </c>
      <c r="I118" t="s">
        <v>32</v>
      </c>
      <c r="J118" t="s">
        <v>33</v>
      </c>
      <c r="K118" t="s">
        <v>34</v>
      </c>
      <c r="L118">
        <v>2.6</v>
      </c>
      <c r="N118" t="s">
        <v>105</v>
      </c>
      <c r="O118" t="s">
        <v>33</v>
      </c>
      <c r="P118" t="b">
        <v>0</v>
      </c>
      <c r="Q118" t="b">
        <v>1</v>
      </c>
      <c r="R118" t="b">
        <v>1</v>
      </c>
      <c r="S118" t="b">
        <v>0</v>
      </c>
      <c r="T118" t="b">
        <v>1</v>
      </c>
      <c r="U118">
        <v>3.4</v>
      </c>
      <c r="V118">
        <v>4</v>
      </c>
      <c r="W118">
        <v>9</v>
      </c>
      <c r="X118">
        <v>0.9</v>
      </c>
      <c r="Y118">
        <v>224.87</v>
      </c>
      <c r="Z118">
        <v>3</v>
      </c>
      <c r="AA118" t="s">
        <v>37</v>
      </c>
    </row>
    <row r="119" spans="1:27" x14ac:dyDescent="0.3">
      <c r="A119" t="s">
        <v>209</v>
      </c>
      <c r="B119">
        <v>15</v>
      </c>
      <c r="C119" t="s">
        <v>28</v>
      </c>
      <c r="D119">
        <v>5.7</v>
      </c>
      <c r="E119" t="s">
        <v>54</v>
      </c>
      <c r="F119" t="s">
        <v>55</v>
      </c>
      <c r="G119" t="s">
        <v>71</v>
      </c>
      <c r="H119">
        <v>5.5</v>
      </c>
      <c r="I119" t="s">
        <v>51</v>
      </c>
      <c r="J119" t="s">
        <v>36</v>
      </c>
      <c r="K119" t="s">
        <v>34</v>
      </c>
      <c r="L119">
        <v>1.32</v>
      </c>
      <c r="N119" t="s">
        <v>35</v>
      </c>
      <c r="O119" t="s">
        <v>57</v>
      </c>
      <c r="P119" t="b">
        <v>0</v>
      </c>
      <c r="Q119" t="b">
        <v>1</v>
      </c>
      <c r="R119" t="b">
        <v>0</v>
      </c>
      <c r="S119" t="b">
        <v>1</v>
      </c>
      <c r="T119" t="b">
        <v>1</v>
      </c>
      <c r="U119">
        <v>3</v>
      </c>
      <c r="V119">
        <v>7.7</v>
      </c>
      <c r="W119">
        <v>4</v>
      </c>
      <c r="X119">
        <v>9.1</v>
      </c>
      <c r="Y119">
        <v>61.16</v>
      </c>
      <c r="Z119">
        <v>1</v>
      </c>
      <c r="AA119" t="s">
        <v>64</v>
      </c>
    </row>
    <row r="120" spans="1:27" x14ac:dyDescent="0.3">
      <c r="A120" t="s">
        <v>210</v>
      </c>
      <c r="B120">
        <v>16</v>
      </c>
      <c r="C120" t="s">
        <v>152</v>
      </c>
      <c r="D120">
        <v>0.9</v>
      </c>
      <c r="E120" t="s">
        <v>76</v>
      </c>
      <c r="F120" t="s">
        <v>110</v>
      </c>
      <c r="G120" t="s">
        <v>86</v>
      </c>
      <c r="H120">
        <v>8</v>
      </c>
      <c r="I120" t="s">
        <v>41</v>
      </c>
      <c r="J120" t="s">
        <v>33</v>
      </c>
      <c r="K120" t="s">
        <v>43</v>
      </c>
      <c r="L120">
        <v>1.75</v>
      </c>
      <c r="N120" t="s">
        <v>56</v>
      </c>
      <c r="O120" t="s">
        <v>33</v>
      </c>
      <c r="P120" t="b">
        <v>0</v>
      </c>
      <c r="Q120" t="b">
        <v>0</v>
      </c>
      <c r="R120" t="b">
        <v>0</v>
      </c>
      <c r="S120" t="b">
        <v>0</v>
      </c>
      <c r="T120" t="b">
        <v>0</v>
      </c>
      <c r="U120">
        <v>0.4</v>
      </c>
      <c r="V120">
        <v>10.8</v>
      </c>
      <c r="W120">
        <v>1</v>
      </c>
      <c r="X120">
        <v>15.2</v>
      </c>
      <c r="Y120">
        <v>35.369999999999997</v>
      </c>
      <c r="Z120">
        <v>1</v>
      </c>
      <c r="AA120" t="s">
        <v>46</v>
      </c>
    </row>
    <row r="121" spans="1:27" x14ac:dyDescent="0.3">
      <c r="A121" t="s">
        <v>211</v>
      </c>
      <c r="B121">
        <v>19</v>
      </c>
      <c r="C121" t="s">
        <v>28</v>
      </c>
      <c r="D121">
        <v>4.8</v>
      </c>
      <c r="E121" t="s">
        <v>29</v>
      </c>
      <c r="F121" t="s">
        <v>30</v>
      </c>
      <c r="G121" t="s">
        <v>71</v>
      </c>
      <c r="H121">
        <v>6.3</v>
      </c>
      <c r="I121" t="s">
        <v>51</v>
      </c>
      <c r="J121" t="s">
        <v>33</v>
      </c>
      <c r="K121" t="s">
        <v>62</v>
      </c>
      <c r="L121">
        <v>2.86</v>
      </c>
      <c r="M121">
        <v>6</v>
      </c>
      <c r="N121" t="s">
        <v>66</v>
      </c>
      <c r="O121" t="s">
        <v>45</v>
      </c>
      <c r="P121" t="b">
        <v>0</v>
      </c>
      <c r="Q121" t="b">
        <v>0</v>
      </c>
      <c r="R121" t="b">
        <v>0</v>
      </c>
      <c r="S121" t="b">
        <v>1</v>
      </c>
      <c r="T121" t="b">
        <v>0</v>
      </c>
      <c r="U121">
        <v>3</v>
      </c>
      <c r="V121">
        <v>6.9</v>
      </c>
      <c r="W121">
        <v>4</v>
      </c>
      <c r="X121">
        <v>9.9</v>
      </c>
      <c r="Y121">
        <v>29.59</v>
      </c>
      <c r="Z121">
        <v>1</v>
      </c>
      <c r="AA121" t="s">
        <v>46</v>
      </c>
    </row>
    <row r="122" spans="1:27" x14ac:dyDescent="0.3">
      <c r="A122" t="s">
        <v>212</v>
      </c>
      <c r="B122">
        <v>23</v>
      </c>
      <c r="C122" t="s">
        <v>28</v>
      </c>
      <c r="D122">
        <v>11.8</v>
      </c>
      <c r="E122" t="s">
        <v>60</v>
      </c>
      <c r="F122" t="s">
        <v>200</v>
      </c>
      <c r="G122" t="s">
        <v>31</v>
      </c>
      <c r="H122">
        <v>3.8</v>
      </c>
      <c r="I122" t="s">
        <v>32</v>
      </c>
      <c r="J122" t="s">
        <v>45</v>
      </c>
      <c r="K122" t="s">
        <v>51</v>
      </c>
      <c r="M122">
        <v>6</v>
      </c>
      <c r="N122" t="s">
        <v>69</v>
      </c>
      <c r="O122" t="s">
        <v>33</v>
      </c>
      <c r="P122" t="b">
        <v>1</v>
      </c>
      <c r="Q122" t="b">
        <v>0</v>
      </c>
      <c r="R122" t="b">
        <v>0</v>
      </c>
      <c r="S122" t="b">
        <v>1</v>
      </c>
      <c r="T122" t="b">
        <v>1</v>
      </c>
      <c r="U122">
        <v>6.1</v>
      </c>
      <c r="V122">
        <v>5.4</v>
      </c>
      <c r="W122">
        <v>8</v>
      </c>
      <c r="X122">
        <v>2.5</v>
      </c>
      <c r="Y122">
        <v>391.88</v>
      </c>
      <c r="Z122">
        <v>1</v>
      </c>
      <c r="AA122" t="s">
        <v>58</v>
      </c>
    </row>
    <row r="123" spans="1:27" x14ac:dyDescent="0.3">
      <c r="A123" t="s">
        <v>213</v>
      </c>
      <c r="B123">
        <v>17</v>
      </c>
      <c r="C123" t="s">
        <v>28</v>
      </c>
      <c r="D123">
        <v>6</v>
      </c>
      <c r="E123" t="s">
        <v>48</v>
      </c>
      <c r="F123" t="s">
        <v>214</v>
      </c>
      <c r="G123" t="s">
        <v>86</v>
      </c>
      <c r="H123">
        <v>6.7</v>
      </c>
      <c r="I123" t="s">
        <v>51</v>
      </c>
      <c r="J123" t="s">
        <v>33</v>
      </c>
      <c r="K123" t="s">
        <v>84</v>
      </c>
      <c r="L123">
        <v>3.71</v>
      </c>
      <c r="N123" t="s">
        <v>63</v>
      </c>
      <c r="O123" t="s">
        <v>45</v>
      </c>
      <c r="P123" t="b">
        <v>0</v>
      </c>
      <c r="Q123" t="b">
        <v>1</v>
      </c>
      <c r="R123" t="b">
        <v>0</v>
      </c>
      <c r="S123" t="b">
        <v>1</v>
      </c>
      <c r="T123" t="b">
        <v>1</v>
      </c>
      <c r="U123">
        <v>2.2000000000000002</v>
      </c>
      <c r="V123">
        <v>7.6</v>
      </c>
      <c r="W123">
        <v>5</v>
      </c>
      <c r="X123">
        <v>10.4</v>
      </c>
      <c r="Y123">
        <v>147.47</v>
      </c>
      <c r="Z123">
        <v>7</v>
      </c>
      <c r="AA123" t="s">
        <v>64</v>
      </c>
    </row>
    <row r="124" spans="1:27" x14ac:dyDescent="0.3">
      <c r="A124" t="s">
        <v>215</v>
      </c>
      <c r="B124">
        <v>18</v>
      </c>
      <c r="C124" t="s">
        <v>28</v>
      </c>
      <c r="D124">
        <v>2.6</v>
      </c>
      <c r="E124" t="s">
        <v>39</v>
      </c>
      <c r="F124" t="s">
        <v>120</v>
      </c>
      <c r="G124" t="s">
        <v>50</v>
      </c>
      <c r="H124">
        <v>7.3</v>
      </c>
      <c r="I124" t="s">
        <v>41</v>
      </c>
      <c r="J124" t="s">
        <v>45</v>
      </c>
      <c r="K124" t="s">
        <v>43</v>
      </c>
      <c r="L124">
        <v>1.1000000000000001</v>
      </c>
      <c r="N124" t="s">
        <v>66</v>
      </c>
      <c r="O124" t="s">
        <v>36</v>
      </c>
      <c r="P124" t="b">
        <v>0</v>
      </c>
      <c r="Q124" t="b">
        <v>0</v>
      </c>
      <c r="R124" t="b">
        <v>0</v>
      </c>
      <c r="S124" t="b">
        <v>0</v>
      </c>
      <c r="T124" t="b">
        <v>0</v>
      </c>
      <c r="U124">
        <v>0.9</v>
      </c>
      <c r="V124">
        <v>7.8</v>
      </c>
      <c r="W124">
        <v>2</v>
      </c>
      <c r="X124">
        <v>12.6</v>
      </c>
      <c r="Y124">
        <v>37.299999999999997</v>
      </c>
      <c r="Z124">
        <v>1</v>
      </c>
      <c r="AA124" t="s">
        <v>46</v>
      </c>
    </row>
    <row r="125" spans="1:27" x14ac:dyDescent="0.3">
      <c r="A125" t="s">
        <v>216</v>
      </c>
      <c r="B125">
        <v>14</v>
      </c>
      <c r="C125" t="s">
        <v>53</v>
      </c>
      <c r="D125">
        <v>7.7</v>
      </c>
      <c r="E125" t="s">
        <v>54</v>
      </c>
      <c r="F125" t="s">
        <v>55</v>
      </c>
      <c r="G125" t="s">
        <v>50</v>
      </c>
      <c r="H125">
        <v>5.6</v>
      </c>
      <c r="I125" t="s">
        <v>51</v>
      </c>
      <c r="J125" t="s">
        <v>36</v>
      </c>
      <c r="K125" t="s">
        <v>51</v>
      </c>
      <c r="L125">
        <v>1.96</v>
      </c>
      <c r="N125" t="s">
        <v>80</v>
      </c>
      <c r="O125" t="s">
        <v>36</v>
      </c>
      <c r="P125" t="b">
        <v>1</v>
      </c>
      <c r="Q125" t="b">
        <v>1</v>
      </c>
      <c r="R125" t="b">
        <v>0</v>
      </c>
      <c r="S125" t="b">
        <v>1</v>
      </c>
      <c r="T125" t="b">
        <v>1</v>
      </c>
      <c r="U125">
        <v>3.8</v>
      </c>
      <c r="V125">
        <v>6.5</v>
      </c>
      <c r="W125">
        <v>5</v>
      </c>
      <c r="X125">
        <v>8.1</v>
      </c>
      <c r="Y125">
        <v>25.58</v>
      </c>
      <c r="Z125">
        <v>2</v>
      </c>
      <c r="AA125" t="s">
        <v>58</v>
      </c>
    </row>
    <row r="126" spans="1:27" x14ac:dyDescent="0.3">
      <c r="A126" t="s">
        <v>217</v>
      </c>
      <c r="B126">
        <v>20</v>
      </c>
      <c r="C126" t="s">
        <v>53</v>
      </c>
      <c r="D126">
        <v>10</v>
      </c>
      <c r="E126" t="s">
        <v>76</v>
      </c>
      <c r="F126" t="s">
        <v>77</v>
      </c>
      <c r="G126" t="s">
        <v>71</v>
      </c>
      <c r="H126">
        <v>5.5</v>
      </c>
      <c r="I126" t="s">
        <v>43</v>
      </c>
      <c r="J126" t="s">
        <v>74</v>
      </c>
      <c r="K126" t="s">
        <v>51</v>
      </c>
      <c r="L126">
        <v>2.19</v>
      </c>
      <c r="M126">
        <v>4</v>
      </c>
      <c r="N126" t="s">
        <v>56</v>
      </c>
      <c r="O126" t="s">
        <v>33</v>
      </c>
      <c r="P126" t="b">
        <v>1</v>
      </c>
      <c r="Q126" t="b">
        <v>0</v>
      </c>
      <c r="R126" t="b">
        <v>1</v>
      </c>
      <c r="S126" t="b">
        <v>0</v>
      </c>
      <c r="T126" t="b">
        <v>0</v>
      </c>
      <c r="U126">
        <v>4.4000000000000004</v>
      </c>
      <c r="V126">
        <v>3.6</v>
      </c>
      <c r="W126">
        <v>6</v>
      </c>
      <c r="X126">
        <v>2</v>
      </c>
      <c r="Y126">
        <v>358.72</v>
      </c>
      <c r="Z126">
        <v>5</v>
      </c>
      <c r="AA126" t="s">
        <v>37</v>
      </c>
    </row>
    <row r="127" spans="1:27" x14ac:dyDescent="0.3">
      <c r="A127" t="s">
        <v>218</v>
      </c>
      <c r="B127">
        <v>19</v>
      </c>
      <c r="C127" t="s">
        <v>28</v>
      </c>
      <c r="D127">
        <v>5</v>
      </c>
      <c r="E127" t="s">
        <v>29</v>
      </c>
      <c r="F127" t="s">
        <v>30</v>
      </c>
      <c r="G127" t="s">
        <v>50</v>
      </c>
      <c r="H127">
        <v>6.7</v>
      </c>
      <c r="I127" t="s">
        <v>51</v>
      </c>
      <c r="J127" t="s">
        <v>74</v>
      </c>
      <c r="K127" t="s">
        <v>43</v>
      </c>
      <c r="L127">
        <v>1.1100000000000001</v>
      </c>
      <c r="M127">
        <v>10</v>
      </c>
      <c r="N127" t="s">
        <v>66</v>
      </c>
      <c r="O127" t="s">
        <v>33</v>
      </c>
      <c r="P127" t="b">
        <v>0</v>
      </c>
      <c r="Q127" t="b">
        <v>0</v>
      </c>
      <c r="R127" t="b">
        <v>0</v>
      </c>
      <c r="S127" t="b">
        <v>1</v>
      </c>
      <c r="T127" t="b">
        <v>0</v>
      </c>
      <c r="U127">
        <v>1.5</v>
      </c>
      <c r="V127">
        <v>8.9</v>
      </c>
      <c r="W127">
        <v>3</v>
      </c>
      <c r="X127">
        <v>11.8</v>
      </c>
      <c r="Y127">
        <v>143.86000000000001</v>
      </c>
      <c r="Z127">
        <v>9</v>
      </c>
      <c r="AA127" t="s">
        <v>46</v>
      </c>
    </row>
    <row r="128" spans="1:27" x14ac:dyDescent="0.3">
      <c r="A128" t="s">
        <v>219</v>
      </c>
      <c r="B128">
        <v>22</v>
      </c>
      <c r="C128" t="s">
        <v>28</v>
      </c>
      <c r="D128">
        <v>5.6</v>
      </c>
      <c r="E128" t="s">
        <v>60</v>
      </c>
      <c r="F128" t="s">
        <v>96</v>
      </c>
      <c r="G128" t="s">
        <v>71</v>
      </c>
      <c r="H128">
        <v>5.0999999999999996</v>
      </c>
      <c r="I128" t="s">
        <v>51</v>
      </c>
      <c r="J128" t="s">
        <v>42</v>
      </c>
      <c r="K128" t="s">
        <v>34</v>
      </c>
      <c r="L128">
        <v>1.69</v>
      </c>
      <c r="M128">
        <v>4</v>
      </c>
      <c r="N128" t="s">
        <v>35</v>
      </c>
      <c r="O128" t="s">
        <v>57</v>
      </c>
      <c r="P128" t="b">
        <v>0</v>
      </c>
      <c r="Q128" t="b">
        <v>0</v>
      </c>
      <c r="R128" t="b">
        <v>0</v>
      </c>
      <c r="S128" t="b">
        <v>0</v>
      </c>
      <c r="T128" t="b">
        <v>0</v>
      </c>
      <c r="U128">
        <v>4.4000000000000004</v>
      </c>
      <c r="V128">
        <v>8.3000000000000007</v>
      </c>
      <c r="W128">
        <v>5</v>
      </c>
      <c r="X128">
        <v>5.7</v>
      </c>
      <c r="Y128">
        <v>44.63</v>
      </c>
      <c r="Z128">
        <v>1</v>
      </c>
      <c r="AA128" t="s">
        <v>46</v>
      </c>
    </row>
    <row r="129" spans="1:27" x14ac:dyDescent="0.3">
      <c r="A129" t="s">
        <v>220</v>
      </c>
      <c r="B129">
        <v>19</v>
      </c>
      <c r="C129" t="s">
        <v>53</v>
      </c>
      <c r="D129">
        <v>4.3</v>
      </c>
      <c r="E129" t="s">
        <v>76</v>
      </c>
      <c r="F129" t="s">
        <v>110</v>
      </c>
      <c r="G129" t="s">
        <v>71</v>
      </c>
      <c r="H129">
        <v>6.7</v>
      </c>
      <c r="I129" t="s">
        <v>32</v>
      </c>
      <c r="J129" t="s">
        <v>33</v>
      </c>
      <c r="K129" t="s">
        <v>62</v>
      </c>
      <c r="L129">
        <v>3.31</v>
      </c>
      <c r="M129">
        <v>8</v>
      </c>
      <c r="N129" t="s">
        <v>66</v>
      </c>
      <c r="O129" t="s">
        <v>36</v>
      </c>
      <c r="P129" t="b">
        <v>0</v>
      </c>
      <c r="Q129" t="b">
        <v>0</v>
      </c>
      <c r="R129" t="b">
        <v>0</v>
      </c>
      <c r="S129" t="b">
        <v>0</v>
      </c>
      <c r="T129" t="b">
        <v>0</v>
      </c>
      <c r="U129">
        <v>1.5</v>
      </c>
      <c r="V129">
        <v>9.6</v>
      </c>
      <c r="W129">
        <v>2</v>
      </c>
      <c r="X129">
        <v>13</v>
      </c>
      <c r="Y129">
        <v>48</v>
      </c>
      <c r="Z129">
        <v>6</v>
      </c>
      <c r="AA129" t="s">
        <v>46</v>
      </c>
    </row>
    <row r="130" spans="1:27" x14ac:dyDescent="0.3">
      <c r="A130" t="s">
        <v>221</v>
      </c>
      <c r="B130">
        <v>35</v>
      </c>
      <c r="C130" t="s">
        <v>28</v>
      </c>
      <c r="D130">
        <v>3.1</v>
      </c>
      <c r="E130" t="s">
        <v>39</v>
      </c>
      <c r="F130" t="s">
        <v>93</v>
      </c>
      <c r="G130" t="s">
        <v>71</v>
      </c>
      <c r="H130">
        <v>7.6</v>
      </c>
      <c r="I130" t="s">
        <v>43</v>
      </c>
      <c r="J130" t="s">
        <v>74</v>
      </c>
      <c r="K130" t="s">
        <v>34</v>
      </c>
      <c r="M130">
        <v>9</v>
      </c>
      <c r="N130" t="s">
        <v>121</v>
      </c>
      <c r="O130" t="s">
        <v>57</v>
      </c>
      <c r="P130" t="b">
        <v>0</v>
      </c>
      <c r="Q130" t="b">
        <v>0</v>
      </c>
      <c r="R130" t="b">
        <v>0</v>
      </c>
      <c r="S130" t="b">
        <v>0</v>
      </c>
      <c r="T130" t="b">
        <v>0</v>
      </c>
      <c r="U130">
        <v>1.8</v>
      </c>
      <c r="V130">
        <v>7.8</v>
      </c>
      <c r="W130">
        <v>3</v>
      </c>
      <c r="X130">
        <v>8.6999999999999993</v>
      </c>
      <c r="Y130">
        <v>27.92</v>
      </c>
      <c r="Z130">
        <v>15</v>
      </c>
      <c r="AA130" t="s">
        <v>46</v>
      </c>
    </row>
    <row r="131" spans="1:27" x14ac:dyDescent="0.3">
      <c r="A131" t="s">
        <v>222</v>
      </c>
      <c r="B131">
        <v>18</v>
      </c>
      <c r="C131" t="s">
        <v>53</v>
      </c>
      <c r="D131">
        <v>3.6</v>
      </c>
      <c r="E131" t="s">
        <v>29</v>
      </c>
      <c r="F131" t="s">
        <v>30</v>
      </c>
      <c r="G131" t="s">
        <v>71</v>
      </c>
      <c r="H131">
        <v>6.3</v>
      </c>
      <c r="I131" t="s">
        <v>41</v>
      </c>
      <c r="J131" t="s">
        <v>36</v>
      </c>
      <c r="K131" t="s">
        <v>34</v>
      </c>
      <c r="L131">
        <v>1.74</v>
      </c>
      <c r="N131" t="s">
        <v>105</v>
      </c>
      <c r="O131" t="s">
        <v>45</v>
      </c>
      <c r="P131" t="b">
        <v>0</v>
      </c>
      <c r="Q131" t="b">
        <v>0</v>
      </c>
      <c r="R131" t="b">
        <v>0</v>
      </c>
      <c r="S131" t="b">
        <v>0</v>
      </c>
      <c r="T131" t="b">
        <v>0</v>
      </c>
      <c r="U131">
        <v>0.7</v>
      </c>
      <c r="V131">
        <v>6</v>
      </c>
      <c r="W131">
        <v>2</v>
      </c>
      <c r="X131">
        <v>8.6999999999999993</v>
      </c>
      <c r="Y131">
        <v>13.53</v>
      </c>
      <c r="Z131">
        <v>3</v>
      </c>
      <c r="AA131" t="s">
        <v>46</v>
      </c>
    </row>
    <row r="132" spans="1:27" x14ac:dyDescent="0.3">
      <c r="A132" t="s">
        <v>223</v>
      </c>
      <c r="B132">
        <v>20</v>
      </c>
      <c r="C132" t="s">
        <v>53</v>
      </c>
      <c r="D132">
        <v>6.9</v>
      </c>
      <c r="E132" t="s">
        <v>54</v>
      </c>
      <c r="F132" t="s">
        <v>98</v>
      </c>
      <c r="G132" t="s">
        <v>50</v>
      </c>
      <c r="H132">
        <v>4.9000000000000004</v>
      </c>
      <c r="I132" t="s">
        <v>43</v>
      </c>
      <c r="J132" t="s">
        <v>45</v>
      </c>
      <c r="K132" t="s">
        <v>43</v>
      </c>
      <c r="L132">
        <v>3.11</v>
      </c>
      <c r="M132">
        <v>10</v>
      </c>
      <c r="N132" t="s">
        <v>35</v>
      </c>
      <c r="O132" t="s">
        <v>57</v>
      </c>
      <c r="P132" t="b">
        <v>0</v>
      </c>
      <c r="Q132" t="b">
        <v>0</v>
      </c>
      <c r="R132" t="b">
        <v>0</v>
      </c>
      <c r="S132" t="b">
        <v>1</v>
      </c>
      <c r="T132" t="b">
        <v>1</v>
      </c>
      <c r="U132">
        <v>1</v>
      </c>
      <c r="V132">
        <v>6.9</v>
      </c>
      <c r="W132">
        <v>4</v>
      </c>
      <c r="X132">
        <v>6.5</v>
      </c>
      <c r="Y132">
        <v>22.1</v>
      </c>
      <c r="Z132">
        <v>10</v>
      </c>
      <c r="AA132" t="s">
        <v>46</v>
      </c>
    </row>
    <row r="133" spans="1:27" x14ac:dyDescent="0.3">
      <c r="A133" t="s">
        <v>224</v>
      </c>
      <c r="B133">
        <v>16</v>
      </c>
      <c r="C133" t="s">
        <v>28</v>
      </c>
      <c r="D133">
        <v>5.2</v>
      </c>
      <c r="E133" t="s">
        <v>29</v>
      </c>
      <c r="F133" t="s">
        <v>30</v>
      </c>
      <c r="G133" t="s">
        <v>31</v>
      </c>
      <c r="H133">
        <v>5.7</v>
      </c>
      <c r="I133" t="s">
        <v>41</v>
      </c>
      <c r="J133" t="s">
        <v>33</v>
      </c>
      <c r="K133" t="s">
        <v>62</v>
      </c>
      <c r="L133">
        <v>1.03</v>
      </c>
      <c r="N133" t="s">
        <v>35</v>
      </c>
      <c r="O133" t="s">
        <v>36</v>
      </c>
      <c r="P133" t="b">
        <v>0</v>
      </c>
      <c r="Q133" t="b">
        <v>0</v>
      </c>
      <c r="R133" t="b">
        <v>0</v>
      </c>
      <c r="S133" t="b">
        <v>1</v>
      </c>
      <c r="T133" t="b">
        <v>0</v>
      </c>
      <c r="U133">
        <v>0.4</v>
      </c>
      <c r="V133">
        <v>9.1</v>
      </c>
      <c r="W133">
        <v>2</v>
      </c>
      <c r="X133">
        <v>6.7</v>
      </c>
      <c r="Y133">
        <v>20.36</v>
      </c>
      <c r="Z133">
        <v>4</v>
      </c>
      <c r="AA133" t="s">
        <v>46</v>
      </c>
    </row>
    <row r="134" spans="1:27" x14ac:dyDescent="0.3">
      <c r="A134" t="s">
        <v>225</v>
      </c>
      <c r="B134">
        <v>13</v>
      </c>
      <c r="C134" t="s">
        <v>28</v>
      </c>
      <c r="D134">
        <v>4</v>
      </c>
      <c r="E134" t="s">
        <v>60</v>
      </c>
      <c r="F134" t="s">
        <v>102</v>
      </c>
      <c r="G134" t="s">
        <v>71</v>
      </c>
      <c r="H134">
        <v>5.0999999999999996</v>
      </c>
      <c r="I134" t="s">
        <v>51</v>
      </c>
      <c r="J134" t="s">
        <v>74</v>
      </c>
      <c r="K134" t="s">
        <v>62</v>
      </c>
      <c r="L134">
        <v>1.42</v>
      </c>
      <c r="N134" t="s">
        <v>35</v>
      </c>
      <c r="O134" t="s">
        <v>57</v>
      </c>
      <c r="P134" t="b">
        <v>0</v>
      </c>
      <c r="Q134" t="b">
        <v>0</v>
      </c>
      <c r="R134" t="b">
        <v>0</v>
      </c>
      <c r="S134" t="b">
        <v>0</v>
      </c>
      <c r="T134" t="b">
        <v>0</v>
      </c>
      <c r="U134">
        <v>0.4</v>
      </c>
      <c r="V134">
        <v>6.4</v>
      </c>
      <c r="W134">
        <v>2</v>
      </c>
      <c r="X134">
        <v>12.1</v>
      </c>
      <c r="Y134">
        <v>27.46</v>
      </c>
      <c r="Z134">
        <v>1</v>
      </c>
      <c r="AA134" t="s">
        <v>46</v>
      </c>
    </row>
    <row r="135" spans="1:27" x14ac:dyDescent="0.3">
      <c r="A135" t="s">
        <v>226</v>
      </c>
      <c r="B135">
        <v>26</v>
      </c>
      <c r="C135" t="s">
        <v>28</v>
      </c>
      <c r="D135">
        <v>8.3000000000000007</v>
      </c>
      <c r="E135" t="s">
        <v>54</v>
      </c>
      <c r="F135" t="s">
        <v>89</v>
      </c>
      <c r="G135" t="s">
        <v>50</v>
      </c>
      <c r="H135">
        <v>5.4</v>
      </c>
      <c r="I135" t="s">
        <v>51</v>
      </c>
      <c r="J135" t="s">
        <v>45</v>
      </c>
      <c r="K135" t="s">
        <v>62</v>
      </c>
      <c r="M135">
        <v>4</v>
      </c>
      <c r="N135" t="s">
        <v>56</v>
      </c>
      <c r="O135" t="s">
        <v>36</v>
      </c>
      <c r="P135" t="b">
        <v>0</v>
      </c>
      <c r="Q135" t="b">
        <v>1</v>
      </c>
      <c r="R135" t="b">
        <v>1</v>
      </c>
      <c r="S135" t="b">
        <v>1</v>
      </c>
      <c r="T135" t="b">
        <v>0</v>
      </c>
      <c r="U135">
        <v>4.4000000000000004</v>
      </c>
      <c r="V135">
        <v>7.6</v>
      </c>
      <c r="W135">
        <v>5</v>
      </c>
      <c r="X135">
        <v>3.5</v>
      </c>
      <c r="Y135">
        <v>49.13</v>
      </c>
      <c r="Z135">
        <v>1</v>
      </c>
      <c r="AA135" t="s">
        <v>58</v>
      </c>
    </row>
    <row r="136" spans="1:27" x14ac:dyDescent="0.3">
      <c r="A136" t="s">
        <v>227</v>
      </c>
      <c r="B136">
        <v>16</v>
      </c>
      <c r="C136" t="s">
        <v>53</v>
      </c>
      <c r="D136">
        <v>3.6</v>
      </c>
      <c r="E136" t="s">
        <v>82</v>
      </c>
      <c r="F136" t="s">
        <v>167</v>
      </c>
      <c r="G136" t="s">
        <v>86</v>
      </c>
      <c r="H136">
        <v>5.5</v>
      </c>
      <c r="I136" t="s">
        <v>32</v>
      </c>
      <c r="J136" t="s">
        <v>74</v>
      </c>
      <c r="K136" t="s">
        <v>43</v>
      </c>
      <c r="L136">
        <v>4</v>
      </c>
      <c r="N136" t="s">
        <v>69</v>
      </c>
      <c r="O136" t="s">
        <v>57</v>
      </c>
      <c r="P136" t="b">
        <v>0</v>
      </c>
      <c r="Q136" t="b">
        <v>0</v>
      </c>
      <c r="R136" t="b">
        <v>0</v>
      </c>
      <c r="S136" t="b">
        <v>0</v>
      </c>
      <c r="T136" t="b">
        <v>0</v>
      </c>
      <c r="U136">
        <v>0.6</v>
      </c>
      <c r="V136">
        <v>9.8000000000000007</v>
      </c>
      <c r="W136">
        <v>3</v>
      </c>
      <c r="X136">
        <v>10.199999999999999</v>
      </c>
      <c r="Y136">
        <v>20.78</v>
      </c>
      <c r="Z136">
        <v>4</v>
      </c>
      <c r="AA136" t="s">
        <v>46</v>
      </c>
    </row>
    <row r="137" spans="1:27" x14ac:dyDescent="0.3">
      <c r="A137" t="s">
        <v>228</v>
      </c>
      <c r="B137">
        <v>24</v>
      </c>
      <c r="C137" t="s">
        <v>28</v>
      </c>
      <c r="D137">
        <v>7.9</v>
      </c>
      <c r="E137" t="s">
        <v>76</v>
      </c>
      <c r="F137" t="s">
        <v>77</v>
      </c>
      <c r="G137" t="s">
        <v>71</v>
      </c>
      <c r="H137">
        <v>4.5999999999999996</v>
      </c>
      <c r="I137" t="s">
        <v>43</v>
      </c>
      <c r="J137" t="s">
        <v>45</v>
      </c>
      <c r="K137" t="s">
        <v>62</v>
      </c>
      <c r="M137">
        <v>2</v>
      </c>
      <c r="N137" t="s">
        <v>56</v>
      </c>
      <c r="O137" t="s">
        <v>42</v>
      </c>
      <c r="P137" t="b">
        <v>1</v>
      </c>
      <c r="Q137" t="b">
        <v>1</v>
      </c>
      <c r="R137" t="b">
        <v>0</v>
      </c>
      <c r="S137" t="b">
        <v>1</v>
      </c>
      <c r="T137" t="b">
        <v>1</v>
      </c>
      <c r="U137">
        <v>0.9</v>
      </c>
      <c r="V137">
        <v>5.3</v>
      </c>
      <c r="W137">
        <v>5</v>
      </c>
      <c r="X137">
        <v>5</v>
      </c>
      <c r="Y137">
        <v>30.7</v>
      </c>
      <c r="Z137">
        <v>11</v>
      </c>
      <c r="AA137" t="s">
        <v>58</v>
      </c>
    </row>
    <row r="138" spans="1:27" x14ac:dyDescent="0.3">
      <c r="A138" t="s">
        <v>229</v>
      </c>
      <c r="B138">
        <v>19</v>
      </c>
      <c r="C138" t="s">
        <v>28</v>
      </c>
      <c r="D138">
        <v>8</v>
      </c>
      <c r="E138" t="s">
        <v>54</v>
      </c>
      <c r="F138" t="s">
        <v>98</v>
      </c>
      <c r="G138" t="s">
        <v>71</v>
      </c>
      <c r="H138">
        <v>3.4</v>
      </c>
      <c r="I138" t="s">
        <v>51</v>
      </c>
      <c r="J138" t="s">
        <v>45</v>
      </c>
      <c r="K138" t="s">
        <v>34</v>
      </c>
      <c r="L138">
        <v>2.1</v>
      </c>
      <c r="M138">
        <v>4</v>
      </c>
      <c r="N138" t="s">
        <v>80</v>
      </c>
      <c r="O138" t="s">
        <v>45</v>
      </c>
      <c r="P138" t="b">
        <v>1</v>
      </c>
      <c r="Q138" t="b">
        <v>1</v>
      </c>
      <c r="R138" t="b">
        <v>1</v>
      </c>
      <c r="S138" t="b">
        <v>1</v>
      </c>
      <c r="T138" t="b">
        <v>0</v>
      </c>
      <c r="U138">
        <v>1.4</v>
      </c>
      <c r="V138">
        <v>4.0999999999999996</v>
      </c>
      <c r="W138">
        <v>7</v>
      </c>
      <c r="X138">
        <v>6.4</v>
      </c>
      <c r="Y138">
        <v>104.41</v>
      </c>
      <c r="Z138">
        <v>9</v>
      </c>
      <c r="AA138" t="s">
        <v>37</v>
      </c>
    </row>
    <row r="139" spans="1:27" x14ac:dyDescent="0.3">
      <c r="A139" t="s">
        <v>230</v>
      </c>
      <c r="B139">
        <v>19</v>
      </c>
      <c r="C139" t="s">
        <v>28</v>
      </c>
      <c r="D139">
        <v>9.3000000000000007</v>
      </c>
      <c r="E139" t="s">
        <v>29</v>
      </c>
      <c r="F139" t="s">
        <v>30</v>
      </c>
      <c r="G139" t="s">
        <v>50</v>
      </c>
      <c r="H139">
        <v>4.8</v>
      </c>
      <c r="I139" t="s">
        <v>32</v>
      </c>
      <c r="J139" t="s">
        <v>74</v>
      </c>
      <c r="K139" t="s">
        <v>34</v>
      </c>
      <c r="L139">
        <v>3.59</v>
      </c>
      <c r="M139">
        <v>2</v>
      </c>
      <c r="N139" t="s">
        <v>69</v>
      </c>
      <c r="O139" t="s">
        <v>33</v>
      </c>
      <c r="P139" t="b">
        <v>1</v>
      </c>
      <c r="Q139" t="b">
        <v>0</v>
      </c>
      <c r="R139" t="b">
        <v>1</v>
      </c>
      <c r="S139" t="b">
        <v>1</v>
      </c>
      <c r="T139" t="b">
        <v>1</v>
      </c>
      <c r="U139">
        <v>2.7</v>
      </c>
      <c r="V139">
        <v>4</v>
      </c>
      <c r="W139">
        <v>7</v>
      </c>
      <c r="X139">
        <v>5.7</v>
      </c>
      <c r="Y139">
        <v>113.26</v>
      </c>
      <c r="Z139">
        <v>2</v>
      </c>
      <c r="AA139" t="s">
        <v>37</v>
      </c>
    </row>
    <row r="140" spans="1:27" x14ac:dyDescent="0.3">
      <c r="A140" t="s">
        <v>231</v>
      </c>
      <c r="B140">
        <v>20</v>
      </c>
      <c r="C140" t="s">
        <v>28</v>
      </c>
      <c r="D140">
        <v>10.199999999999999</v>
      </c>
      <c r="E140" t="s">
        <v>54</v>
      </c>
      <c r="F140" t="s">
        <v>89</v>
      </c>
      <c r="G140" t="s">
        <v>86</v>
      </c>
      <c r="H140">
        <v>5.0999999999999996</v>
      </c>
      <c r="I140" t="s">
        <v>51</v>
      </c>
      <c r="J140" t="s">
        <v>36</v>
      </c>
      <c r="K140" t="s">
        <v>51</v>
      </c>
      <c r="L140">
        <v>3.47</v>
      </c>
      <c r="M140">
        <v>7</v>
      </c>
      <c r="N140" t="s">
        <v>44</v>
      </c>
      <c r="O140" t="s">
        <v>57</v>
      </c>
      <c r="P140" t="b">
        <v>0</v>
      </c>
      <c r="Q140" t="b">
        <v>0</v>
      </c>
      <c r="R140" t="b">
        <v>0</v>
      </c>
      <c r="S140" t="b">
        <v>0</v>
      </c>
      <c r="T140" t="b">
        <v>1</v>
      </c>
      <c r="U140">
        <v>1.8</v>
      </c>
      <c r="V140">
        <v>3</v>
      </c>
      <c r="W140">
        <v>7</v>
      </c>
      <c r="X140">
        <v>4.5</v>
      </c>
      <c r="Y140">
        <v>314.14</v>
      </c>
      <c r="Z140">
        <v>6</v>
      </c>
      <c r="AA140" t="s">
        <v>64</v>
      </c>
    </row>
    <row r="141" spans="1:27" x14ac:dyDescent="0.3">
      <c r="A141" t="s">
        <v>232</v>
      </c>
      <c r="B141">
        <v>24</v>
      </c>
      <c r="C141" t="s">
        <v>28</v>
      </c>
      <c r="D141">
        <v>7.2</v>
      </c>
      <c r="E141" t="s">
        <v>39</v>
      </c>
      <c r="F141" t="s">
        <v>40</v>
      </c>
      <c r="G141" t="s">
        <v>71</v>
      </c>
      <c r="H141">
        <v>4.5999999999999996</v>
      </c>
      <c r="I141" t="s">
        <v>78</v>
      </c>
      <c r="J141" t="s">
        <v>33</v>
      </c>
      <c r="K141" t="s">
        <v>51</v>
      </c>
      <c r="M141">
        <v>1</v>
      </c>
      <c r="N141" t="s">
        <v>80</v>
      </c>
      <c r="O141" t="s">
        <v>36</v>
      </c>
      <c r="P141" t="b">
        <v>1</v>
      </c>
      <c r="Q141" t="b">
        <v>1</v>
      </c>
      <c r="R141" t="b">
        <v>0</v>
      </c>
      <c r="S141" t="b">
        <v>1</v>
      </c>
      <c r="T141" t="b">
        <v>1</v>
      </c>
      <c r="U141">
        <v>3.4</v>
      </c>
      <c r="V141">
        <v>7.5</v>
      </c>
      <c r="W141">
        <v>5</v>
      </c>
      <c r="X141">
        <v>6.7</v>
      </c>
      <c r="Y141">
        <v>83.77</v>
      </c>
      <c r="Z141">
        <v>5</v>
      </c>
      <c r="AA141" t="s">
        <v>58</v>
      </c>
    </row>
    <row r="142" spans="1:27" x14ac:dyDescent="0.3">
      <c r="A142" t="s">
        <v>233</v>
      </c>
      <c r="B142">
        <v>15</v>
      </c>
      <c r="C142" t="s">
        <v>28</v>
      </c>
      <c r="D142">
        <v>7</v>
      </c>
      <c r="E142" t="s">
        <v>39</v>
      </c>
      <c r="F142" t="s">
        <v>93</v>
      </c>
      <c r="G142" t="s">
        <v>31</v>
      </c>
      <c r="H142">
        <v>4.7</v>
      </c>
      <c r="I142" t="s">
        <v>41</v>
      </c>
      <c r="J142" t="s">
        <v>36</v>
      </c>
      <c r="K142" t="s">
        <v>62</v>
      </c>
      <c r="L142">
        <v>1.91</v>
      </c>
      <c r="N142" t="s">
        <v>35</v>
      </c>
      <c r="O142" t="s">
        <v>36</v>
      </c>
      <c r="P142" t="b">
        <v>1</v>
      </c>
      <c r="Q142" t="b">
        <v>0</v>
      </c>
      <c r="R142" t="b">
        <v>0</v>
      </c>
      <c r="S142" t="b">
        <v>1</v>
      </c>
      <c r="T142" t="b">
        <v>1</v>
      </c>
      <c r="U142">
        <v>3.2</v>
      </c>
      <c r="V142">
        <v>6.3</v>
      </c>
      <c r="W142">
        <v>4</v>
      </c>
      <c r="X142">
        <v>8.9</v>
      </c>
      <c r="Y142">
        <v>80.95</v>
      </c>
      <c r="Z142">
        <v>4</v>
      </c>
      <c r="AA142" t="s">
        <v>64</v>
      </c>
    </row>
    <row r="143" spans="1:27" x14ac:dyDescent="0.3">
      <c r="A143" t="s">
        <v>234</v>
      </c>
      <c r="B143">
        <v>21</v>
      </c>
      <c r="C143" t="s">
        <v>28</v>
      </c>
      <c r="D143">
        <v>8.1999999999999993</v>
      </c>
      <c r="E143" t="s">
        <v>29</v>
      </c>
      <c r="F143" t="s">
        <v>30</v>
      </c>
      <c r="G143" t="s">
        <v>50</v>
      </c>
      <c r="H143">
        <v>3.7</v>
      </c>
      <c r="I143" t="s">
        <v>51</v>
      </c>
      <c r="J143" t="s">
        <v>45</v>
      </c>
      <c r="K143" t="s">
        <v>51</v>
      </c>
      <c r="L143">
        <v>1.78</v>
      </c>
      <c r="M143">
        <v>8</v>
      </c>
      <c r="N143" t="s">
        <v>63</v>
      </c>
      <c r="O143" t="s">
        <v>45</v>
      </c>
      <c r="P143" t="b">
        <v>1</v>
      </c>
      <c r="Q143" t="b">
        <v>0</v>
      </c>
      <c r="R143" t="b">
        <v>0</v>
      </c>
      <c r="S143" t="b">
        <v>1</v>
      </c>
      <c r="T143" t="b">
        <v>1</v>
      </c>
      <c r="U143">
        <v>0.8</v>
      </c>
      <c r="V143">
        <v>4</v>
      </c>
      <c r="W143">
        <v>4</v>
      </c>
      <c r="X143">
        <v>5.5</v>
      </c>
      <c r="Y143">
        <v>52.5</v>
      </c>
      <c r="Z143">
        <v>1</v>
      </c>
      <c r="AA143" t="s">
        <v>64</v>
      </c>
    </row>
    <row r="144" spans="1:27" x14ac:dyDescent="0.3">
      <c r="A144" t="s">
        <v>235</v>
      </c>
      <c r="B144">
        <v>22</v>
      </c>
      <c r="C144" t="s">
        <v>28</v>
      </c>
      <c r="D144">
        <v>4.4000000000000004</v>
      </c>
      <c r="E144" t="s">
        <v>48</v>
      </c>
      <c r="F144" t="s">
        <v>49</v>
      </c>
      <c r="G144" t="s">
        <v>86</v>
      </c>
      <c r="H144">
        <v>5.2</v>
      </c>
      <c r="I144" t="s">
        <v>51</v>
      </c>
      <c r="J144" t="s">
        <v>45</v>
      </c>
      <c r="K144" t="s">
        <v>43</v>
      </c>
      <c r="L144">
        <v>1.85</v>
      </c>
      <c r="M144">
        <v>7</v>
      </c>
      <c r="N144" t="s">
        <v>80</v>
      </c>
      <c r="O144" t="s">
        <v>36</v>
      </c>
      <c r="P144" t="b">
        <v>0</v>
      </c>
      <c r="Q144" t="b">
        <v>0</v>
      </c>
      <c r="R144" t="b">
        <v>0</v>
      </c>
      <c r="S144" t="b">
        <v>0</v>
      </c>
      <c r="T144" t="b">
        <v>0</v>
      </c>
      <c r="U144">
        <v>1.4</v>
      </c>
      <c r="V144">
        <v>9.3000000000000007</v>
      </c>
      <c r="W144">
        <v>3</v>
      </c>
      <c r="X144">
        <v>8</v>
      </c>
      <c r="Y144">
        <v>21.43</v>
      </c>
      <c r="Z144">
        <v>5</v>
      </c>
      <c r="AA144" t="s">
        <v>46</v>
      </c>
    </row>
    <row r="145" spans="1:27" x14ac:dyDescent="0.3">
      <c r="A145" t="s">
        <v>236</v>
      </c>
      <c r="B145">
        <v>20</v>
      </c>
      <c r="C145" t="s">
        <v>28</v>
      </c>
      <c r="D145">
        <v>5.8</v>
      </c>
      <c r="E145" t="s">
        <v>39</v>
      </c>
      <c r="F145" t="s">
        <v>93</v>
      </c>
      <c r="G145" t="s">
        <v>50</v>
      </c>
      <c r="H145">
        <v>6</v>
      </c>
      <c r="I145" t="s">
        <v>41</v>
      </c>
      <c r="J145" t="s">
        <v>33</v>
      </c>
      <c r="K145" t="s">
        <v>43</v>
      </c>
      <c r="L145">
        <v>1.08</v>
      </c>
      <c r="M145">
        <v>5</v>
      </c>
      <c r="N145" t="s">
        <v>66</v>
      </c>
      <c r="O145" t="s">
        <v>57</v>
      </c>
      <c r="P145" t="b">
        <v>0</v>
      </c>
      <c r="Q145" t="b">
        <v>1</v>
      </c>
      <c r="R145" t="b">
        <v>0</v>
      </c>
      <c r="S145" t="b">
        <v>0</v>
      </c>
      <c r="T145" t="b">
        <v>1</v>
      </c>
      <c r="U145">
        <v>2.6</v>
      </c>
      <c r="V145">
        <v>6</v>
      </c>
      <c r="W145">
        <v>5</v>
      </c>
      <c r="X145">
        <v>6.6</v>
      </c>
      <c r="Y145">
        <v>111.06</v>
      </c>
      <c r="Z145">
        <v>10</v>
      </c>
      <c r="AA145" t="s">
        <v>64</v>
      </c>
    </row>
    <row r="146" spans="1:27" x14ac:dyDescent="0.3">
      <c r="A146" t="s">
        <v>237</v>
      </c>
      <c r="B146">
        <v>21</v>
      </c>
      <c r="C146" t="s">
        <v>28</v>
      </c>
      <c r="D146">
        <v>9.6999999999999993</v>
      </c>
      <c r="E146" t="s">
        <v>60</v>
      </c>
      <c r="F146" t="s">
        <v>102</v>
      </c>
      <c r="G146" t="s">
        <v>86</v>
      </c>
      <c r="H146">
        <v>4.5</v>
      </c>
      <c r="I146" t="s">
        <v>78</v>
      </c>
      <c r="J146" t="s">
        <v>36</v>
      </c>
      <c r="K146" t="s">
        <v>34</v>
      </c>
      <c r="L146">
        <v>3.37</v>
      </c>
      <c r="M146">
        <v>8</v>
      </c>
      <c r="N146" t="s">
        <v>69</v>
      </c>
      <c r="O146" t="s">
        <v>33</v>
      </c>
      <c r="P146" t="b">
        <v>1</v>
      </c>
      <c r="Q146" t="b">
        <v>0</v>
      </c>
      <c r="R146" t="b">
        <v>0</v>
      </c>
      <c r="S146" t="b">
        <v>0</v>
      </c>
      <c r="T146" t="b">
        <v>0</v>
      </c>
      <c r="U146">
        <v>0.5</v>
      </c>
      <c r="V146">
        <v>3.7</v>
      </c>
      <c r="W146">
        <v>8</v>
      </c>
      <c r="X146">
        <v>2.5</v>
      </c>
      <c r="Y146">
        <v>276.24</v>
      </c>
      <c r="Z146">
        <v>7</v>
      </c>
      <c r="AA146" t="s">
        <v>58</v>
      </c>
    </row>
    <row r="147" spans="1:27" x14ac:dyDescent="0.3">
      <c r="A147" t="s">
        <v>238</v>
      </c>
      <c r="B147">
        <v>17</v>
      </c>
      <c r="C147" t="s">
        <v>152</v>
      </c>
      <c r="D147">
        <v>3.2</v>
      </c>
      <c r="E147" t="s">
        <v>39</v>
      </c>
      <c r="F147" t="s">
        <v>93</v>
      </c>
      <c r="G147" t="s">
        <v>86</v>
      </c>
      <c r="H147">
        <v>7.2</v>
      </c>
      <c r="I147" t="s">
        <v>41</v>
      </c>
      <c r="J147" t="s">
        <v>36</v>
      </c>
      <c r="K147" t="s">
        <v>62</v>
      </c>
      <c r="L147">
        <v>2.58</v>
      </c>
      <c r="N147" t="s">
        <v>66</v>
      </c>
      <c r="O147" t="s">
        <v>45</v>
      </c>
      <c r="P147" t="b">
        <v>0</v>
      </c>
      <c r="Q147" t="b">
        <v>0</v>
      </c>
      <c r="R147" t="b">
        <v>0</v>
      </c>
      <c r="S147" t="b">
        <v>0</v>
      </c>
      <c r="T147" t="b">
        <v>0</v>
      </c>
      <c r="U147">
        <v>1.5</v>
      </c>
      <c r="V147">
        <v>7.6</v>
      </c>
      <c r="W147">
        <v>1</v>
      </c>
      <c r="X147">
        <v>9.1999999999999993</v>
      </c>
      <c r="Y147">
        <v>39.130000000000003</v>
      </c>
      <c r="Z147">
        <v>2</v>
      </c>
      <c r="AA147" t="s">
        <v>46</v>
      </c>
    </row>
    <row r="148" spans="1:27" x14ac:dyDescent="0.3">
      <c r="A148" t="s">
        <v>239</v>
      </c>
      <c r="B148">
        <v>18</v>
      </c>
      <c r="C148" t="s">
        <v>28</v>
      </c>
      <c r="D148">
        <v>8.9</v>
      </c>
      <c r="E148" t="s">
        <v>82</v>
      </c>
      <c r="F148" t="s">
        <v>167</v>
      </c>
      <c r="G148" t="s">
        <v>71</v>
      </c>
      <c r="H148">
        <v>3.5</v>
      </c>
      <c r="I148" t="s">
        <v>43</v>
      </c>
      <c r="J148" t="s">
        <v>74</v>
      </c>
      <c r="K148" t="s">
        <v>43</v>
      </c>
      <c r="L148">
        <v>1.34</v>
      </c>
      <c r="N148" t="s">
        <v>63</v>
      </c>
      <c r="O148" t="s">
        <v>36</v>
      </c>
      <c r="P148" t="b">
        <v>1</v>
      </c>
      <c r="Q148" t="b">
        <v>0</v>
      </c>
      <c r="R148" t="b">
        <v>0</v>
      </c>
      <c r="S148" t="b">
        <v>1</v>
      </c>
      <c r="T148" t="b">
        <v>1</v>
      </c>
      <c r="U148">
        <v>2.7</v>
      </c>
      <c r="V148">
        <v>4.9000000000000004</v>
      </c>
      <c r="W148">
        <v>5</v>
      </c>
      <c r="X148">
        <v>5.0999999999999996</v>
      </c>
      <c r="Y148">
        <v>342.1</v>
      </c>
      <c r="Z148">
        <v>2</v>
      </c>
      <c r="AA148" t="s">
        <v>58</v>
      </c>
    </row>
    <row r="149" spans="1:27" x14ac:dyDescent="0.3">
      <c r="A149" t="s">
        <v>240</v>
      </c>
      <c r="B149">
        <v>30</v>
      </c>
      <c r="C149" t="s">
        <v>53</v>
      </c>
      <c r="D149">
        <v>6.6</v>
      </c>
      <c r="E149" t="s">
        <v>76</v>
      </c>
      <c r="F149" t="s">
        <v>77</v>
      </c>
      <c r="G149" t="s">
        <v>31</v>
      </c>
      <c r="H149">
        <v>5.2</v>
      </c>
      <c r="I149" t="s">
        <v>32</v>
      </c>
      <c r="J149" t="s">
        <v>42</v>
      </c>
      <c r="K149" t="s">
        <v>51</v>
      </c>
      <c r="M149">
        <v>7</v>
      </c>
      <c r="N149" t="s">
        <v>121</v>
      </c>
      <c r="O149" t="s">
        <v>36</v>
      </c>
      <c r="P149" t="b">
        <v>1</v>
      </c>
      <c r="Q149" t="b">
        <v>0</v>
      </c>
      <c r="R149" t="b">
        <v>0</v>
      </c>
      <c r="S149" t="b">
        <v>1</v>
      </c>
      <c r="T149" t="b">
        <v>1</v>
      </c>
      <c r="U149">
        <v>1.3</v>
      </c>
      <c r="V149">
        <v>6.5</v>
      </c>
      <c r="W149">
        <v>5</v>
      </c>
      <c r="X149">
        <v>6.8</v>
      </c>
      <c r="Y149">
        <v>11.24</v>
      </c>
      <c r="Z149">
        <v>15</v>
      </c>
      <c r="AA149" t="s">
        <v>64</v>
      </c>
    </row>
    <row r="150" spans="1:27" x14ac:dyDescent="0.3">
      <c r="A150" t="s">
        <v>241</v>
      </c>
      <c r="B150">
        <v>18</v>
      </c>
      <c r="C150" t="s">
        <v>28</v>
      </c>
      <c r="D150">
        <v>3.9</v>
      </c>
      <c r="E150" t="s">
        <v>54</v>
      </c>
      <c r="F150" t="s">
        <v>98</v>
      </c>
      <c r="G150" t="s">
        <v>50</v>
      </c>
      <c r="H150">
        <v>6.5</v>
      </c>
      <c r="I150" t="s">
        <v>51</v>
      </c>
      <c r="J150" t="s">
        <v>36</v>
      </c>
      <c r="K150" t="s">
        <v>34</v>
      </c>
      <c r="L150">
        <v>2.73</v>
      </c>
      <c r="N150" t="s">
        <v>66</v>
      </c>
      <c r="O150" t="s">
        <v>45</v>
      </c>
      <c r="P150" t="b">
        <v>0</v>
      </c>
      <c r="Q150" t="b">
        <v>0</v>
      </c>
      <c r="R150" t="b">
        <v>0</v>
      </c>
      <c r="S150" t="b">
        <v>0</v>
      </c>
      <c r="T150" t="b">
        <v>0</v>
      </c>
      <c r="U150">
        <v>0.3</v>
      </c>
      <c r="V150">
        <v>9.4</v>
      </c>
      <c r="W150">
        <v>3</v>
      </c>
      <c r="X150">
        <v>10.9</v>
      </c>
      <c r="Y150">
        <v>23.79</v>
      </c>
      <c r="Z150">
        <v>6</v>
      </c>
      <c r="AA150" t="s">
        <v>46</v>
      </c>
    </row>
    <row r="151" spans="1:27" x14ac:dyDescent="0.3">
      <c r="A151" t="s">
        <v>242</v>
      </c>
      <c r="B151">
        <v>19</v>
      </c>
      <c r="C151" t="s">
        <v>28</v>
      </c>
      <c r="D151">
        <v>10.4</v>
      </c>
      <c r="E151" t="s">
        <v>82</v>
      </c>
      <c r="F151" t="s">
        <v>83</v>
      </c>
      <c r="G151" t="s">
        <v>86</v>
      </c>
      <c r="H151">
        <v>5.0999999999999996</v>
      </c>
      <c r="I151" t="s">
        <v>32</v>
      </c>
      <c r="J151" t="s">
        <v>45</v>
      </c>
      <c r="K151" t="s">
        <v>129</v>
      </c>
      <c r="L151">
        <v>1.76</v>
      </c>
      <c r="M151">
        <v>3</v>
      </c>
      <c r="N151" t="s">
        <v>56</v>
      </c>
      <c r="O151" t="s">
        <v>33</v>
      </c>
      <c r="P151" t="b">
        <v>1</v>
      </c>
      <c r="Q151" t="b">
        <v>1</v>
      </c>
      <c r="R151" t="b">
        <v>0</v>
      </c>
      <c r="S151" t="b">
        <v>0</v>
      </c>
      <c r="T151" t="b">
        <v>1</v>
      </c>
      <c r="U151">
        <v>5</v>
      </c>
      <c r="V151">
        <v>5.6</v>
      </c>
      <c r="W151">
        <v>8</v>
      </c>
      <c r="X151">
        <v>5.9</v>
      </c>
      <c r="Y151">
        <v>412.09</v>
      </c>
      <c r="Z151">
        <v>5</v>
      </c>
      <c r="AA151" t="s">
        <v>37</v>
      </c>
    </row>
    <row r="152" spans="1:27" x14ac:dyDescent="0.3">
      <c r="A152" t="s">
        <v>243</v>
      </c>
      <c r="B152">
        <v>19</v>
      </c>
      <c r="C152" t="s">
        <v>28</v>
      </c>
      <c r="D152">
        <v>5.3</v>
      </c>
      <c r="E152" t="s">
        <v>39</v>
      </c>
      <c r="F152" t="s">
        <v>93</v>
      </c>
      <c r="G152" t="s">
        <v>50</v>
      </c>
      <c r="H152">
        <v>6.4</v>
      </c>
      <c r="I152" t="s">
        <v>51</v>
      </c>
      <c r="J152" t="s">
        <v>42</v>
      </c>
      <c r="K152" t="s">
        <v>62</v>
      </c>
      <c r="L152">
        <v>1.43</v>
      </c>
      <c r="M152">
        <v>8</v>
      </c>
      <c r="N152" t="s">
        <v>44</v>
      </c>
      <c r="O152" t="s">
        <v>36</v>
      </c>
      <c r="P152" t="b">
        <v>0</v>
      </c>
      <c r="Q152" t="b">
        <v>0</v>
      </c>
      <c r="R152" t="b">
        <v>0</v>
      </c>
      <c r="S152" t="b">
        <v>1</v>
      </c>
      <c r="T152" t="b">
        <v>0</v>
      </c>
      <c r="U152">
        <v>2.4</v>
      </c>
      <c r="V152">
        <v>7.9</v>
      </c>
      <c r="W152">
        <v>4</v>
      </c>
      <c r="X152">
        <v>9.6</v>
      </c>
      <c r="Y152">
        <v>39.82</v>
      </c>
      <c r="Z152">
        <v>1</v>
      </c>
      <c r="AA152" t="s">
        <v>46</v>
      </c>
    </row>
    <row r="153" spans="1:27" x14ac:dyDescent="0.3">
      <c r="A153" t="s">
        <v>244</v>
      </c>
      <c r="B153">
        <v>16</v>
      </c>
      <c r="C153" t="s">
        <v>28</v>
      </c>
      <c r="D153">
        <v>4.8</v>
      </c>
      <c r="E153" t="s">
        <v>39</v>
      </c>
      <c r="F153" t="s">
        <v>93</v>
      </c>
      <c r="G153" t="s">
        <v>71</v>
      </c>
      <c r="H153">
        <v>5.3</v>
      </c>
      <c r="I153" t="s">
        <v>41</v>
      </c>
      <c r="J153" t="s">
        <v>36</v>
      </c>
      <c r="K153" t="s">
        <v>84</v>
      </c>
      <c r="L153">
        <v>1.61</v>
      </c>
      <c r="N153" t="s">
        <v>105</v>
      </c>
      <c r="O153" t="s">
        <v>57</v>
      </c>
      <c r="P153" t="b">
        <v>0</v>
      </c>
      <c r="Q153" t="b">
        <v>0</v>
      </c>
      <c r="R153" t="b">
        <v>0</v>
      </c>
      <c r="S153" t="b">
        <v>1</v>
      </c>
      <c r="T153" t="b">
        <v>0</v>
      </c>
      <c r="U153">
        <v>0.9</v>
      </c>
      <c r="V153">
        <v>7.5</v>
      </c>
      <c r="W153">
        <v>4</v>
      </c>
      <c r="X153">
        <v>9.4</v>
      </c>
      <c r="Y153">
        <v>69.97</v>
      </c>
      <c r="Z153">
        <v>2</v>
      </c>
      <c r="AA153" t="s">
        <v>46</v>
      </c>
    </row>
    <row r="154" spans="1:27" x14ac:dyDescent="0.3">
      <c r="A154" t="s">
        <v>245</v>
      </c>
      <c r="B154">
        <v>16</v>
      </c>
      <c r="C154" t="s">
        <v>53</v>
      </c>
      <c r="D154">
        <v>6.4</v>
      </c>
      <c r="E154" t="s">
        <v>39</v>
      </c>
      <c r="F154" t="s">
        <v>120</v>
      </c>
      <c r="G154" t="s">
        <v>31</v>
      </c>
      <c r="H154">
        <v>5.4</v>
      </c>
      <c r="I154" t="s">
        <v>41</v>
      </c>
      <c r="J154" t="s">
        <v>42</v>
      </c>
      <c r="K154" t="s">
        <v>34</v>
      </c>
      <c r="L154">
        <v>3.34</v>
      </c>
      <c r="N154" t="s">
        <v>66</v>
      </c>
      <c r="O154" t="s">
        <v>45</v>
      </c>
      <c r="P154" t="b">
        <v>0</v>
      </c>
      <c r="Q154" t="b">
        <v>0</v>
      </c>
      <c r="R154" t="b">
        <v>0</v>
      </c>
      <c r="S154" t="b">
        <v>0</v>
      </c>
      <c r="T154" t="b">
        <v>0</v>
      </c>
      <c r="U154">
        <v>0.1</v>
      </c>
      <c r="V154">
        <v>8.3000000000000007</v>
      </c>
      <c r="W154">
        <v>3</v>
      </c>
      <c r="X154">
        <v>8</v>
      </c>
      <c r="Y154">
        <v>34.14</v>
      </c>
      <c r="Z154">
        <v>6</v>
      </c>
      <c r="AA154" t="s">
        <v>46</v>
      </c>
    </row>
    <row r="155" spans="1:27" x14ac:dyDescent="0.3">
      <c r="A155" t="s">
        <v>246</v>
      </c>
      <c r="B155">
        <v>17</v>
      </c>
      <c r="C155" t="s">
        <v>28</v>
      </c>
      <c r="D155">
        <v>10.6</v>
      </c>
      <c r="E155" t="s">
        <v>54</v>
      </c>
      <c r="F155" t="s">
        <v>89</v>
      </c>
      <c r="G155" t="s">
        <v>86</v>
      </c>
      <c r="H155">
        <v>4.0999999999999996</v>
      </c>
      <c r="I155" t="s">
        <v>78</v>
      </c>
      <c r="J155" t="s">
        <v>45</v>
      </c>
      <c r="K155" t="s">
        <v>51</v>
      </c>
      <c r="L155">
        <v>1.06</v>
      </c>
      <c r="N155" t="s">
        <v>63</v>
      </c>
      <c r="O155" t="s">
        <v>45</v>
      </c>
      <c r="P155" t="b">
        <v>0</v>
      </c>
      <c r="Q155" t="b">
        <v>1</v>
      </c>
      <c r="R155" t="b">
        <v>1</v>
      </c>
      <c r="S155" t="b">
        <v>0</v>
      </c>
      <c r="T155" t="b">
        <v>1</v>
      </c>
      <c r="U155">
        <v>1.8</v>
      </c>
      <c r="V155">
        <v>6.2</v>
      </c>
      <c r="W155">
        <v>8</v>
      </c>
      <c r="X155">
        <v>3</v>
      </c>
      <c r="Y155">
        <v>247.77</v>
      </c>
      <c r="Z155">
        <v>1</v>
      </c>
      <c r="AA155" t="s">
        <v>37</v>
      </c>
    </row>
    <row r="156" spans="1:27" x14ac:dyDescent="0.3">
      <c r="A156" t="s">
        <v>247</v>
      </c>
      <c r="B156">
        <v>17</v>
      </c>
      <c r="C156" t="s">
        <v>28</v>
      </c>
      <c r="D156">
        <v>6.7</v>
      </c>
      <c r="E156" t="s">
        <v>48</v>
      </c>
      <c r="F156" t="s">
        <v>68</v>
      </c>
      <c r="G156" t="s">
        <v>86</v>
      </c>
      <c r="H156">
        <v>5.3</v>
      </c>
      <c r="I156" t="s">
        <v>78</v>
      </c>
      <c r="J156" t="s">
        <v>45</v>
      </c>
      <c r="K156" t="s">
        <v>62</v>
      </c>
      <c r="L156">
        <v>1.21</v>
      </c>
      <c r="N156" t="s">
        <v>80</v>
      </c>
      <c r="O156" t="s">
        <v>36</v>
      </c>
      <c r="P156" t="b">
        <v>0</v>
      </c>
      <c r="Q156" t="b">
        <v>0</v>
      </c>
      <c r="R156" t="b">
        <v>0</v>
      </c>
      <c r="S156" t="b">
        <v>1</v>
      </c>
      <c r="T156" t="b">
        <v>1</v>
      </c>
      <c r="U156">
        <v>1.4</v>
      </c>
      <c r="V156">
        <v>8.1</v>
      </c>
      <c r="W156">
        <v>4</v>
      </c>
      <c r="X156">
        <v>8.6</v>
      </c>
      <c r="Y156">
        <v>34.130000000000003</v>
      </c>
      <c r="Z156">
        <v>1</v>
      </c>
      <c r="AA156" t="s">
        <v>46</v>
      </c>
    </row>
    <row r="157" spans="1:27" x14ac:dyDescent="0.3">
      <c r="A157" t="s">
        <v>248</v>
      </c>
      <c r="B157">
        <v>20</v>
      </c>
      <c r="C157" t="s">
        <v>28</v>
      </c>
      <c r="D157">
        <v>6.9</v>
      </c>
      <c r="E157" t="s">
        <v>60</v>
      </c>
      <c r="F157" t="s">
        <v>200</v>
      </c>
      <c r="G157" t="s">
        <v>71</v>
      </c>
      <c r="H157">
        <v>4.7</v>
      </c>
      <c r="I157" t="s">
        <v>78</v>
      </c>
      <c r="J157" t="s">
        <v>74</v>
      </c>
      <c r="K157" t="s">
        <v>34</v>
      </c>
      <c r="L157">
        <v>3.29</v>
      </c>
      <c r="M157">
        <v>2</v>
      </c>
      <c r="N157" t="s">
        <v>80</v>
      </c>
      <c r="O157" t="s">
        <v>33</v>
      </c>
      <c r="P157" t="b">
        <v>1</v>
      </c>
      <c r="Q157" t="b">
        <v>0</v>
      </c>
      <c r="R157" t="b">
        <v>0</v>
      </c>
      <c r="S157" t="b">
        <v>0</v>
      </c>
      <c r="T157" t="b">
        <v>0</v>
      </c>
      <c r="U157">
        <v>1.1000000000000001</v>
      </c>
      <c r="V157">
        <v>8</v>
      </c>
      <c r="W157">
        <v>4</v>
      </c>
      <c r="X157">
        <v>6.4</v>
      </c>
      <c r="Y157">
        <v>59.03</v>
      </c>
      <c r="Z157">
        <v>10</v>
      </c>
      <c r="AA157" t="s">
        <v>64</v>
      </c>
    </row>
    <row r="158" spans="1:27" x14ac:dyDescent="0.3">
      <c r="A158" t="s">
        <v>249</v>
      </c>
      <c r="B158">
        <v>16</v>
      </c>
      <c r="C158" t="s">
        <v>53</v>
      </c>
      <c r="D158">
        <v>2.2000000000000002</v>
      </c>
      <c r="E158" t="s">
        <v>48</v>
      </c>
      <c r="F158" t="s">
        <v>68</v>
      </c>
      <c r="G158" t="s">
        <v>50</v>
      </c>
      <c r="H158">
        <v>7.7</v>
      </c>
      <c r="I158" t="s">
        <v>41</v>
      </c>
      <c r="J158" t="s">
        <v>33</v>
      </c>
      <c r="K158" t="s">
        <v>84</v>
      </c>
      <c r="L158">
        <v>1.45</v>
      </c>
      <c r="N158" t="s">
        <v>66</v>
      </c>
      <c r="O158" t="s">
        <v>33</v>
      </c>
      <c r="P158" t="b">
        <v>0</v>
      </c>
      <c r="Q158" t="b">
        <v>0</v>
      </c>
      <c r="R158" t="b">
        <v>0</v>
      </c>
      <c r="S158" t="b">
        <v>0</v>
      </c>
      <c r="T158" t="b">
        <v>0</v>
      </c>
      <c r="U158">
        <v>0.1</v>
      </c>
      <c r="V158">
        <v>8.6</v>
      </c>
      <c r="W158">
        <v>1</v>
      </c>
      <c r="X158">
        <v>11.1</v>
      </c>
      <c r="Y158">
        <v>31.73</v>
      </c>
      <c r="Z158">
        <v>6</v>
      </c>
      <c r="AA158" t="s">
        <v>46</v>
      </c>
    </row>
    <row r="159" spans="1:27" x14ac:dyDescent="0.3">
      <c r="A159" t="s">
        <v>250</v>
      </c>
      <c r="B159">
        <v>22</v>
      </c>
      <c r="C159" t="s">
        <v>28</v>
      </c>
      <c r="D159">
        <v>9</v>
      </c>
      <c r="E159" t="s">
        <v>39</v>
      </c>
      <c r="F159" t="s">
        <v>120</v>
      </c>
      <c r="G159" t="s">
        <v>71</v>
      </c>
      <c r="H159">
        <v>5.3</v>
      </c>
      <c r="I159" t="s">
        <v>51</v>
      </c>
      <c r="J159" t="s">
        <v>33</v>
      </c>
      <c r="K159" t="s">
        <v>51</v>
      </c>
      <c r="L159">
        <v>1.1100000000000001</v>
      </c>
      <c r="M159">
        <v>2</v>
      </c>
      <c r="N159" t="s">
        <v>105</v>
      </c>
      <c r="O159" t="s">
        <v>36</v>
      </c>
      <c r="P159" t="b">
        <v>1</v>
      </c>
      <c r="Q159" t="b">
        <v>0</v>
      </c>
      <c r="R159" t="b">
        <v>0</v>
      </c>
      <c r="S159" t="b">
        <v>0</v>
      </c>
      <c r="T159" t="b">
        <v>1</v>
      </c>
      <c r="U159">
        <v>3.3</v>
      </c>
      <c r="V159">
        <v>7.2</v>
      </c>
      <c r="W159">
        <v>5</v>
      </c>
      <c r="X159">
        <v>1.6</v>
      </c>
      <c r="Y159">
        <v>168.77</v>
      </c>
      <c r="Z159">
        <v>12</v>
      </c>
      <c r="AA159" t="s">
        <v>58</v>
      </c>
    </row>
    <row r="160" spans="1:27" x14ac:dyDescent="0.3">
      <c r="A160" t="s">
        <v>251</v>
      </c>
      <c r="B160">
        <v>25</v>
      </c>
      <c r="C160" t="s">
        <v>152</v>
      </c>
      <c r="D160">
        <v>4.7</v>
      </c>
      <c r="E160" t="s">
        <v>54</v>
      </c>
      <c r="F160" t="s">
        <v>98</v>
      </c>
      <c r="G160" t="s">
        <v>50</v>
      </c>
      <c r="H160">
        <v>7</v>
      </c>
      <c r="I160" t="s">
        <v>43</v>
      </c>
      <c r="J160" t="s">
        <v>36</v>
      </c>
      <c r="K160" t="s">
        <v>62</v>
      </c>
      <c r="M160">
        <v>1</v>
      </c>
      <c r="N160" t="s">
        <v>44</v>
      </c>
      <c r="O160" t="s">
        <v>36</v>
      </c>
      <c r="P160" t="b">
        <v>0</v>
      </c>
      <c r="Q160" t="b">
        <v>0</v>
      </c>
      <c r="R160" t="b">
        <v>0</v>
      </c>
      <c r="S160" t="b">
        <v>1</v>
      </c>
      <c r="T160" t="b">
        <v>0</v>
      </c>
      <c r="U160">
        <v>0.6</v>
      </c>
      <c r="V160">
        <v>7.4</v>
      </c>
      <c r="W160">
        <v>4</v>
      </c>
      <c r="X160">
        <v>9.1</v>
      </c>
      <c r="Y160">
        <v>110.14</v>
      </c>
      <c r="Z160">
        <v>9</v>
      </c>
      <c r="AA160" t="s">
        <v>46</v>
      </c>
    </row>
    <row r="161" spans="1:27" x14ac:dyDescent="0.3">
      <c r="A161" t="s">
        <v>252</v>
      </c>
      <c r="B161">
        <v>18</v>
      </c>
      <c r="C161" t="s">
        <v>28</v>
      </c>
      <c r="D161">
        <v>10.4</v>
      </c>
      <c r="E161" t="s">
        <v>39</v>
      </c>
      <c r="F161" t="s">
        <v>120</v>
      </c>
      <c r="G161" t="s">
        <v>31</v>
      </c>
      <c r="H161">
        <v>4.7</v>
      </c>
      <c r="I161" t="s">
        <v>51</v>
      </c>
      <c r="J161" t="s">
        <v>36</v>
      </c>
      <c r="K161" t="s">
        <v>51</v>
      </c>
      <c r="L161">
        <v>3.55</v>
      </c>
      <c r="N161" t="s">
        <v>35</v>
      </c>
      <c r="O161" t="s">
        <v>57</v>
      </c>
      <c r="P161" t="b">
        <v>1</v>
      </c>
      <c r="Q161" t="b">
        <v>1</v>
      </c>
      <c r="R161" t="b">
        <v>0</v>
      </c>
      <c r="S161" t="b">
        <v>1</v>
      </c>
      <c r="T161" t="b">
        <v>1</v>
      </c>
      <c r="U161">
        <v>1</v>
      </c>
      <c r="V161">
        <v>6.6</v>
      </c>
      <c r="W161">
        <v>6</v>
      </c>
      <c r="X161">
        <v>5.7</v>
      </c>
      <c r="Y161">
        <v>326.87</v>
      </c>
      <c r="Z161">
        <v>5</v>
      </c>
      <c r="AA161" t="s">
        <v>37</v>
      </c>
    </row>
    <row r="162" spans="1:27" x14ac:dyDescent="0.3">
      <c r="A162" t="s">
        <v>253</v>
      </c>
      <c r="B162">
        <v>19</v>
      </c>
      <c r="C162" t="s">
        <v>28</v>
      </c>
      <c r="D162">
        <v>12.2</v>
      </c>
      <c r="E162" t="s">
        <v>39</v>
      </c>
      <c r="F162" t="s">
        <v>40</v>
      </c>
      <c r="G162" t="s">
        <v>86</v>
      </c>
      <c r="H162">
        <v>5.9</v>
      </c>
      <c r="I162" t="s">
        <v>41</v>
      </c>
      <c r="J162" t="s">
        <v>45</v>
      </c>
      <c r="K162" t="s">
        <v>34</v>
      </c>
      <c r="L162">
        <v>3.72</v>
      </c>
      <c r="M162">
        <v>10</v>
      </c>
      <c r="N162" t="s">
        <v>105</v>
      </c>
      <c r="O162" t="s">
        <v>33</v>
      </c>
      <c r="P162" t="b">
        <v>1</v>
      </c>
      <c r="Q162" t="b">
        <v>1</v>
      </c>
      <c r="R162" t="b">
        <v>0</v>
      </c>
      <c r="S162" t="b">
        <v>0</v>
      </c>
      <c r="T162" t="b">
        <v>1</v>
      </c>
      <c r="U162">
        <v>2.1</v>
      </c>
      <c r="V162">
        <v>4.7</v>
      </c>
      <c r="W162">
        <v>7</v>
      </c>
      <c r="X162">
        <v>0.5</v>
      </c>
      <c r="Y162">
        <v>473.21</v>
      </c>
      <c r="Z162">
        <v>5</v>
      </c>
      <c r="AA162" t="s">
        <v>37</v>
      </c>
    </row>
    <row r="163" spans="1:27" x14ac:dyDescent="0.3">
      <c r="A163" t="s">
        <v>254</v>
      </c>
      <c r="B163">
        <v>27</v>
      </c>
      <c r="C163" t="s">
        <v>28</v>
      </c>
      <c r="D163">
        <v>4.3</v>
      </c>
      <c r="E163" t="s">
        <v>82</v>
      </c>
      <c r="F163" t="s">
        <v>83</v>
      </c>
      <c r="G163" t="s">
        <v>31</v>
      </c>
      <c r="H163">
        <v>5.3</v>
      </c>
      <c r="I163" t="s">
        <v>32</v>
      </c>
      <c r="J163" t="s">
        <v>42</v>
      </c>
      <c r="K163" t="s">
        <v>43</v>
      </c>
      <c r="M163">
        <v>5</v>
      </c>
      <c r="N163" t="s">
        <v>66</v>
      </c>
      <c r="O163" t="s">
        <v>57</v>
      </c>
      <c r="P163" t="b">
        <v>0</v>
      </c>
      <c r="Q163" t="b">
        <v>0</v>
      </c>
      <c r="R163" t="b">
        <v>0</v>
      </c>
      <c r="S163" t="b">
        <v>0</v>
      </c>
      <c r="T163" t="b">
        <v>0</v>
      </c>
      <c r="U163">
        <v>2.8</v>
      </c>
      <c r="V163">
        <v>7.9</v>
      </c>
      <c r="W163">
        <v>2</v>
      </c>
      <c r="X163">
        <v>8</v>
      </c>
      <c r="Y163">
        <v>44.35</v>
      </c>
      <c r="Z163">
        <v>7</v>
      </c>
      <c r="AA163" t="s">
        <v>46</v>
      </c>
    </row>
    <row r="164" spans="1:27" x14ac:dyDescent="0.3">
      <c r="A164" t="s">
        <v>255</v>
      </c>
      <c r="B164">
        <v>22</v>
      </c>
      <c r="C164" t="s">
        <v>53</v>
      </c>
      <c r="D164">
        <v>6.3</v>
      </c>
      <c r="E164" t="s">
        <v>39</v>
      </c>
      <c r="F164" t="s">
        <v>120</v>
      </c>
      <c r="G164" t="s">
        <v>71</v>
      </c>
      <c r="H164">
        <v>5.5</v>
      </c>
      <c r="I164" t="s">
        <v>41</v>
      </c>
      <c r="J164" t="s">
        <v>33</v>
      </c>
      <c r="K164" t="s">
        <v>34</v>
      </c>
      <c r="L164">
        <v>3.98</v>
      </c>
      <c r="M164">
        <v>4</v>
      </c>
      <c r="N164" t="s">
        <v>80</v>
      </c>
      <c r="O164" t="s">
        <v>36</v>
      </c>
      <c r="P164" t="b">
        <v>0</v>
      </c>
      <c r="Q164" t="b">
        <v>0</v>
      </c>
      <c r="R164" t="b">
        <v>0</v>
      </c>
      <c r="S164" t="b">
        <v>1</v>
      </c>
      <c r="T164" t="b">
        <v>1</v>
      </c>
      <c r="U164">
        <v>0.2</v>
      </c>
      <c r="V164">
        <v>9</v>
      </c>
      <c r="W164">
        <v>2</v>
      </c>
      <c r="X164">
        <v>9.6999999999999993</v>
      </c>
      <c r="Y164">
        <v>53.06</v>
      </c>
      <c r="Z164">
        <v>7</v>
      </c>
      <c r="AA164" t="s">
        <v>46</v>
      </c>
    </row>
    <row r="165" spans="1:27" x14ac:dyDescent="0.3">
      <c r="A165" t="s">
        <v>256</v>
      </c>
      <c r="B165">
        <v>18</v>
      </c>
      <c r="C165" t="s">
        <v>28</v>
      </c>
      <c r="D165">
        <v>7.7</v>
      </c>
      <c r="E165" t="s">
        <v>82</v>
      </c>
      <c r="F165" t="s">
        <v>167</v>
      </c>
      <c r="G165" t="s">
        <v>50</v>
      </c>
      <c r="H165">
        <v>5.6</v>
      </c>
      <c r="I165" t="s">
        <v>51</v>
      </c>
      <c r="J165" t="s">
        <v>33</v>
      </c>
      <c r="K165" t="s">
        <v>34</v>
      </c>
      <c r="L165">
        <v>3.22</v>
      </c>
      <c r="N165" t="s">
        <v>35</v>
      </c>
      <c r="O165" t="s">
        <v>57</v>
      </c>
      <c r="P165" t="b">
        <v>0</v>
      </c>
      <c r="Q165" t="b">
        <v>1</v>
      </c>
      <c r="R165" t="b">
        <v>1</v>
      </c>
      <c r="S165" t="b">
        <v>1</v>
      </c>
      <c r="T165" t="b">
        <v>1</v>
      </c>
      <c r="U165">
        <v>0.3</v>
      </c>
      <c r="V165">
        <v>4.8</v>
      </c>
      <c r="W165">
        <v>7</v>
      </c>
      <c r="X165">
        <v>5.6</v>
      </c>
      <c r="Y165">
        <v>110.52</v>
      </c>
      <c r="Z165">
        <v>5</v>
      </c>
      <c r="AA165" t="s">
        <v>58</v>
      </c>
    </row>
    <row r="166" spans="1:27" x14ac:dyDescent="0.3">
      <c r="A166" t="s">
        <v>257</v>
      </c>
      <c r="B166">
        <v>21</v>
      </c>
      <c r="C166" t="s">
        <v>53</v>
      </c>
      <c r="D166">
        <v>8.4</v>
      </c>
      <c r="E166" t="s">
        <v>54</v>
      </c>
      <c r="F166" t="s">
        <v>89</v>
      </c>
      <c r="G166" t="s">
        <v>71</v>
      </c>
      <c r="H166">
        <v>5.7</v>
      </c>
      <c r="I166" t="s">
        <v>51</v>
      </c>
      <c r="J166" t="s">
        <v>45</v>
      </c>
      <c r="K166" t="s">
        <v>129</v>
      </c>
      <c r="L166">
        <v>3.14</v>
      </c>
      <c r="M166">
        <v>9</v>
      </c>
      <c r="N166" t="s">
        <v>35</v>
      </c>
      <c r="O166" t="s">
        <v>42</v>
      </c>
      <c r="P166" t="b">
        <v>1</v>
      </c>
      <c r="Q166" t="b">
        <v>1</v>
      </c>
      <c r="R166" t="b">
        <v>0</v>
      </c>
      <c r="S166" t="b">
        <v>1</v>
      </c>
      <c r="T166" t="b">
        <v>0</v>
      </c>
      <c r="U166">
        <v>0.6</v>
      </c>
      <c r="V166">
        <v>4.8</v>
      </c>
      <c r="W166">
        <v>5</v>
      </c>
      <c r="X166">
        <v>6.3</v>
      </c>
      <c r="Y166">
        <v>128.87</v>
      </c>
      <c r="Z166">
        <v>2</v>
      </c>
      <c r="AA166" t="s">
        <v>58</v>
      </c>
    </row>
    <row r="167" spans="1:27" x14ac:dyDescent="0.3">
      <c r="A167" t="s">
        <v>258</v>
      </c>
      <c r="B167">
        <v>18</v>
      </c>
      <c r="C167" t="s">
        <v>28</v>
      </c>
      <c r="D167">
        <v>7.2</v>
      </c>
      <c r="E167" t="s">
        <v>82</v>
      </c>
      <c r="F167" t="s">
        <v>167</v>
      </c>
      <c r="G167" t="s">
        <v>31</v>
      </c>
      <c r="H167">
        <v>3.9</v>
      </c>
      <c r="I167" t="s">
        <v>51</v>
      </c>
      <c r="J167" t="s">
        <v>45</v>
      </c>
      <c r="K167" t="s">
        <v>34</v>
      </c>
      <c r="L167">
        <v>3.97</v>
      </c>
      <c r="N167" t="s">
        <v>105</v>
      </c>
      <c r="O167" t="s">
        <v>36</v>
      </c>
      <c r="P167" t="b">
        <v>1</v>
      </c>
      <c r="Q167" t="b">
        <v>0</v>
      </c>
      <c r="R167" t="b">
        <v>0</v>
      </c>
      <c r="S167" t="b">
        <v>1</v>
      </c>
      <c r="T167" t="b">
        <v>1</v>
      </c>
      <c r="U167">
        <v>0.4</v>
      </c>
      <c r="V167">
        <v>4.5999999999999996</v>
      </c>
      <c r="W167">
        <v>6</v>
      </c>
      <c r="X167">
        <v>5.2</v>
      </c>
      <c r="Y167">
        <v>130.82</v>
      </c>
      <c r="Z167">
        <v>7</v>
      </c>
      <c r="AA167" t="s">
        <v>64</v>
      </c>
    </row>
    <row r="168" spans="1:27" x14ac:dyDescent="0.3">
      <c r="A168" t="s">
        <v>259</v>
      </c>
      <c r="B168">
        <v>21</v>
      </c>
      <c r="C168" t="s">
        <v>28</v>
      </c>
      <c r="D168">
        <v>5.0999999999999996</v>
      </c>
      <c r="E168" t="s">
        <v>54</v>
      </c>
      <c r="F168" t="s">
        <v>55</v>
      </c>
      <c r="G168" t="s">
        <v>50</v>
      </c>
      <c r="H168">
        <v>5.8</v>
      </c>
      <c r="I168" t="s">
        <v>41</v>
      </c>
      <c r="J168" t="s">
        <v>36</v>
      </c>
      <c r="K168" t="s">
        <v>43</v>
      </c>
      <c r="L168">
        <v>2.72</v>
      </c>
      <c r="M168">
        <v>10</v>
      </c>
      <c r="N168" t="s">
        <v>44</v>
      </c>
      <c r="O168" t="s">
        <v>36</v>
      </c>
      <c r="P168" t="b">
        <v>0</v>
      </c>
      <c r="Q168" t="b">
        <v>0</v>
      </c>
      <c r="R168" t="b">
        <v>0</v>
      </c>
      <c r="S168" t="b">
        <v>0</v>
      </c>
      <c r="T168" t="b">
        <v>0</v>
      </c>
      <c r="U168">
        <v>1.1000000000000001</v>
      </c>
      <c r="V168">
        <v>7.3</v>
      </c>
      <c r="W168">
        <v>3</v>
      </c>
      <c r="X168">
        <v>11.3</v>
      </c>
      <c r="Y168">
        <v>20.68</v>
      </c>
      <c r="Z168">
        <v>5</v>
      </c>
      <c r="AA168" t="s">
        <v>46</v>
      </c>
    </row>
    <row r="169" spans="1:27" x14ac:dyDescent="0.3">
      <c r="A169" t="s">
        <v>260</v>
      </c>
      <c r="B169">
        <v>25</v>
      </c>
      <c r="C169" t="s">
        <v>28</v>
      </c>
      <c r="D169">
        <v>5.8</v>
      </c>
      <c r="E169" t="s">
        <v>39</v>
      </c>
      <c r="F169" t="s">
        <v>40</v>
      </c>
      <c r="G169" t="s">
        <v>86</v>
      </c>
      <c r="H169">
        <v>5.3</v>
      </c>
      <c r="I169" t="s">
        <v>41</v>
      </c>
      <c r="J169" t="s">
        <v>42</v>
      </c>
      <c r="K169" t="s">
        <v>34</v>
      </c>
      <c r="M169">
        <v>3</v>
      </c>
      <c r="N169" t="s">
        <v>121</v>
      </c>
      <c r="O169" t="s">
        <v>42</v>
      </c>
      <c r="P169" t="b">
        <v>0</v>
      </c>
      <c r="Q169" t="b">
        <v>1</v>
      </c>
      <c r="R169" t="b">
        <v>0</v>
      </c>
      <c r="S169" t="b">
        <v>1</v>
      </c>
      <c r="T169" t="b">
        <v>0</v>
      </c>
      <c r="U169">
        <v>0.5</v>
      </c>
      <c r="V169">
        <v>6.6</v>
      </c>
      <c r="W169">
        <v>5</v>
      </c>
      <c r="X169">
        <v>9.1999999999999993</v>
      </c>
      <c r="Y169">
        <v>55.18</v>
      </c>
      <c r="Z169">
        <v>11</v>
      </c>
      <c r="AA169" t="s">
        <v>64</v>
      </c>
    </row>
    <row r="170" spans="1:27" x14ac:dyDescent="0.3">
      <c r="A170" t="s">
        <v>261</v>
      </c>
      <c r="B170">
        <v>21</v>
      </c>
      <c r="C170" t="s">
        <v>28</v>
      </c>
      <c r="D170">
        <v>7.6</v>
      </c>
      <c r="E170" t="s">
        <v>48</v>
      </c>
      <c r="F170" t="s">
        <v>214</v>
      </c>
      <c r="G170" t="s">
        <v>86</v>
      </c>
      <c r="H170">
        <v>5.6</v>
      </c>
      <c r="I170" t="s">
        <v>32</v>
      </c>
      <c r="J170" t="s">
        <v>45</v>
      </c>
      <c r="K170" t="s">
        <v>51</v>
      </c>
      <c r="L170">
        <v>1.5</v>
      </c>
      <c r="M170">
        <v>9</v>
      </c>
      <c r="N170" t="s">
        <v>69</v>
      </c>
      <c r="O170" t="s">
        <v>42</v>
      </c>
      <c r="P170" t="b">
        <v>1</v>
      </c>
      <c r="Q170" t="b">
        <v>0</v>
      </c>
      <c r="R170" t="b">
        <v>1</v>
      </c>
      <c r="S170" t="b">
        <v>1</v>
      </c>
      <c r="T170" t="b">
        <v>1</v>
      </c>
      <c r="U170">
        <v>0.7</v>
      </c>
      <c r="V170">
        <v>4.7</v>
      </c>
      <c r="W170">
        <v>6</v>
      </c>
      <c r="X170">
        <v>4.5999999999999996</v>
      </c>
      <c r="Y170">
        <v>38.69</v>
      </c>
      <c r="Z170">
        <v>6</v>
      </c>
      <c r="AA170" t="s">
        <v>58</v>
      </c>
    </row>
    <row r="171" spans="1:27" x14ac:dyDescent="0.3">
      <c r="A171" t="s">
        <v>262</v>
      </c>
      <c r="B171">
        <v>23</v>
      </c>
      <c r="C171" t="s">
        <v>28</v>
      </c>
      <c r="D171">
        <v>2.6</v>
      </c>
      <c r="E171" t="s">
        <v>48</v>
      </c>
      <c r="F171" t="s">
        <v>68</v>
      </c>
      <c r="G171" t="s">
        <v>86</v>
      </c>
      <c r="H171">
        <v>8.3000000000000007</v>
      </c>
      <c r="I171" t="s">
        <v>51</v>
      </c>
      <c r="J171" t="s">
        <v>74</v>
      </c>
      <c r="K171" t="s">
        <v>43</v>
      </c>
      <c r="M171">
        <v>4</v>
      </c>
      <c r="N171" t="s">
        <v>66</v>
      </c>
      <c r="O171" t="s">
        <v>36</v>
      </c>
      <c r="P171" t="b">
        <v>0</v>
      </c>
      <c r="Q171" t="b">
        <v>0</v>
      </c>
      <c r="R171" t="b">
        <v>0</v>
      </c>
      <c r="S171" t="b">
        <v>0</v>
      </c>
      <c r="T171" t="b">
        <v>0</v>
      </c>
      <c r="U171">
        <v>0.4</v>
      </c>
      <c r="V171">
        <v>8.8000000000000007</v>
      </c>
      <c r="W171">
        <v>1</v>
      </c>
      <c r="X171">
        <v>14</v>
      </c>
      <c r="Y171">
        <v>6.45</v>
      </c>
      <c r="Z171">
        <v>3</v>
      </c>
      <c r="AA171" t="s">
        <v>46</v>
      </c>
    </row>
    <row r="172" spans="1:27" x14ac:dyDescent="0.3">
      <c r="A172" t="s">
        <v>263</v>
      </c>
      <c r="B172">
        <v>21</v>
      </c>
      <c r="C172" t="s">
        <v>28</v>
      </c>
      <c r="D172">
        <v>1.3</v>
      </c>
      <c r="E172" t="s">
        <v>60</v>
      </c>
      <c r="F172" t="s">
        <v>96</v>
      </c>
      <c r="G172" t="s">
        <v>31</v>
      </c>
      <c r="H172">
        <v>8.4</v>
      </c>
      <c r="I172" t="s">
        <v>41</v>
      </c>
      <c r="J172" t="s">
        <v>42</v>
      </c>
      <c r="K172" t="s">
        <v>43</v>
      </c>
      <c r="L172">
        <v>1.44</v>
      </c>
      <c r="M172">
        <v>5</v>
      </c>
      <c r="N172" t="s">
        <v>66</v>
      </c>
      <c r="O172" t="s">
        <v>45</v>
      </c>
      <c r="P172" t="b">
        <v>0</v>
      </c>
      <c r="Q172" t="b">
        <v>0</v>
      </c>
      <c r="R172" t="b">
        <v>0</v>
      </c>
      <c r="S172" t="b">
        <v>0</v>
      </c>
      <c r="T172" t="b">
        <v>0</v>
      </c>
      <c r="U172">
        <v>0.5</v>
      </c>
      <c r="V172">
        <v>9.6</v>
      </c>
      <c r="W172">
        <v>1</v>
      </c>
      <c r="X172">
        <v>12.6</v>
      </c>
      <c r="Y172">
        <v>15.07</v>
      </c>
      <c r="Z172">
        <v>8</v>
      </c>
      <c r="AA172" t="s">
        <v>46</v>
      </c>
    </row>
    <row r="173" spans="1:27" x14ac:dyDescent="0.3">
      <c r="A173" t="s">
        <v>264</v>
      </c>
      <c r="B173">
        <v>24</v>
      </c>
      <c r="C173" t="s">
        <v>28</v>
      </c>
      <c r="D173">
        <v>6.2</v>
      </c>
      <c r="E173" t="s">
        <v>54</v>
      </c>
      <c r="F173" t="s">
        <v>98</v>
      </c>
      <c r="G173" t="s">
        <v>50</v>
      </c>
      <c r="H173">
        <v>5.9</v>
      </c>
      <c r="I173" t="s">
        <v>41</v>
      </c>
      <c r="J173" t="s">
        <v>45</v>
      </c>
      <c r="K173" t="s">
        <v>62</v>
      </c>
      <c r="M173">
        <v>10</v>
      </c>
      <c r="N173" t="s">
        <v>35</v>
      </c>
      <c r="O173" t="s">
        <v>42</v>
      </c>
      <c r="P173" t="b">
        <v>0</v>
      </c>
      <c r="Q173" t="b">
        <v>1</v>
      </c>
      <c r="R173" t="b">
        <v>0</v>
      </c>
      <c r="S173" t="b">
        <v>0</v>
      </c>
      <c r="T173" t="b">
        <v>0</v>
      </c>
      <c r="U173">
        <v>0.8</v>
      </c>
      <c r="V173">
        <v>6.5</v>
      </c>
      <c r="W173">
        <v>6</v>
      </c>
      <c r="X173">
        <v>4.9000000000000004</v>
      </c>
      <c r="Y173">
        <v>135.88</v>
      </c>
      <c r="Z173">
        <v>14</v>
      </c>
      <c r="AA173" t="s">
        <v>64</v>
      </c>
    </row>
    <row r="174" spans="1:27" x14ac:dyDescent="0.3">
      <c r="A174" t="s">
        <v>265</v>
      </c>
      <c r="B174">
        <v>21</v>
      </c>
      <c r="C174" t="s">
        <v>28</v>
      </c>
      <c r="D174">
        <v>9.1</v>
      </c>
      <c r="E174" t="s">
        <v>54</v>
      </c>
      <c r="F174" t="s">
        <v>89</v>
      </c>
      <c r="G174" t="s">
        <v>31</v>
      </c>
      <c r="H174">
        <v>3.2</v>
      </c>
      <c r="I174" t="s">
        <v>32</v>
      </c>
      <c r="J174" t="s">
        <v>36</v>
      </c>
      <c r="K174" t="s">
        <v>62</v>
      </c>
      <c r="L174">
        <v>2.92</v>
      </c>
      <c r="M174">
        <v>1</v>
      </c>
      <c r="N174" t="s">
        <v>44</v>
      </c>
      <c r="O174" t="s">
        <v>42</v>
      </c>
      <c r="P174" t="b">
        <v>1</v>
      </c>
      <c r="Q174" t="b">
        <v>1</v>
      </c>
      <c r="R174" t="b">
        <v>0</v>
      </c>
      <c r="S174" t="b">
        <v>1</v>
      </c>
      <c r="T174" t="b">
        <v>1</v>
      </c>
      <c r="U174">
        <v>1.4</v>
      </c>
      <c r="V174">
        <v>4.9000000000000004</v>
      </c>
      <c r="W174">
        <v>7</v>
      </c>
      <c r="X174">
        <v>3.8</v>
      </c>
      <c r="Y174">
        <v>396.01</v>
      </c>
      <c r="Z174">
        <v>1</v>
      </c>
      <c r="AA174" t="s">
        <v>37</v>
      </c>
    </row>
    <row r="175" spans="1:27" x14ac:dyDescent="0.3">
      <c r="A175" t="s">
        <v>266</v>
      </c>
      <c r="B175">
        <v>22</v>
      </c>
      <c r="C175" t="s">
        <v>28</v>
      </c>
      <c r="D175">
        <v>10.1</v>
      </c>
      <c r="E175" t="s">
        <v>39</v>
      </c>
      <c r="F175" t="s">
        <v>40</v>
      </c>
      <c r="G175" t="s">
        <v>50</v>
      </c>
      <c r="H175">
        <v>3.4</v>
      </c>
      <c r="I175" t="s">
        <v>51</v>
      </c>
      <c r="J175" t="s">
        <v>33</v>
      </c>
      <c r="K175" t="s">
        <v>34</v>
      </c>
      <c r="L175">
        <v>1.1000000000000001</v>
      </c>
      <c r="M175">
        <v>2</v>
      </c>
      <c r="N175" t="s">
        <v>63</v>
      </c>
      <c r="O175" t="s">
        <v>33</v>
      </c>
      <c r="P175" t="b">
        <v>1</v>
      </c>
      <c r="Q175" t="b">
        <v>1</v>
      </c>
      <c r="R175" t="b">
        <v>0</v>
      </c>
      <c r="S175" t="b">
        <v>1</v>
      </c>
      <c r="T175" t="b">
        <v>0</v>
      </c>
      <c r="U175">
        <v>2.8</v>
      </c>
      <c r="V175">
        <v>4.2</v>
      </c>
      <c r="W175">
        <v>8</v>
      </c>
      <c r="X175">
        <v>2</v>
      </c>
      <c r="Y175">
        <v>358.37</v>
      </c>
      <c r="Z175">
        <v>3</v>
      </c>
      <c r="AA175" t="s">
        <v>37</v>
      </c>
    </row>
    <row r="176" spans="1:27" x14ac:dyDescent="0.3">
      <c r="A176" t="s">
        <v>267</v>
      </c>
      <c r="B176">
        <v>25</v>
      </c>
      <c r="C176" t="s">
        <v>28</v>
      </c>
      <c r="D176">
        <v>7.9</v>
      </c>
      <c r="E176" t="s">
        <v>48</v>
      </c>
      <c r="F176" t="s">
        <v>128</v>
      </c>
      <c r="G176" t="s">
        <v>50</v>
      </c>
      <c r="H176">
        <v>5.0999999999999996</v>
      </c>
      <c r="I176" t="s">
        <v>41</v>
      </c>
      <c r="J176" t="s">
        <v>33</v>
      </c>
      <c r="K176" t="s">
        <v>62</v>
      </c>
      <c r="M176">
        <v>6</v>
      </c>
      <c r="N176" t="s">
        <v>63</v>
      </c>
      <c r="O176" t="s">
        <v>42</v>
      </c>
      <c r="P176" t="b">
        <v>1</v>
      </c>
      <c r="Q176" t="b">
        <v>0</v>
      </c>
      <c r="R176" t="b">
        <v>0</v>
      </c>
      <c r="S176" t="b">
        <v>1</v>
      </c>
      <c r="T176" t="b">
        <v>0</v>
      </c>
      <c r="U176">
        <v>0.5</v>
      </c>
      <c r="V176">
        <v>7.4</v>
      </c>
      <c r="W176">
        <v>5</v>
      </c>
      <c r="X176">
        <v>3.3</v>
      </c>
      <c r="Y176">
        <v>53.96</v>
      </c>
      <c r="Z176">
        <v>7</v>
      </c>
      <c r="AA176" t="s">
        <v>64</v>
      </c>
    </row>
    <row r="177" spans="1:27" x14ac:dyDescent="0.3">
      <c r="A177" t="s">
        <v>268</v>
      </c>
      <c r="B177">
        <v>19</v>
      </c>
      <c r="C177" t="s">
        <v>53</v>
      </c>
      <c r="D177">
        <v>2.9</v>
      </c>
      <c r="E177" t="s">
        <v>82</v>
      </c>
      <c r="F177" t="s">
        <v>167</v>
      </c>
      <c r="G177" t="s">
        <v>50</v>
      </c>
      <c r="H177">
        <v>8</v>
      </c>
      <c r="I177" t="s">
        <v>43</v>
      </c>
      <c r="J177" t="s">
        <v>74</v>
      </c>
      <c r="K177" t="s">
        <v>84</v>
      </c>
      <c r="L177">
        <v>3.29</v>
      </c>
      <c r="M177">
        <v>10</v>
      </c>
      <c r="N177" t="s">
        <v>63</v>
      </c>
      <c r="O177" t="s">
        <v>42</v>
      </c>
      <c r="P177" t="b">
        <v>0</v>
      </c>
      <c r="Q177" t="b">
        <v>0</v>
      </c>
      <c r="R177" t="b">
        <v>0</v>
      </c>
      <c r="S177" t="b">
        <v>0</v>
      </c>
      <c r="T177" t="b">
        <v>0</v>
      </c>
      <c r="U177">
        <v>0</v>
      </c>
      <c r="V177">
        <v>8.8000000000000007</v>
      </c>
      <c r="W177">
        <v>1</v>
      </c>
      <c r="X177">
        <v>9.6999999999999993</v>
      </c>
      <c r="Y177">
        <v>35.81</v>
      </c>
      <c r="Z177">
        <v>9</v>
      </c>
      <c r="AA177" t="s">
        <v>46</v>
      </c>
    </row>
    <row r="178" spans="1:27" x14ac:dyDescent="0.3">
      <c r="A178" t="s">
        <v>269</v>
      </c>
      <c r="B178">
        <v>19</v>
      </c>
      <c r="C178" t="s">
        <v>28</v>
      </c>
      <c r="D178">
        <v>4.5999999999999996</v>
      </c>
      <c r="E178" t="s">
        <v>82</v>
      </c>
      <c r="F178" t="s">
        <v>83</v>
      </c>
      <c r="G178" t="s">
        <v>31</v>
      </c>
      <c r="H178">
        <v>5.9</v>
      </c>
      <c r="I178" t="s">
        <v>41</v>
      </c>
      <c r="J178" t="s">
        <v>42</v>
      </c>
      <c r="K178" t="s">
        <v>34</v>
      </c>
      <c r="L178">
        <v>2.1</v>
      </c>
      <c r="M178">
        <v>6</v>
      </c>
      <c r="N178" t="s">
        <v>66</v>
      </c>
      <c r="O178" t="s">
        <v>36</v>
      </c>
      <c r="P178" t="b">
        <v>0</v>
      </c>
      <c r="Q178" t="b">
        <v>0</v>
      </c>
      <c r="R178" t="b">
        <v>0</v>
      </c>
      <c r="S178" t="b">
        <v>0</v>
      </c>
      <c r="T178" t="b">
        <v>0</v>
      </c>
      <c r="U178">
        <v>1</v>
      </c>
      <c r="V178">
        <v>8.5</v>
      </c>
      <c r="W178">
        <v>3</v>
      </c>
      <c r="X178">
        <v>9</v>
      </c>
      <c r="Y178">
        <v>10.06</v>
      </c>
      <c r="Z178">
        <v>1</v>
      </c>
      <c r="AA178" t="s">
        <v>46</v>
      </c>
    </row>
    <row r="179" spans="1:27" x14ac:dyDescent="0.3">
      <c r="A179" t="s">
        <v>270</v>
      </c>
      <c r="B179">
        <v>21</v>
      </c>
      <c r="C179" t="s">
        <v>28</v>
      </c>
      <c r="D179">
        <v>5.7</v>
      </c>
      <c r="E179" t="s">
        <v>76</v>
      </c>
      <c r="F179" t="s">
        <v>77</v>
      </c>
      <c r="G179" t="s">
        <v>50</v>
      </c>
      <c r="H179">
        <v>5.7</v>
      </c>
      <c r="I179" t="s">
        <v>43</v>
      </c>
      <c r="J179" t="s">
        <v>74</v>
      </c>
      <c r="K179" t="s">
        <v>62</v>
      </c>
      <c r="L179">
        <v>3.84</v>
      </c>
      <c r="M179">
        <v>4</v>
      </c>
      <c r="N179" t="s">
        <v>63</v>
      </c>
      <c r="O179" t="s">
        <v>36</v>
      </c>
      <c r="P179" t="b">
        <v>0</v>
      </c>
      <c r="Q179" t="b">
        <v>1</v>
      </c>
      <c r="R179" t="b">
        <v>0</v>
      </c>
      <c r="S179" t="b">
        <v>0</v>
      </c>
      <c r="T179" t="b">
        <v>1</v>
      </c>
      <c r="U179">
        <v>2.4</v>
      </c>
      <c r="V179">
        <v>7.3</v>
      </c>
      <c r="W179">
        <v>3</v>
      </c>
      <c r="X179">
        <v>9.4</v>
      </c>
      <c r="Y179">
        <v>123.33</v>
      </c>
      <c r="Z179">
        <v>8</v>
      </c>
      <c r="AA179" t="s">
        <v>64</v>
      </c>
    </row>
    <row r="180" spans="1:27" x14ac:dyDescent="0.3">
      <c r="A180" t="s">
        <v>271</v>
      </c>
      <c r="B180">
        <v>22</v>
      </c>
      <c r="C180" t="s">
        <v>53</v>
      </c>
      <c r="D180">
        <v>8.1999999999999993</v>
      </c>
      <c r="E180" t="s">
        <v>39</v>
      </c>
      <c r="F180" t="s">
        <v>93</v>
      </c>
      <c r="G180" t="s">
        <v>50</v>
      </c>
      <c r="H180">
        <v>4.2</v>
      </c>
      <c r="I180" t="s">
        <v>51</v>
      </c>
      <c r="J180" t="s">
        <v>42</v>
      </c>
      <c r="K180" t="s">
        <v>51</v>
      </c>
      <c r="L180">
        <v>2.27</v>
      </c>
      <c r="M180">
        <v>6</v>
      </c>
      <c r="N180" t="s">
        <v>56</v>
      </c>
      <c r="O180" t="s">
        <v>42</v>
      </c>
      <c r="P180" t="b">
        <v>0</v>
      </c>
      <c r="Q180" t="b">
        <v>1</v>
      </c>
      <c r="R180" t="b">
        <v>0</v>
      </c>
      <c r="S180" t="b">
        <v>1</v>
      </c>
      <c r="T180" t="b">
        <v>1</v>
      </c>
      <c r="U180">
        <v>1.9</v>
      </c>
      <c r="V180">
        <v>4.2</v>
      </c>
      <c r="W180">
        <v>5</v>
      </c>
      <c r="X180">
        <v>7.8</v>
      </c>
      <c r="Y180">
        <v>77.94</v>
      </c>
      <c r="Z180">
        <v>5</v>
      </c>
      <c r="AA180" t="s">
        <v>64</v>
      </c>
    </row>
    <row r="181" spans="1:27" x14ac:dyDescent="0.3">
      <c r="A181" t="s">
        <v>272</v>
      </c>
      <c r="B181">
        <v>19</v>
      </c>
      <c r="C181" t="s">
        <v>53</v>
      </c>
      <c r="D181">
        <v>3.1</v>
      </c>
      <c r="E181" t="s">
        <v>39</v>
      </c>
      <c r="F181" t="s">
        <v>93</v>
      </c>
      <c r="G181" t="s">
        <v>86</v>
      </c>
      <c r="H181">
        <v>7.2</v>
      </c>
      <c r="I181" t="s">
        <v>43</v>
      </c>
      <c r="J181" t="s">
        <v>33</v>
      </c>
      <c r="K181" t="s">
        <v>84</v>
      </c>
      <c r="L181">
        <v>3.51</v>
      </c>
      <c r="M181">
        <v>1</v>
      </c>
      <c r="N181" t="s">
        <v>69</v>
      </c>
      <c r="O181" t="s">
        <v>33</v>
      </c>
      <c r="P181" t="b">
        <v>0</v>
      </c>
      <c r="Q181" t="b">
        <v>0</v>
      </c>
      <c r="R181" t="b">
        <v>0</v>
      </c>
      <c r="S181" t="b">
        <v>0</v>
      </c>
      <c r="T181" t="b">
        <v>0</v>
      </c>
      <c r="U181">
        <v>1.2</v>
      </c>
      <c r="V181">
        <v>9.1</v>
      </c>
      <c r="W181">
        <v>1</v>
      </c>
      <c r="X181">
        <v>9.6999999999999993</v>
      </c>
      <c r="Y181">
        <v>15.06</v>
      </c>
      <c r="Z181">
        <v>1</v>
      </c>
      <c r="AA181" t="s">
        <v>46</v>
      </c>
    </row>
    <row r="182" spans="1:27" x14ac:dyDescent="0.3">
      <c r="A182" t="s">
        <v>273</v>
      </c>
      <c r="B182">
        <v>22</v>
      </c>
      <c r="C182" t="s">
        <v>53</v>
      </c>
      <c r="D182">
        <v>7.3</v>
      </c>
      <c r="E182" t="s">
        <v>82</v>
      </c>
      <c r="F182" t="s">
        <v>134</v>
      </c>
      <c r="G182" t="s">
        <v>86</v>
      </c>
      <c r="H182">
        <v>3</v>
      </c>
      <c r="I182" t="s">
        <v>51</v>
      </c>
      <c r="J182" t="s">
        <v>36</v>
      </c>
      <c r="K182" t="s">
        <v>84</v>
      </c>
      <c r="L182">
        <v>2.15</v>
      </c>
      <c r="M182">
        <v>5</v>
      </c>
      <c r="N182" t="s">
        <v>63</v>
      </c>
      <c r="O182" t="s">
        <v>33</v>
      </c>
      <c r="P182" t="b">
        <v>1</v>
      </c>
      <c r="Q182" t="b">
        <v>0</v>
      </c>
      <c r="R182" t="b">
        <v>0</v>
      </c>
      <c r="S182" t="b">
        <v>1</v>
      </c>
      <c r="T182" t="b">
        <v>1</v>
      </c>
      <c r="U182">
        <v>0.7</v>
      </c>
      <c r="V182">
        <v>7.9</v>
      </c>
      <c r="W182">
        <v>4</v>
      </c>
      <c r="X182">
        <v>8.8000000000000007</v>
      </c>
      <c r="Y182">
        <v>31.57</v>
      </c>
      <c r="Z182">
        <v>12</v>
      </c>
      <c r="AA182" t="s">
        <v>64</v>
      </c>
    </row>
    <row r="183" spans="1:27" x14ac:dyDescent="0.3">
      <c r="A183" t="s">
        <v>274</v>
      </c>
      <c r="B183">
        <v>17</v>
      </c>
      <c r="C183" t="s">
        <v>53</v>
      </c>
      <c r="D183">
        <v>10.9</v>
      </c>
      <c r="E183" t="s">
        <v>76</v>
      </c>
      <c r="F183" t="s">
        <v>126</v>
      </c>
      <c r="G183" t="s">
        <v>86</v>
      </c>
      <c r="H183">
        <v>3.8</v>
      </c>
      <c r="I183" t="s">
        <v>51</v>
      </c>
      <c r="J183" t="s">
        <v>45</v>
      </c>
      <c r="K183" t="s">
        <v>34</v>
      </c>
      <c r="L183">
        <v>3.21</v>
      </c>
      <c r="N183" t="s">
        <v>44</v>
      </c>
      <c r="O183" t="s">
        <v>57</v>
      </c>
      <c r="P183" t="b">
        <v>1</v>
      </c>
      <c r="Q183" t="b">
        <v>1</v>
      </c>
      <c r="R183" t="b">
        <v>1</v>
      </c>
      <c r="S183" t="b">
        <v>1</v>
      </c>
      <c r="T183" t="b">
        <v>1</v>
      </c>
      <c r="U183">
        <v>3.5</v>
      </c>
      <c r="V183">
        <v>3.7</v>
      </c>
      <c r="W183">
        <v>6</v>
      </c>
      <c r="X183">
        <v>1.1000000000000001</v>
      </c>
      <c r="Y183">
        <v>232.94</v>
      </c>
      <c r="Z183">
        <v>2</v>
      </c>
      <c r="AA183" t="s">
        <v>37</v>
      </c>
    </row>
    <row r="184" spans="1:27" x14ac:dyDescent="0.3">
      <c r="A184" t="s">
        <v>275</v>
      </c>
      <c r="B184">
        <v>28</v>
      </c>
      <c r="C184" t="s">
        <v>28</v>
      </c>
      <c r="D184">
        <v>11</v>
      </c>
      <c r="E184" t="s">
        <v>54</v>
      </c>
      <c r="F184" t="s">
        <v>55</v>
      </c>
      <c r="G184" t="s">
        <v>50</v>
      </c>
      <c r="H184">
        <v>3.3</v>
      </c>
      <c r="I184" t="s">
        <v>32</v>
      </c>
      <c r="J184" t="s">
        <v>33</v>
      </c>
      <c r="K184" t="s">
        <v>62</v>
      </c>
      <c r="M184">
        <v>7</v>
      </c>
      <c r="N184" t="s">
        <v>35</v>
      </c>
      <c r="O184" t="s">
        <v>57</v>
      </c>
      <c r="P184" t="b">
        <v>1</v>
      </c>
      <c r="Q184" t="b">
        <v>1</v>
      </c>
      <c r="R184" t="b">
        <v>1</v>
      </c>
      <c r="S184" t="b">
        <v>1</v>
      </c>
      <c r="T184" t="b">
        <v>0</v>
      </c>
      <c r="U184">
        <v>2.4</v>
      </c>
      <c r="V184">
        <v>5.5</v>
      </c>
      <c r="W184">
        <v>5</v>
      </c>
      <c r="X184">
        <v>0.3</v>
      </c>
      <c r="Y184">
        <v>207.35</v>
      </c>
      <c r="Z184">
        <v>4</v>
      </c>
      <c r="AA184" t="s">
        <v>37</v>
      </c>
    </row>
    <row r="185" spans="1:27" x14ac:dyDescent="0.3">
      <c r="A185" t="s">
        <v>276</v>
      </c>
      <c r="B185">
        <v>19</v>
      </c>
      <c r="C185" t="s">
        <v>28</v>
      </c>
      <c r="D185">
        <v>11</v>
      </c>
      <c r="E185" t="s">
        <v>29</v>
      </c>
      <c r="F185" t="s">
        <v>118</v>
      </c>
      <c r="G185" t="s">
        <v>31</v>
      </c>
      <c r="H185">
        <v>3.7</v>
      </c>
      <c r="I185" t="s">
        <v>41</v>
      </c>
      <c r="J185" t="s">
        <v>45</v>
      </c>
      <c r="K185" t="s">
        <v>51</v>
      </c>
      <c r="L185">
        <v>3.52</v>
      </c>
      <c r="M185">
        <v>8</v>
      </c>
      <c r="N185" t="s">
        <v>44</v>
      </c>
      <c r="O185" t="s">
        <v>36</v>
      </c>
      <c r="P185" t="b">
        <v>1</v>
      </c>
      <c r="Q185" t="b">
        <v>0</v>
      </c>
      <c r="R185" t="b">
        <v>0</v>
      </c>
      <c r="S185" t="b">
        <v>0</v>
      </c>
      <c r="T185" t="b">
        <v>0</v>
      </c>
      <c r="U185">
        <v>8</v>
      </c>
      <c r="V185">
        <v>6.3</v>
      </c>
      <c r="W185">
        <v>8</v>
      </c>
      <c r="X185">
        <v>0.4</v>
      </c>
      <c r="Y185">
        <v>484.09</v>
      </c>
      <c r="Z185">
        <v>8</v>
      </c>
      <c r="AA185" t="s">
        <v>58</v>
      </c>
    </row>
    <row r="186" spans="1:27" x14ac:dyDescent="0.3">
      <c r="A186" t="s">
        <v>277</v>
      </c>
      <c r="B186">
        <v>24</v>
      </c>
      <c r="C186" t="s">
        <v>28</v>
      </c>
      <c r="D186">
        <v>10.5</v>
      </c>
      <c r="E186" t="s">
        <v>76</v>
      </c>
      <c r="F186" t="s">
        <v>77</v>
      </c>
      <c r="G186" t="s">
        <v>50</v>
      </c>
      <c r="H186">
        <v>4.5</v>
      </c>
      <c r="I186" t="s">
        <v>32</v>
      </c>
      <c r="J186" t="s">
        <v>45</v>
      </c>
      <c r="K186" t="s">
        <v>51</v>
      </c>
      <c r="M186">
        <v>4</v>
      </c>
      <c r="N186" t="s">
        <v>35</v>
      </c>
      <c r="O186" t="s">
        <v>45</v>
      </c>
      <c r="P186" t="b">
        <v>1</v>
      </c>
      <c r="Q186" t="b">
        <v>1</v>
      </c>
      <c r="R186" t="b">
        <v>0</v>
      </c>
      <c r="S186" t="b">
        <v>0</v>
      </c>
      <c r="T186" t="b">
        <v>1</v>
      </c>
      <c r="U186">
        <v>3.1</v>
      </c>
      <c r="V186">
        <v>3.3</v>
      </c>
      <c r="W186">
        <v>6</v>
      </c>
      <c r="X186">
        <v>3.6</v>
      </c>
      <c r="Y186">
        <v>240.74</v>
      </c>
      <c r="Z186">
        <v>10</v>
      </c>
      <c r="AA186" t="s">
        <v>37</v>
      </c>
    </row>
    <row r="187" spans="1:27" x14ac:dyDescent="0.3">
      <c r="A187" t="s">
        <v>278</v>
      </c>
      <c r="B187">
        <v>19</v>
      </c>
      <c r="C187" t="s">
        <v>53</v>
      </c>
      <c r="D187">
        <v>7</v>
      </c>
      <c r="E187" t="s">
        <v>82</v>
      </c>
      <c r="F187" t="s">
        <v>134</v>
      </c>
      <c r="G187" t="s">
        <v>50</v>
      </c>
      <c r="H187">
        <v>4.0999999999999996</v>
      </c>
      <c r="I187" t="s">
        <v>32</v>
      </c>
      <c r="J187" t="s">
        <v>42</v>
      </c>
      <c r="K187" t="s">
        <v>34</v>
      </c>
      <c r="L187">
        <v>1.42</v>
      </c>
      <c r="M187">
        <v>4</v>
      </c>
      <c r="N187" t="s">
        <v>80</v>
      </c>
      <c r="O187" t="s">
        <v>33</v>
      </c>
      <c r="P187" t="b">
        <v>1</v>
      </c>
      <c r="Q187" t="b">
        <v>0</v>
      </c>
      <c r="R187" t="b">
        <v>0</v>
      </c>
      <c r="S187" t="b">
        <v>1</v>
      </c>
      <c r="T187" t="b">
        <v>0</v>
      </c>
      <c r="U187">
        <v>0</v>
      </c>
      <c r="V187">
        <v>8.4</v>
      </c>
      <c r="W187">
        <v>4</v>
      </c>
      <c r="X187">
        <v>5.4</v>
      </c>
      <c r="Y187">
        <v>45.66</v>
      </c>
      <c r="Z187">
        <v>8</v>
      </c>
      <c r="AA187" t="s">
        <v>64</v>
      </c>
    </row>
    <row r="188" spans="1:27" x14ac:dyDescent="0.3">
      <c r="A188" t="s">
        <v>279</v>
      </c>
      <c r="B188">
        <v>16</v>
      </c>
      <c r="C188" t="s">
        <v>53</v>
      </c>
      <c r="D188">
        <v>2</v>
      </c>
      <c r="E188" t="s">
        <v>54</v>
      </c>
      <c r="F188" t="s">
        <v>89</v>
      </c>
      <c r="G188" t="s">
        <v>86</v>
      </c>
      <c r="H188">
        <v>7.6</v>
      </c>
      <c r="I188" t="s">
        <v>41</v>
      </c>
      <c r="J188" t="s">
        <v>42</v>
      </c>
      <c r="K188" t="s">
        <v>84</v>
      </c>
      <c r="L188">
        <v>1.23</v>
      </c>
      <c r="N188" t="s">
        <v>66</v>
      </c>
      <c r="O188" t="s">
        <v>57</v>
      </c>
      <c r="P188" t="b">
        <v>0</v>
      </c>
      <c r="Q188" t="b">
        <v>0</v>
      </c>
      <c r="R188" t="b">
        <v>0</v>
      </c>
      <c r="S188" t="b">
        <v>0</v>
      </c>
      <c r="T188" t="b">
        <v>0</v>
      </c>
      <c r="U188">
        <v>0.1</v>
      </c>
      <c r="V188">
        <v>9.9</v>
      </c>
      <c r="W188">
        <v>3</v>
      </c>
      <c r="X188">
        <v>12.7</v>
      </c>
      <c r="Y188">
        <v>23.53</v>
      </c>
      <c r="Z188">
        <v>5</v>
      </c>
      <c r="AA188" t="s">
        <v>46</v>
      </c>
    </row>
    <row r="189" spans="1:27" x14ac:dyDescent="0.3">
      <c r="A189" t="s">
        <v>280</v>
      </c>
      <c r="B189">
        <v>24</v>
      </c>
      <c r="C189" t="s">
        <v>28</v>
      </c>
      <c r="D189">
        <v>11.2</v>
      </c>
      <c r="E189" t="s">
        <v>76</v>
      </c>
      <c r="F189" t="s">
        <v>77</v>
      </c>
      <c r="G189" t="s">
        <v>86</v>
      </c>
      <c r="H189">
        <v>4</v>
      </c>
      <c r="I189" t="s">
        <v>32</v>
      </c>
      <c r="J189" t="s">
        <v>36</v>
      </c>
      <c r="K189" t="s">
        <v>51</v>
      </c>
      <c r="M189">
        <v>10</v>
      </c>
      <c r="N189" t="s">
        <v>63</v>
      </c>
      <c r="O189" t="s">
        <v>57</v>
      </c>
      <c r="P189" t="b">
        <v>1</v>
      </c>
      <c r="Q189" t="b">
        <v>1</v>
      </c>
      <c r="R189" t="b">
        <v>1</v>
      </c>
      <c r="S189" t="b">
        <v>1</v>
      </c>
      <c r="T189" t="b">
        <v>0</v>
      </c>
      <c r="U189">
        <v>3.5</v>
      </c>
      <c r="V189">
        <v>5</v>
      </c>
      <c r="W189">
        <v>8</v>
      </c>
      <c r="X189">
        <v>0.7</v>
      </c>
      <c r="Y189">
        <v>246.83</v>
      </c>
      <c r="Z189">
        <v>8</v>
      </c>
      <c r="AA189" t="s">
        <v>37</v>
      </c>
    </row>
    <row r="190" spans="1:27" x14ac:dyDescent="0.3">
      <c r="A190" t="s">
        <v>281</v>
      </c>
      <c r="B190">
        <v>21</v>
      </c>
      <c r="C190" t="s">
        <v>28</v>
      </c>
      <c r="D190">
        <v>4.4000000000000004</v>
      </c>
      <c r="E190" t="s">
        <v>48</v>
      </c>
      <c r="F190" t="s">
        <v>68</v>
      </c>
      <c r="G190" t="s">
        <v>50</v>
      </c>
      <c r="H190">
        <v>6.6</v>
      </c>
      <c r="I190" t="s">
        <v>41</v>
      </c>
      <c r="J190" t="s">
        <v>42</v>
      </c>
      <c r="K190" t="s">
        <v>34</v>
      </c>
      <c r="L190">
        <v>3.23</v>
      </c>
      <c r="M190">
        <v>9</v>
      </c>
      <c r="N190" t="s">
        <v>63</v>
      </c>
      <c r="O190" t="s">
        <v>42</v>
      </c>
      <c r="P190" t="b">
        <v>0</v>
      </c>
      <c r="Q190" t="b">
        <v>0</v>
      </c>
      <c r="R190" t="b">
        <v>0</v>
      </c>
      <c r="S190" t="b">
        <v>0</v>
      </c>
      <c r="T190" t="b">
        <v>0</v>
      </c>
      <c r="U190">
        <v>1.7</v>
      </c>
      <c r="V190">
        <v>9</v>
      </c>
      <c r="W190">
        <v>3</v>
      </c>
      <c r="X190">
        <v>8.8000000000000007</v>
      </c>
      <c r="Y190">
        <v>45.31</v>
      </c>
      <c r="Z190">
        <v>8</v>
      </c>
      <c r="AA190" t="s">
        <v>46</v>
      </c>
    </row>
    <row r="191" spans="1:27" x14ac:dyDescent="0.3">
      <c r="A191" t="s">
        <v>282</v>
      </c>
      <c r="B191">
        <v>17</v>
      </c>
      <c r="C191" t="s">
        <v>28</v>
      </c>
      <c r="D191">
        <v>6.3</v>
      </c>
      <c r="E191" t="s">
        <v>29</v>
      </c>
      <c r="F191" t="s">
        <v>118</v>
      </c>
      <c r="G191" t="s">
        <v>86</v>
      </c>
      <c r="H191">
        <v>5</v>
      </c>
      <c r="I191" t="s">
        <v>51</v>
      </c>
      <c r="J191" t="s">
        <v>42</v>
      </c>
      <c r="K191" t="s">
        <v>62</v>
      </c>
      <c r="L191">
        <v>3.5</v>
      </c>
      <c r="N191" t="s">
        <v>56</v>
      </c>
      <c r="O191" t="s">
        <v>36</v>
      </c>
      <c r="P191" t="b">
        <v>0</v>
      </c>
      <c r="Q191" t="b">
        <v>0</v>
      </c>
      <c r="R191" t="b">
        <v>0</v>
      </c>
      <c r="S191" t="b">
        <v>1</v>
      </c>
      <c r="T191" t="b">
        <v>1</v>
      </c>
      <c r="U191">
        <v>0.3</v>
      </c>
      <c r="V191">
        <v>7.6</v>
      </c>
      <c r="W191">
        <v>3</v>
      </c>
      <c r="X191">
        <v>8.1999999999999993</v>
      </c>
      <c r="Y191">
        <v>41.6</v>
      </c>
      <c r="Z191">
        <v>5</v>
      </c>
      <c r="AA191" t="s">
        <v>46</v>
      </c>
    </row>
    <row r="192" spans="1:27" x14ac:dyDescent="0.3">
      <c r="A192" t="s">
        <v>283</v>
      </c>
      <c r="B192">
        <v>18</v>
      </c>
      <c r="C192" t="s">
        <v>28</v>
      </c>
      <c r="D192">
        <v>4.2</v>
      </c>
      <c r="E192" t="s">
        <v>48</v>
      </c>
      <c r="F192" t="s">
        <v>128</v>
      </c>
      <c r="G192" t="s">
        <v>86</v>
      </c>
      <c r="H192">
        <v>6.1</v>
      </c>
      <c r="I192" t="s">
        <v>51</v>
      </c>
      <c r="J192" t="s">
        <v>36</v>
      </c>
      <c r="K192" t="s">
        <v>62</v>
      </c>
      <c r="L192">
        <v>1.64</v>
      </c>
      <c r="N192" t="s">
        <v>66</v>
      </c>
      <c r="O192" t="s">
        <v>42</v>
      </c>
      <c r="P192" t="b">
        <v>0</v>
      </c>
      <c r="Q192" t="b">
        <v>0</v>
      </c>
      <c r="R192" t="b">
        <v>0</v>
      </c>
      <c r="S192" t="b">
        <v>0</v>
      </c>
      <c r="T192" t="b">
        <v>0</v>
      </c>
      <c r="U192">
        <v>0.6</v>
      </c>
      <c r="V192">
        <v>7.2</v>
      </c>
      <c r="W192">
        <v>1</v>
      </c>
      <c r="X192">
        <v>9.5</v>
      </c>
      <c r="Y192">
        <v>6.99</v>
      </c>
      <c r="Z192">
        <v>7</v>
      </c>
      <c r="AA192" t="s">
        <v>46</v>
      </c>
    </row>
    <row r="193" spans="1:27" x14ac:dyDescent="0.3">
      <c r="A193" t="s">
        <v>284</v>
      </c>
      <c r="B193">
        <v>20</v>
      </c>
      <c r="C193" t="s">
        <v>28</v>
      </c>
      <c r="D193">
        <v>3.9</v>
      </c>
      <c r="E193" t="s">
        <v>76</v>
      </c>
      <c r="F193" t="s">
        <v>126</v>
      </c>
      <c r="G193" t="s">
        <v>71</v>
      </c>
      <c r="H193">
        <v>6.3</v>
      </c>
      <c r="I193" t="s">
        <v>43</v>
      </c>
      <c r="J193" t="s">
        <v>36</v>
      </c>
      <c r="K193" t="s">
        <v>43</v>
      </c>
      <c r="L193">
        <v>3.5</v>
      </c>
      <c r="M193">
        <v>9</v>
      </c>
      <c r="N193" t="s">
        <v>63</v>
      </c>
      <c r="O193" t="s">
        <v>45</v>
      </c>
      <c r="P193" t="b">
        <v>0</v>
      </c>
      <c r="Q193" t="b">
        <v>0</v>
      </c>
      <c r="R193" t="b">
        <v>0</v>
      </c>
      <c r="S193" t="b">
        <v>0</v>
      </c>
      <c r="T193" t="b">
        <v>0</v>
      </c>
      <c r="U193">
        <v>0</v>
      </c>
      <c r="V193">
        <v>7.9</v>
      </c>
      <c r="W193">
        <v>2</v>
      </c>
      <c r="X193">
        <v>9</v>
      </c>
      <c r="Y193">
        <v>36.21</v>
      </c>
      <c r="Z193">
        <v>2</v>
      </c>
      <c r="AA193" t="s">
        <v>46</v>
      </c>
    </row>
    <row r="194" spans="1:27" x14ac:dyDescent="0.3">
      <c r="A194" t="s">
        <v>285</v>
      </c>
      <c r="B194">
        <v>18</v>
      </c>
      <c r="C194" t="s">
        <v>53</v>
      </c>
      <c r="D194">
        <v>1.5</v>
      </c>
      <c r="E194" t="s">
        <v>82</v>
      </c>
      <c r="F194" t="s">
        <v>83</v>
      </c>
      <c r="G194" t="s">
        <v>86</v>
      </c>
      <c r="H194">
        <v>7</v>
      </c>
      <c r="I194" t="s">
        <v>43</v>
      </c>
      <c r="J194" t="s">
        <v>36</v>
      </c>
      <c r="K194" t="s">
        <v>62</v>
      </c>
      <c r="L194">
        <v>1.24</v>
      </c>
      <c r="N194" t="s">
        <v>44</v>
      </c>
      <c r="O194" t="s">
        <v>57</v>
      </c>
      <c r="P194" t="b">
        <v>0</v>
      </c>
      <c r="Q194" t="b">
        <v>0</v>
      </c>
      <c r="R194" t="b">
        <v>0</v>
      </c>
      <c r="S194" t="b">
        <v>0</v>
      </c>
      <c r="T194" t="b">
        <v>0</v>
      </c>
      <c r="U194">
        <v>0.3</v>
      </c>
      <c r="V194">
        <v>11.5</v>
      </c>
      <c r="W194">
        <v>1</v>
      </c>
      <c r="X194">
        <v>13.6</v>
      </c>
      <c r="Y194">
        <v>32</v>
      </c>
      <c r="Z194">
        <v>7</v>
      </c>
      <c r="AA194" t="s">
        <v>46</v>
      </c>
    </row>
    <row r="195" spans="1:27" x14ac:dyDescent="0.3">
      <c r="A195" t="s">
        <v>286</v>
      </c>
      <c r="B195">
        <v>24</v>
      </c>
      <c r="C195" t="s">
        <v>28</v>
      </c>
      <c r="D195">
        <v>8.8000000000000007</v>
      </c>
      <c r="E195" t="s">
        <v>82</v>
      </c>
      <c r="F195" t="s">
        <v>167</v>
      </c>
      <c r="G195" t="s">
        <v>86</v>
      </c>
      <c r="H195">
        <v>4.0999999999999996</v>
      </c>
      <c r="I195" t="s">
        <v>32</v>
      </c>
      <c r="J195" t="s">
        <v>33</v>
      </c>
      <c r="K195" t="s">
        <v>43</v>
      </c>
      <c r="M195">
        <v>6</v>
      </c>
      <c r="N195" t="s">
        <v>44</v>
      </c>
      <c r="O195" t="s">
        <v>36</v>
      </c>
      <c r="P195" t="b">
        <v>1</v>
      </c>
      <c r="Q195" t="b">
        <v>1</v>
      </c>
      <c r="R195" t="b">
        <v>1</v>
      </c>
      <c r="S195" t="b">
        <v>1</v>
      </c>
      <c r="T195" t="b">
        <v>1</v>
      </c>
      <c r="U195">
        <v>0.9</v>
      </c>
      <c r="V195">
        <v>4.4000000000000004</v>
      </c>
      <c r="W195">
        <v>7</v>
      </c>
      <c r="X195">
        <v>2.6</v>
      </c>
      <c r="Y195">
        <v>67.73</v>
      </c>
      <c r="Z195">
        <v>11</v>
      </c>
      <c r="AA195" t="s">
        <v>37</v>
      </c>
    </row>
    <row r="196" spans="1:27" x14ac:dyDescent="0.3">
      <c r="A196" t="s">
        <v>287</v>
      </c>
      <c r="B196">
        <v>21</v>
      </c>
      <c r="C196" t="s">
        <v>53</v>
      </c>
      <c r="D196">
        <v>3.7</v>
      </c>
      <c r="E196" t="s">
        <v>60</v>
      </c>
      <c r="F196" t="s">
        <v>61</v>
      </c>
      <c r="G196" t="s">
        <v>50</v>
      </c>
      <c r="H196">
        <v>5.8</v>
      </c>
      <c r="I196" t="s">
        <v>51</v>
      </c>
      <c r="J196" t="s">
        <v>36</v>
      </c>
      <c r="K196" t="s">
        <v>51</v>
      </c>
      <c r="L196">
        <v>2.84</v>
      </c>
      <c r="M196">
        <v>8</v>
      </c>
      <c r="N196" t="s">
        <v>63</v>
      </c>
      <c r="O196" t="s">
        <v>36</v>
      </c>
      <c r="P196" t="b">
        <v>0</v>
      </c>
      <c r="Q196" t="b">
        <v>0</v>
      </c>
      <c r="R196" t="b">
        <v>0</v>
      </c>
      <c r="S196" t="b">
        <v>0</v>
      </c>
      <c r="T196" t="b">
        <v>0</v>
      </c>
      <c r="U196">
        <v>0.4</v>
      </c>
      <c r="V196">
        <v>8</v>
      </c>
      <c r="W196">
        <v>3</v>
      </c>
      <c r="X196">
        <v>7.4</v>
      </c>
      <c r="Y196">
        <v>24.63</v>
      </c>
      <c r="Z196">
        <v>10</v>
      </c>
      <c r="AA196" t="s">
        <v>46</v>
      </c>
    </row>
    <row r="197" spans="1:27" x14ac:dyDescent="0.3">
      <c r="A197" t="s">
        <v>288</v>
      </c>
      <c r="B197">
        <v>19</v>
      </c>
      <c r="C197" t="s">
        <v>28</v>
      </c>
      <c r="D197">
        <v>5.2</v>
      </c>
      <c r="E197" t="s">
        <v>39</v>
      </c>
      <c r="F197" t="s">
        <v>120</v>
      </c>
      <c r="G197" t="s">
        <v>50</v>
      </c>
      <c r="H197">
        <v>6.5</v>
      </c>
      <c r="I197" t="s">
        <v>51</v>
      </c>
      <c r="J197" t="s">
        <v>36</v>
      </c>
      <c r="K197" t="s">
        <v>43</v>
      </c>
      <c r="L197">
        <v>1.85</v>
      </c>
      <c r="M197">
        <v>8</v>
      </c>
      <c r="N197" t="s">
        <v>63</v>
      </c>
      <c r="O197" t="s">
        <v>57</v>
      </c>
      <c r="P197" t="b">
        <v>0</v>
      </c>
      <c r="Q197" t="b">
        <v>0</v>
      </c>
      <c r="R197" t="b">
        <v>0</v>
      </c>
      <c r="S197" t="b">
        <v>1</v>
      </c>
      <c r="T197" t="b">
        <v>0</v>
      </c>
      <c r="U197">
        <v>1.8</v>
      </c>
      <c r="V197">
        <v>8.8000000000000007</v>
      </c>
      <c r="W197">
        <v>1</v>
      </c>
      <c r="X197">
        <v>6.2</v>
      </c>
      <c r="Y197">
        <v>89.91</v>
      </c>
      <c r="Z197">
        <v>2</v>
      </c>
      <c r="AA197" t="s">
        <v>46</v>
      </c>
    </row>
    <row r="198" spans="1:27" x14ac:dyDescent="0.3">
      <c r="A198" t="s">
        <v>289</v>
      </c>
      <c r="B198">
        <v>20</v>
      </c>
      <c r="C198" t="s">
        <v>28</v>
      </c>
      <c r="D198">
        <v>6.6</v>
      </c>
      <c r="E198" t="s">
        <v>48</v>
      </c>
      <c r="F198" t="s">
        <v>214</v>
      </c>
      <c r="G198" t="s">
        <v>86</v>
      </c>
      <c r="H198">
        <v>5.0999999999999996</v>
      </c>
      <c r="I198" t="s">
        <v>32</v>
      </c>
      <c r="J198" t="s">
        <v>45</v>
      </c>
      <c r="K198" t="s">
        <v>129</v>
      </c>
      <c r="L198">
        <v>1.77</v>
      </c>
      <c r="M198">
        <v>5</v>
      </c>
      <c r="N198" t="s">
        <v>44</v>
      </c>
      <c r="O198" t="s">
        <v>36</v>
      </c>
      <c r="P198" t="b">
        <v>1</v>
      </c>
      <c r="Q198" t="b">
        <v>1</v>
      </c>
      <c r="R198" t="b">
        <v>0</v>
      </c>
      <c r="S198" t="b">
        <v>1</v>
      </c>
      <c r="T198" t="b">
        <v>1</v>
      </c>
      <c r="U198">
        <v>1.6</v>
      </c>
      <c r="V198">
        <v>7.4</v>
      </c>
      <c r="W198">
        <v>6</v>
      </c>
      <c r="X198">
        <v>5.5</v>
      </c>
      <c r="Y198">
        <v>56.6</v>
      </c>
      <c r="Z198">
        <v>5</v>
      </c>
      <c r="AA198" t="s">
        <v>58</v>
      </c>
    </row>
    <row r="199" spans="1:27" x14ac:dyDescent="0.3">
      <c r="A199" t="s">
        <v>290</v>
      </c>
      <c r="B199">
        <v>24</v>
      </c>
      <c r="C199" t="s">
        <v>53</v>
      </c>
      <c r="D199">
        <v>6.2</v>
      </c>
      <c r="E199" t="s">
        <v>82</v>
      </c>
      <c r="F199" t="s">
        <v>83</v>
      </c>
      <c r="G199" t="s">
        <v>31</v>
      </c>
      <c r="H199">
        <v>5.9</v>
      </c>
      <c r="I199" t="s">
        <v>41</v>
      </c>
      <c r="J199" t="s">
        <v>74</v>
      </c>
      <c r="K199" t="s">
        <v>62</v>
      </c>
      <c r="M199">
        <v>4</v>
      </c>
      <c r="N199" t="s">
        <v>35</v>
      </c>
      <c r="O199" t="s">
        <v>42</v>
      </c>
      <c r="P199" t="b">
        <v>0</v>
      </c>
      <c r="Q199" t="b">
        <v>0</v>
      </c>
      <c r="R199" t="b">
        <v>0</v>
      </c>
      <c r="S199" t="b">
        <v>0</v>
      </c>
      <c r="T199" t="b">
        <v>1</v>
      </c>
      <c r="U199">
        <v>0.7</v>
      </c>
      <c r="V199">
        <v>7.8</v>
      </c>
      <c r="W199">
        <v>2</v>
      </c>
      <c r="X199">
        <v>7.3</v>
      </c>
      <c r="Y199">
        <v>129.72999999999999</v>
      </c>
      <c r="Z199">
        <v>12</v>
      </c>
      <c r="AA199" t="s">
        <v>46</v>
      </c>
    </row>
    <row r="200" spans="1:27" x14ac:dyDescent="0.3">
      <c r="A200" t="s">
        <v>291</v>
      </c>
      <c r="B200">
        <v>18</v>
      </c>
      <c r="C200" t="s">
        <v>28</v>
      </c>
      <c r="D200">
        <v>3.6</v>
      </c>
      <c r="E200" t="s">
        <v>39</v>
      </c>
      <c r="F200" t="s">
        <v>40</v>
      </c>
      <c r="G200" t="s">
        <v>71</v>
      </c>
      <c r="H200">
        <v>6.1</v>
      </c>
      <c r="I200" t="s">
        <v>51</v>
      </c>
      <c r="J200" t="s">
        <v>74</v>
      </c>
      <c r="K200" t="s">
        <v>34</v>
      </c>
      <c r="L200">
        <v>2.02</v>
      </c>
      <c r="N200" t="s">
        <v>80</v>
      </c>
      <c r="O200" t="s">
        <v>57</v>
      </c>
      <c r="P200" t="b">
        <v>0</v>
      </c>
      <c r="Q200" t="b">
        <v>0</v>
      </c>
      <c r="R200" t="b">
        <v>0</v>
      </c>
      <c r="S200" t="b">
        <v>0</v>
      </c>
      <c r="T200" t="b">
        <v>0</v>
      </c>
      <c r="U200">
        <v>0.2</v>
      </c>
      <c r="V200">
        <v>7.1</v>
      </c>
      <c r="W200">
        <v>3</v>
      </c>
      <c r="X200">
        <v>10.1</v>
      </c>
      <c r="Y200">
        <v>8.2899999999999991</v>
      </c>
      <c r="Z200">
        <v>1</v>
      </c>
      <c r="AA200" t="s">
        <v>46</v>
      </c>
    </row>
    <row r="201" spans="1:27" x14ac:dyDescent="0.3">
      <c r="A201" t="s">
        <v>292</v>
      </c>
      <c r="B201">
        <v>21</v>
      </c>
      <c r="C201" t="s">
        <v>53</v>
      </c>
      <c r="D201">
        <v>6</v>
      </c>
      <c r="E201" t="s">
        <v>39</v>
      </c>
      <c r="F201" t="s">
        <v>120</v>
      </c>
      <c r="G201" t="s">
        <v>86</v>
      </c>
      <c r="H201">
        <v>6.7</v>
      </c>
      <c r="I201" t="s">
        <v>41</v>
      </c>
      <c r="J201" t="s">
        <v>74</v>
      </c>
      <c r="K201" t="s">
        <v>84</v>
      </c>
      <c r="L201">
        <v>2.41</v>
      </c>
      <c r="M201">
        <v>3</v>
      </c>
      <c r="N201" t="s">
        <v>44</v>
      </c>
      <c r="O201" t="s">
        <v>45</v>
      </c>
      <c r="P201" t="b">
        <v>0</v>
      </c>
      <c r="Q201" t="b">
        <v>0</v>
      </c>
      <c r="R201" t="b">
        <v>0</v>
      </c>
      <c r="S201" t="b">
        <v>0</v>
      </c>
      <c r="T201" t="b">
        <v>0</v>
      </c>
      <c r="U201">
        <v>0.8</v>
      </c>
      <c r="V201">
        <v>6.1</v>
      </c>
      <c r="W201">
        <v>3</v>
      </c>
      <c r="X201">
        <v>10.3</v>
      </c>
      <c r="Y201">
        <v>108.18</v>
      </c>
      <c r="Z201">
        <v>3</v>
      </c>
      <c r="AA201" t="s">
        <v>46</v>
      </c>
    </row>
    <row r="202" spans="1:27" x14ac:dyDescent="0.3">
      <c r="A202" t="s">
        <v>293</v>
      </c>
      <c r="B202">
        <v>27</v>
      </c>
      <c r="C202" t="s">
        <v>28</v>
      </c>
      <c r="D202">
        <v>4.3</v>
      </c>
      <c r="E202" t="s">
        <v>60</v>
      </c>
      <c r="F202" t="s">
        <v>96</v>
      </c>
      <c r="G202" t="s">
        <v>50</v>
      </c>
      <c r="H202">
        <v>5.5</v>
      </c>
      <c r="I202" t="s">
        <v>41</v>
      </c>
      <c r="J202" t="s">
        <v>36</v>
      </c>
      <c r="K202" t="s">
        <v>34</v>
      </c>
      <c r="M202">
        <v>2</v>
      </c>
      <c r="N202" t="s">
        <v>66</v>
      </c>
      <c r="O202" t="s">
        <v>42</v>
      </c>
      <c r="P202" t="b">
        <v>0</v>
      </c>
      <c r="Q202" t="b">
        <v>0</v>
      </c>
      <c r="R202" t="b">
        <v>0</v>
      </c>
      <c r="S202" t="b">
        <v>0</v>
      </c>
      <c r="T202" t="b">
        <v>0</v>
      </c>
      <c r="U202">
        <v>1.2</v>
      </c>
      <c r="V202">
        <v>8.8000000000000007</v>
      </c>
      <c r="W202">
        <v>3</v>
      </c>
      <c r="X202">
        <v>12.6</v>
      </c>
      <c r="Y202">
        <v>4.8099999999999996</v>
      </c>
      <c r="Z202">
        <v>2</v>
      </c>
      <c r="AA202" t="s">
        <v>46</v>
      </c>
    </row>
    <row r="203" spans="1:27" x14ac:dyDescent="0.3">
      <c r="A203" t="s">
        <v>294</v>
      </c>
      <c r="B203">
        <v>16</v>
      </c>
      <c r="C203" t="s">
        <v>28</v>
      </c>
      <c r="D203">
        <v>8.6999999999999993</v>
      </c>
      <c r="E203" t="s">
        <v>54</v>
      </c>
      <c r="F203" t="s">
        <v>89</v>
      </c>
      <c r="G203" t="s">
        <v>71</v>
      </c>
      <c r="H203">
        <v>3.6</v>
      </c>
      <c r="I203" t="s">
        <v>51</v>
      </c>
      <c r="J203" t="s">
        <v>33</v>
      </c>
      <c r="K203" t="s">
        <v>34</v>
      </c>
      <c r="L203">
        <v>1.3</v>
      </c>
      <c r="N203" t="s">
        <v>105</v>
      </c>
      <c r="O203" t="s">
        <v>42</v>
      </c>
      <c r="P203" t="b">
        <v>1</v>
      </c>
      <c r="Q203" t="b">
        <v>0</v>
      </c>
      <c r="R203" t="b">
        <v>0</v>
      </c>
      <c r="S203" t="b">
        <v>1</v>
      </c>
      <c r="T203" t="b">
        <v>1</v>
      </c>
      <c r="U203">
        <v>0.9</v>
      </c>
      <c r="V203">
        <v>6.9</v>
      </c>
      <c r="W203">
        <v>7</v>
      </c>
      <c r="X203">
        <v>6.4</v>
      </c>
      <c r="Y203">
        <v>178.36</v>
      </c>
      <c r="Z203">
        <v>6</v>
      </c>
      <c r="AA203" t="s">
        <v>58</v>
      </c>
    </row>
    <row r="204" spans="1:27" x14ac:dyDescent="0.3">
      <c r="A204" t="s">
        <v>295</v>
      </c>
      <c r="B204">
        <v>21</v>
      </c>
      <c r="C204" t="s">
        <v>28</v>
      </c>
      <c r="D204">
        <v>12</v>
      </c>
      <c r="E204" t="s">
        <v>29</v>
      </c>
      <c r="F204" t="s">
        <v>73</v>
      </c>
      <c r="G204" t="s">
        <v>86</v>
      </c>
      <c r="H204">
        <v>3.8</v>
      </c>
      <c r="I204" t="s">
        <v>32</v>
      </c>
      <c r="J204" t="s">
        <v>33</v>
      </c>
      <c r="K204" t="s">
        <v>62</v>
      </c>
      <c r="L204">
        <v>1.31</v>
      </c>
      <c r="M204">
        <v>5</v>
      </c>
      <c r="N204" t="s">
        <v>105</v>
      </c>
      <c r="O204" t="s">
        <v>42</v>
      </c>
      <c r="P204" t="b">
        <v>0</v>
      </c>
      <c r="Q204" t="b">
        <v>0</v>
      </c>
      <c r="R204" t="b">
        <v>0</v>
      </c>
      <c r="S204" t="b">
        <v>1</v>
      </c>
      <c r="T204" t="b">
        <v>1</v>
      </c>
      <c r="U204">
        <v>0.9</v>
      </c>
      <c r="V204">
        <v>2.8</v>
      </c>
      <c r="W204">
        <v>9</v>
      </c>
      <c r="X204">
        <v>1.1000000000000001</v>
      </c>
      <c r="Y204">
        <v>389.7</v>
      </c>
      <c r="Z204">
        <v>2</v>
      </c>
      <c r="AA204" t="s">
        <v>64</v>
      </c>
    </row>
    <row r="205" spans="1:27" x14ac:dyDescent="0.3">
      <c r="A205" t="s">
        <v>296</v>
      </c>
      <c r="B205">
        <v>22</v>
      </c>
      <c r="C205" t="s">
        <v>28</v>
      </c>
      <c r="D205">
        <v>5.4</v>
      </c>
      <c r="E205" t="s">
        <v>76</v>
      </c>
      <c r="F205" t="s">
        <v>110</v>
      </c>
      <c r="G205" t="s">
        <v>86</v>
      </c>
      <c r="H205">
        <v>5.5</v>
      </c>
      <c r="I205" t="s">
        <v>43</v>
      </c>
      <c r="J205" t="s">
        <v>45</v>
      </c>
      <c r="K205" t="s">
        <v>34</v>
      </c>
      <c r="L205">
        <v>1.07</v>
      </c>
      <c r="M205">
        <v>1</v>
      </c>
      <c r="N205" t="s">
        <v>121</v>
      </c>
      <c r="O205" t="s">
        <v>42</v>
      </c>
      <c r="P205" t="b">
        <v>0</v>
      </c>
      <c r="Q205" t="b">
        <v>0</v>
      </c>
      <c r="R205" t="b">
        <v>0</v>
      </c>
      <c r="S205" t="b">
        <v>0</v>
      </c>
      <c r="T205" t="b">
        <v>0</v>
      </c>
      <c r="U205">
        <v>0.3</v>
      </c>
      <c r="V205">
        <v>6.4</v>
      </c>
      <c r="W205">
        <v>3</v>
      </c>
      <c r="X205">
        <v>10.9</v>
      </c>
      <c r="Y205">
        <v>39.770000000000003</v>
      </c>
      <c r="Z205">
        <v>3</v>
      </c>
      <c r="AA205" t="s">
        <v>46</v>
      </c>
    </row>
    <row r="206" spans="1:27" x14ac:dyDescent="0.3">
      <c r="A206" t="s">
        <v>297</v>
      </c>
      <c r="B206">
        <v>19</v>
      </c>
      <c r="C206" t="s">
        <v>53</v>
      </c>
      <c r="D206">
        <v>4</v>
      </c>
      <c r="E206" t="s">
        <v>82</v>
      </c>
      <c r="F206" t="s">
        <v>83</v>
      </c>
      <c r="G206" t="s">
        <v>31</v>
      </c>
      <c r="H206">
        <v>6.9</v>
      </c>
      <c r="I206" t="s">
        <v>41</v>
      </c>
      <c r="J206" t="s">
        <v>45</v>
      </c>
      <c r="K206" t="s">
        <v>62</v>
      </c>
      <c r="L206">
        <v>1.85</v>
      </c>
      <c r="M206">
        <v>1</v>
      </c>
      <c r="N206" t="s">
        <v>63</v>
      </c>
      <c r="O206" t="s">
        <v>57</v>
      </c>
      <c r="P206" t="b">
        <v>0</v>
      </c>
      <c r="Q206" t="b">
        <v>0</v>
      </c>
      <c r="R206" t="b">
        <v>0</v>
      </c>
      <c r="S206" t="b">
        <v>0</v>
      </c>
      <c r="T206" t="b">
        <v>0</v>
      </c>
      <c r="U206">
        <v>0.4</v>
      </c>
      <c r="V206">
        <v>6.6</v>
      </c>
      <c r="W206">
        <v>2</v>
      </c>
      <c r="X206">
        <v>8.1999999999999993</v>
      </c>
      <c r="Y206">
        <v>46.13</v>
      </c>
      <c r="Z206">
        <v>4</v>
      </c>
      <c r="AA206" t="s">
        <v>46</v>
      </c>
    </row>
    <row r="207" spans="1:27" x14ac:dyDescent="0.3">
      <c r="A207" t="s">
        <v>298</v>
      </c>
      <c r="B207">
        <v>14</v>
      </c>
      <c r="C207" t="s">
        <v>53</v>
      </c>
      <c r="D207">
        <v>4.7</v>
      </c>
      <c r="E207" t="s">
        <v>39</v>
      </c>
      <c r="F207" t="s">
        <v>40</v>
      </c>
      <c r="G207" t="s">
        <v>86</v>
      </c>
      <c r="H207">
        <v>5.5</v>
      </c>
      <c r="I207" t="s">
        <v>51</v>
      </c>
      <c r="J207" t="s">
        <v>33</v>
      </c>
      <c r="K207" t="s">
        <v>43</v>
      </c>
      <c r="L207">
        <v>3.44</v>
      </c>
      <c r="N207" t="s">
        <v>56</v>
      </c>
      <c r="O207" t="s">
        <v>33</v>
      </c>
      <c r="P207" t="b">
        <v>0</v>
      </c>
      <c r="Q207" t="b">
        <v>0</v>
      </c>
      <c r="R207" t="b">
        <v>0</v>
      </c>
      <c r="S207" t="b">
        <v>1</v>
      </c>
      <c r="T207" t="b">
        <v>0</v>
      </c>
      <c r="U207">
        <v>1.1000000000000001</v>
      </c>
      <c r="V207">
        <v>7.3</v>
      </c>
      <c r="W207">
        <v>3</v>
      </c>
      <c r="X207">
        <v>8.3000000000000007</v>
      </c>
      <c r="Y207">
        <v>87.51</v>
      </c>
      <c r="Z207">
        <v>4</v>
      </c>
      <c r="AA207" t="s">
        <v>46</v>
      </c>
    </row>
    <row r="208" spans="1:27" x14ac:dyDescent="0.3">
      <c r="A208" t="s">
        <v>299</v>
      </c>
      <c r="B208">
        <v>21</v>
      </c>
      <c r="C208" t="s">
        <v>28</v>
      </c>
      <c r="D208">
        <v>2.7</v>
      </c>
      <c r="E208" t="s">
        <v>76</v>
      </c>
      <c r="F208" t="s">
        <v>126</v>
      </c>
      <c r="G208" t="s">
        <v>31</v>
      </c>
      <c r="H208">
        <v>8.1999999999999993</v>
      </c>
      <c r="I208" t="s">
        <v>43</v>
      </c>
      <c r="J208" t="s">
        <v>45</v>
      </c>
      <c r="K208" t="s">
        <v>43</v>
      </c>
      <c r="L208">
        <v>3.69</v>
      </c>
      <c r="M208">
        <v>3</v>
      </c>
      <c r="N208" t="s">
        <v>63</v>
      </c>
      <c r="O208" t="s">
        <v>33</v>
      </c>
      <c r="P208" t="b">
        <v>0</v>
      </c>
      <c r="Q208" t="b">
        <v>0</v>
      </c>
      <c r="R208" t="b">
        <v>0</v>
      </c>
      <c r="S208" t="b">
        <v>0</v>
      </c>
      <c r="T208" t="b">
        <v>0</v>
      </c>
      <c r="U208">
        <v>0.6</v>
      </c>
      <c r="V208">
        <v>6.8</v>
      </c>
      <c r="W208">
        <v>1</v>
      </c>
      <c r="X208">
        <v>12</v>
      </c>
      <c r="Y208">
        <v>12.31</v>
      </c>
      <c r="Z208">
        <v>11</v>
      </c>
      <c r="AA208" t="s">
        <v>46</v>
      </c>
    </row>
    <row r="209" spans="1:27" x14ac:dyDescent="0.3">
      <c r="A209" t="s">
        <v>300</v>
      </c>
      <c r="B209">
        <v>20</v>
      </c>
      <c r="C209" t="s">
        <v>28</v>
      </c>
      <c r="D209">
        <v>7.2</v>
      </c>
      <c r="E209" t="s">
        <v>82</v>
      </c>
      <c r="F209" t="s">
        <v>167</v>
      </c>
      <c r="G209" t="s">
        <v>86</v>
      </c>
      <c r="H209">
        <v>4.3</v>
      </c>
      <c r="I209" t="s">
        <v>32</v>
      </c>
      <c r="J209" t="s">
        <v>74</v>
      </c>
      <c r="K209" t="s">
        <v>129</v>
      </c>
      <c r="L209">
        <v>2.58</v>
      </c>
      <c r="M209">
        <v>8</v>
      </c>
      <c r="N209" t="s">
        <v>44</v>
      </c>
      <c r="O209" t="s">
        <v>33</v>
      </c>
      <c r="P209" t="b">
        <v>1</v>
      </c>
      <c r="Q209" t="b">
        <v>1</v>
      </c>
      <c r="R209" t="b">
        <v>0</v>
      </c>
      <c r="S209" t="b">
        <v>0</v>
      </c>
      <c r="T209" t="b">
        <v>1</v>
      </c>
      <c r="U209">
        <v>0.6</v>
      </c>
      <c r="V209">
        <v>8</v>
      </c>
      <c r="W209">
        <v>5</v>
      </c>
      <c r="X209">
        <v>3.6</v>
      </c>
      <c r="Y209">
        <v>123.4</v>
      </c>
      <c r="Z209">
        <v>1</v>
      </c>
      <c r="AA209" t="s">
        <v>58</v>
      </c>
    </row>
    <row r="210" spans="1:27" x14ac:dyDescent="0.3">
      <c r="A210" t="s">
        <v>301</v>
      </c>
      <c r="B210">
        <v>27</v>
      </c>
      <c r="C210" t="s">
        <v>28</v>
      </c>
      <c r="D210">
        <v>3.9</v>
      </c>
      <c r="E210" t="s">
        <v>82</v>
      </c>
      <c r="F210" t="s">
        <v>83</v>
      </c>
      <c r="G210" t="s">
        <v>50</v>
      </c>
      <c r="H210">
        <v>6.9</v>
      </c>
      <c r="I210" t="s">
        <v>51</v>
      </c>
      <c r="J210" t="s">
        <v>74</v>
      </c>
      <c r="K210" t="s">
        <v>34</v>
      </c>
      <c r="M210">
        <v>6</v>
      </c>
      <c r="N210" t="s">
        <v>121</v>
      </c>
      <c r="O210" t="s">
        <v>36</v>
      </c>
      <c r="P210" t="b">
        <v>0</v>
      </c>
      <c r="Q210" t="b">
        <v>0</v>
      </c>
      <c r="R210" t="b">
        <v>0</v>
      </c>
      <c r="S210" t="b">
        <v>0</v>
      </c>
      <c r="T210" t="b">
        <v>0</v>
      </c>
      <c r="U210">
        <v>0.1</v>
      </c>
      <c r="V210">
        <v>6.1</v>
      </c>
      <c r="W210">
        <v>1</v>
      </c>
      <c r="X210">
        <v>11.2</v>
      </c>
      <c r="Y210">
        <v>18.05</v>
      </c>
      <c r="Z210">
        <v>7</v>
      </c>
      <c r="AA210" t="s">
        <v>46</v>
      </c>
    </row>
    <row r="211" spans="1:27" x14ac:dyDescent="0.3">
      <c r="A211" t="s">
        <v>302</v>
      </c>
      <c r="B211">
        <v>24</v>
      </c>
      <c r="C211" t="s">
        <v>152</v>
      </c>
      <c r="D211">
        <v>12.9</v>
      </c>
      <c r="E211" t="s">
        <v>29</v>
      </c>
      <c r="F211" t="s">
        <v>30</v>
      </c>
      <c r="G211" t="s">
        <v>71</v>
      </c>
      <c r="H211">
        <v>5.5</v>
      </c>
      <c r="I211" t="s">
        <v>41</v>
      </c>
      <c r="J211" t="s">
        <v>42</v>
      </c>
      <c r="K211" t="s">
        <v>129</v>
      </c>
      <c r="M211">
        <v>10</v>
      </c>
      <c r="N211" t="s">
        <v>44</v>
      </c>
      <c r="O211" t="s">
        <v>57</v>
      </c>
      <c r="P211" t="b">
        <v>1</v>
      </c>
      <c r="Q211" t="b">
        <v>0</v>
      </c>
      <c r="R211" t="b">
        <v>0</v>
      </c>
      <c r="S211" t="b">
        <v>1</v>
      </c>
      <c r="T211" t="b">
        <v>0</v>
      </c>
      <c r="U211">
        <v>2.6</v>
      </c>
      <c r="V211">
        <v>4.9000000000000004</v>
      </c>
      <c r="W211">
        <v>7</v>
      </c>
      <c r="X211">
        <v>1.4</v>
      </c>
      <c r="Y211">
        <v>189.43</v>
      </c>
      <c r="Z211">
        <v>5</v>
      </c>
      <c r="AA211" t="s">
        <v>58</v>
      </c>
    </row>
    <row r="212" spans="1:27" x14ac:dyDescent="0.3">
      <c r="A212" t="s">
        <v>303</v>
      </c>
      <c r="B212">
        <v>21</v>
      </c>
      <c r="C212" t="s">
        <v>28</v>
      </c>
      <c r="D212">
        <v>5.0999999999999996</v>
      </c>
      <c r="E212" t="s">
        <v>39</v>
      </c>
      <c r="F212" t="s">
        <v>40</v>
      </c>
      <c r="G212" t="s">
        <v>31</v>
      </c>
      <c r="H212">
        <v>6.7</v>
      </c>
      <c r="I212" t="s">
        <v>41</v>
      </c>
      <c r="J212" t="s">
        <v>74</v>
      </c>
      <c r="K212" t="s">
        <v>43</v>
      </c>
      <c r="L212">
        <v>1.28</v>
      </c>
      <c r="M212">
        <v>1</v>
      </c>
      <c r="N212" t="s">
        <v>44</v>
      </c>
      <c r="O212" t="s">
        <v>36</v>
      </c>
      <c r="P212" t="b">
        <v>0</v>
      </c>
      <c r="Q212" t="b">
        <v>0</v>
      </c>
      <c r="R212" t="b">
        <v>0</v>
      </c>
      <c r="S212" t="b">
        <v>1</v>
      </c>
      <c r="T212" t="b">
        <v>0</v>
      </c>
      <c r="U212">
        <v>1.4</v>
      </c>
      <c r="V212">
        <v>9.1999999999999993</v>
      </c>
      <c r="W212">
        <v>4</v>
      </c>
      <c r="X212">
        <v>7.2</v>
      </c>
      <c r="Y212">
        <v>47.43</v>
      </c>
      <c r="Z212">
        <v>7</v>
      </c>
      <c r="AA212" t="s">
        <v>46</v>
      </c>
    </row>
    <row r="213" spans="1:27" x14ac:dyDescent="0.3">
      <c r="A213" t="s">
        <v>304</v>
      </c>
      <c r="B213">
        <v>21</v>
      </c>
      <c r="C213" t="s">
        <v>28</v>
      </c>
      <c r="D213">
        <v>8.8000000000000007</v>
      </c>
      <c r="E213" t="s">
        <v>76</v>
      </c>
      <c r="F213" t="s">
        <v>126</v>
      </c>
      <c r="G213" t="s">
        <v>50</v>
      </c>
      <c r="H213">
        <v>5.6</v>
      </c>
      <c r="I213" t="s">
        <v>51</v>
      </c>
      <c r="J213" t="s">
        <v>42</v>
      </c>
      <c r="K213" t="s">
        <v>34</v>
      </c>
      <c r="L213">
        <v>3.2</v>
      </c>
      <c r="M213">
        <v>10</v>
      </c>
      <c r="N213" t="s">
        <v>63</v>
      </c>
      <c r="O213" t="s">
        <v>36</v>
      </c>
      <c r="P213" t="b">
        <v>0</v>
      </c>
      <c r="Q213" t="b">
        <v>1</v>
      </c>
      <c r="R213" t="b">
        <v>1</v>
      </c>
      <c r="S213" t="b">
        <v>1</v>
      </c>
      <c r="T213" t="b">
        <v>1</v>
      </c>
      <c r="U213">
        <v>3.6</v>
      </c>
      <c r="V213">
        <v>5.9</v>
      </c>
      <c r="W213">
        <v>5</v>
      </c>
      <c r="X213">
        <v>5.7</v>
      </c>
      <c r="Y213">
        <v>462.75</v>
      </c>
      <c r="Z213">
        <v>4</v>
      </c>
      <c r="AA213" t="s">
        <v>37</v>
      </c>
    </row>
    <row r="214" spans="1:27" x14ac:dyDescent="0.3">
      <c r="A214" t="s">
        <v>305</v>
      </c>
      <c r="B214">
        <v>19</v>
      </c>
      <c r="C214" t="s">
        <v>28</v>
      </c>
      <c r="D214">
        <v>5.2</v>
      </c>
      <c r="E214" t="s">
        <v>82</v>
      </c>
      <c r="F214" t="s">
        <v>83</v>
      </c>
      <c r="G214" t="s">
        <v>86</v>
      </c>
      <c r="H214">
        <v>6.3</v>
      </c>
      <c r="I214" t="s">
        <v>43</v>
      </c>
      <c r="J214" t="s">
        <v>42</v>
      </c>
      <c r="K214" t="s">
        <v>43</v>
      </c>
      <c r="L214">
        <v>3.7</v>
      </c>
      <c r="M214">
        <v>2</v>
      </c>
      <c r="N214" t="s">
        <v>80</v>
      </c>
      <c r="O214" t="s">
        <v>45</v>
      </c>
      <c r="P214" t="b">
        <v>0</v>
      </c>
      <c r="Q214" t="b">
        <v>0</v>
      </c>
      <c r="R214" t="b">
        <v>0</v>
      </c>
      <c r="S214" t="b">
        <v>1</v>
      </c>
      <c r="T214" t="b">
        <v>0</v>
      </c>
      <c r="U214">
        <v>2</v>
      </c>
      <c r="V214">
        <v>7.9</v>
      </c>
      <c r="W214">
        <v>2</v>
      </c>
      <c r="X214">
        <v>8.5</v>
      </c>
      <c r="Y214">
        <v>60.25</v>
      </c>
      <c r="Z214">
        <v>1</v>
      </c>
      <c r="AA214" t="s">
        <v>46</v>
      </c>
    </row>
    <row r="215" spans="1:27" x14ac:dyDescent="0.3">
      <c r="A215" t="s">
        <v>306</v>
      </c>
      <c r="B215">
        <v>20</v>
      </c>
      <c r="C215" t="s">
        <v>28</v>
      </c>
      <c r="D215">
        <v>6.2</v>
      </c>
      <c r="E215" t="s">
        <v>29</v>
      </c>
      <c r="F215" t="s">
        <v>118</v>
      </c>
      <c r="G215" t="s">
        <v>71</v>
      </c>
      <c r="H215">
        <v>5.3</v>
      </c>
      <c r="I215" t="s">
        <v>41</v>
      </c>
      <c r="J215" t="s">
        <v>36</v>
      </c>
      <c r="K215" t="s">
        <v>43</v>
      </c>
      <c r="L215">
        <v>2.19</v>
      </c>
      <c r="M215">
        <v>3</v>
      </c>
      <c r="N215" t="s">
        <v>63</v>
      </c>
      <c r="O215" t="s">
        <v>36</v>
      </c>
      <c r="P215" t="b">
        <v>0</v>
      </c>
      <c r="Q215" t="b">
        <v>0</v>
      </c>
      <c r="R215" t="b">
        <v>0</v>
      </c>
      <c r="S215" t="b">
        <v>1</v>
      </c>
      <c r="T215" t="b">
        <v>1</v>
      </c>
      <c r="U215">
        <v>0.1</v>
      </c>
      <c r="V215">
        <v>6.7</v>
      </c>
      <c r="W215">
        <v>3</v>
      </c>
      <c r="X215">
        <v>10.6</v>
      </c>
      <c r="Y215">
        <v>109.33</v>
      </c>
      <c r="Z215">
        <v>1</v>
      </c>
      <c r="AA215" t="s">
        <v>46</v>
      </c>
    </row>
    <row r="216" spans="1:27" x14ac:dyDescent="0.3">
      <c r="A216" t="s">
        <v>307</v>
      </c>
      <c r="B216">
        <v>19</v>
      </c>
      <c r="C216" t="s">
        <v>53</v>
      </c>
      <c r="D216">
        <v>4.3</v>
      </c>
      <c r="E216" t="s">
        <v>76</v>
      </c>
      <c r="F216" t="s">
        <v>77</v>
      </c>
      <c r="G216" t="s">
        <v>86</v>
      </c>
      <c r="H216">
        <v>5.3</v>
      </c>
      <c r="I216" t="s">
        <v>41</v>
      </c>
      <c r="J216" t="s">
        <v>33</v>
      </c>
      <c r="K216" t="s">
        <v>62</v>
      </c>
      <c r="L216">
        <v>3.09</v>
      </c>
      <c r="M216">
        <v>3</v>
      </c>
      <c r="N216" t="s">
        <v>66</v>
      </c>
      <c r="O216" t="s">
        <v>33</v>
      </c>
      <c r="P216" t="b">
        <v>0</v>
      </c>
      <c r="Q216" t="b">
        <v>0</v>
      </c>
      <c r="R216" t="b">
        <v>0</v>
      </c>
      <c r="S216" t="b">
        <v>0</v>
      </c>
      <c r="T216" t="b">
        <v>0</v>
      </c>
      <c r="U216">
        <v>1.3</v>
      </c>
      <c r="V216">
        <v>6.3</v>
      </c>
      <c r="W216">
        <v>3</v>
      </c>
      <c r="X216">
        <v>8.1</v>
      </c>
      <c r="Y216">
        <v>12.63</v>
      </c>
      <c r="Z216">
        <v>5</v>
      </c>
      <c r="AA216" t="s">
        <v>46</v>
      </c>
    </row>
    <row r="217" spans="1:27" x14ac:dyDescent="0.3">
      <c r="A217" t="s">
        <v>308</v>
      </c>
      <c r="B217">
        <v>19</v>
      </c>
      <c r="C217" t="s">
        <v>28</v>
      </c>
      <c r="D217">
        <v>9.3000000000000007</v>
      </c>
      <c r="E217" t="s">
        <v>29</v>
      </c>
      <c r="F217" t="s">
        <v>73</v>
      </c>
      <c r="G217" t="s">
        <v>50</v>
      </c>
      <c r="H217">
        <v>5.2</v>
      </c>
      <c r="I217" t="s">
        <v>32</v>
      </c>
      <c r="J217" t="s">
        <v>33</v>
      </c>
      <c r="K217" t="s">
        <v>51</v>
      </c>
      <c r="L217">
        <v>2.92</v>
      </c>
      <c r="M217">
        <v>8</v>
      </c>
      <c r="N217" t="s">
        <v>80</v>
      </c>
      <c r="O217" t="s">
        <v>42</v>
      </c>
      <c r="P217" t="b">
        <v>0</v>
      </c>
      <c r="Q217" t="b">
        <v>0</v>
      </c>
      <c r="R217" t="b">
        <v>1</v>
      </c>
      <c r="S217" t="b">
        <v>1</v>
      </c>
      <c r="T217" t="b">
        <v>1</v>
      </c>
      <c r="U217">
        <v>0.6</v>
      </c>
      <c r="V217">
        <v>5.9</v>
      </c>
      <c r="W217">
        <v>5</v>
      </c>
      <c r="X217">
        <v>2.7</v>
      </c>
      <c r="Y217">
        <v>371.68</v>
      </c>
      <c r="Z217">
        <v>2</v>
      </c>
      <c r="AA217" t="s">
        <v>58</v>
      </c>
    </row>
    <row r="218" spans="1:27" x14ac:dyDescent="0.3">
      <c r="A218" t="s">
        <v>309</v>
      </c>
      <c r="B218">
        <v>20</v>
      </c>
      <c r="C218" t="s">
        <v>28</v>
      </c>
      <c r="D218">
        <v>11.3</v>
      </c>
      <c r="E218" t="s">
        <v>82</v>
      </c>
      <c r="F218" t="s">
        <v>83</v>
      </c>
      <c r="G218" t="s">
        <v>86</v>
      </c>
      <c r="H218">
        <v>5.9</v>
      </c>
      <c r="I218" t="s">
        <v>41</v>
      </c>
      <c r="J218" t="s">
        <v>42</v>
      </c>
      <c r="K218" t="s">
        <v>51</v>
      </c>
      <c r="L218">
        <v>2.86</v>
      </c>
      <c r="M218">
        <v>2</v>
      </c>
      <c r="N218" t="s">
        <v>35</v>
      </c>
      <c r="O218" t="s">
        <v>42</v>
      </c>
      <c r="P218" t="b">
        <v>1</v>
      </c>
      <c r="Q218" t="b">
        <v>0</v>
      </c>
      <c r="R218" t="b">
        <v>0</v>
      </c>
      <c r="S218" t="b">
        <v>1</v>
      </c>
      <c r="T218" t="b">
        <v>1</v>
      </c>
      <c r="U218">
        <v>4.4000000000000004</v>
      </c>
      <c r="V218">
        <v>2.6</v>
      </c>
      <c r="W218">
        <v>6</v>
      </c>
      <c r="X218">
        <v>3.7</v>
      </c>
      <c r="Y218">
        <v>485.6</v>
      </c>
      <c r="Z218">
        <v>3</v>
      </c>
      <c r="AA218" t="s">
        <v>58</v>
      </c>
    </row>
    <row r="219" spans="1:27" x14ac:dyDescent="0.3">
      <c r="A219" t="s">
        <v>310</v>
      </c>
      <c r="B219">
        <v>22</v>
      </c>
      <c r="C219" t="s">
        <v>28</v>
      </c>
      <c r="D219">
        <v>11</v>
      </c>
      <c r="E219" t="s">
        <v>48</v>
      </c>
      <c r="F219" t="s">
        <v>214</v>
      </c>
      <c r="G219" t="s">
        <v>86</v>
      </c>
      <c r="H219">
        <v>4.3</v>
      </c>
      <c r="I219" t="s">
        <v>32</v>
      </c>
      <c r="J219" t="s">
        <v>42</v>
      </c>
      <c r="K219" t="s">
        <v>51</v>
      </c>
      <c r="L219">
        <v>3.23</v>
      </c>
      <c r="M219">
        <v>4</v>
      </c>
      <c r="N219" t="s">
        <v>35</v>
      </c>
      <c r="O219" t="s">
        <v>45</v>
      </c>
      <c r="P219" t="b">
        <v>1</v>
      </c>
      <c r="Q219" t="b">
        <v>0</v>
      </c>
      <c r="R219" t="b">
        <v>1</v>
      </c>
      <c r="S219" t="b">
        <v>0</v>
      </c>
      <c r="T219" t="b">
        <v>1</v>
      </c>
      <c r="U219">
        <v>3.6</v>
      </c>
      <c r="V219">
        <v>3.5</v>
      </c>
      <c r="W219">
        <v>10</v>
      </c>
      <c r="X219">
        <v>0</v>
      </c>
      <c r="Y219">
        <v>96.98</v>
      </c>
      <c r="Z219">
        <v>9</v>
      </c>
      <c r="AA219" t="s">
        <v>37</v>
      </c>
    </row>
    <row r="220" spans="1:27" x14ac:dyDescent="0.3">
      <c r="A220" t="s">
        <v>311</v>
      </c>
      <c r="B220">
        <v>17</v>
      </c>
      <c r="C220" t="s">
        <v>152</v>
      </c>
      <c r="D220">
        <v>7.1</v>
      </c>
      <c r="E220" t="s">
        <v>29</v>
      </c>
      <c r="F220" t="s">
        <v>118</v>
      </c>
      <c r="G220" t="s">
        <v>86</v>
      </c>
      <c r="H220">
        <v>5.4</v>
      </c>
      <c r="I220" t="s">
        <v>41</v>
      </c>
      <c r="J220" t="s">
        <v>33</v>
      </c>
      <c r="K220" t="s">
        <v>51</v>
      </c>
      <c r="L220">
        <v>2.41</v>
      </c>
      <c r="N220" t="s">
        <v>35</v>
      </c>
      <c r="O220" t="s">
        <v>42</v>
      </c>
      <c r="P220" t="b">
        <v>0</v>
      </c>
      <c r="Q220" t="b">
        <v>0</v>
      </c>
      <c r="R220" t="b">
        <v>0</v>
      </c>
      <c r="S220" t="b">
        <v>1</v>
      </c>
      <c r="T220" t="b">
        <v>1</v>
      </c>
      <c r="U220">
        <v>1.3</v>
      </c>
      <c r="V220">
        <v>4.8</v>
      </c>
      <c r="W220">
        <v>3</v>
      </c>
      <c r="X220">
        <v>5.3</v>
      </c>
      <c r="Y220">
        <v>104.49</v>
      </c>
      <c r="Z220">
        <v>5</v>
      </c>
      <c r="AA220" t="s">
        <v>46</v>
      </c>
    </row>
    <row r="221" spans="1:27" x14ac:dyDescent="0.3">
      <c r="A221" t="s">
        <v>312</v>
      </c>
      <c r="B221">
        <v>17</v>
      </c>
      <c r="C221" t="s">
        <v>28</v>
      </c>
      <c r="D221">
        <v>4.5999999999999996</v>
      </c>
      <c r="E221" t="s">
        <v>54</v>
      </c>
      <c r="F221" t="s">
        <v>55</v>
      </c>
      <c r="G221" t="s">
        <v>31</v>
      </c>
      <c r="H221">
        <v>5.7</v>
      </c>
      <c r="I221" t="s">
        <v>41</v>
      </c>
      <c r="J221" t="s">
        <v>74</v>
      </c>
      <c r="K221" t="s">
        <v>62</v>
      </c>
      <c r="L221">
        <v>3.24</v>
      </c>
      <c r="N221" t="s">
        <v>66</v>
      </c>
      <c r="O221" t="s">
        <v>33</v>
      </c>
      <c r="P221" t="b">
        <v>0</v>
      </c>
      <c r="Q221" t="b">
        <v>0</v>
      </c>
      <c r="R221" t="b">
        <v>0</v>
      </c>
      <c r="S221" t="b">
        <v>1</v>
      </c>
      <c r="T221" t="b">
        <v>0</v>
      </c>
      <c r="U221">
        <v>1.4</v>
      </c>
      <c r="V221">
        <v>7.2</v>
      </c>
      <c r="W221">
        <v>3</v>
      </c>
      <c r="X221">
        <v>9.1</v>
      </c>
      <c r="Y221">
        <v>17.420000000000002</v>
      </c>
      <c r="Z221">
        <v>2</v>
      </c>
      <c r="AA221" t="s">
        <v>46</v>
      </c>
    </row>
    <row r="222" spans="1:27" x14ac:dyDescent="0.3">
      <c r="A222" t="s">
        <v>313</v>
      </c>
      <c r="B222">
        <v>20</v>
      </c>
      <c r="C222" t="s">
        <v>28</v>
      </c>
      <c r="D222">
        <v>3.2</v>
      </c>
      <c r="E222" t="s">
        <v>39</v>
      </c>
      <c r="F222" t="s">
        <v>40</v>
      </c>
      <c r="G222" t="s">
        <v>50</v>
      </c>
      <c r="H222">
        <v>7.2</v>
      </c>
      <c r="I222" t="s">
        <v>43</v>
      </c>
      <c r="J222" t="s">
        <v>45</v>
      </c>
      <c r="K222" t="s">
        <v>43</v>
      </c>
      <c r="L222">
        <v>3.65</v>
      </c>
      <c r="M222">
        <v>9</v>
      </c>
      <c r="N222" t="s">
        <v>69</v>
      </c>
      <c r="O222" t="s">
        <v>45</v>
      </c>
      <c r="P222" t="b">
        <v>0</v>
      </c>
      <c r="Q222" t="b">
        <v>0</v>
      </c>
      <c r="R222" t="b">
        <v>0</v>
      </c>
      <c r="S222" t="b">
        <v>0</v>
      </c>
      <c r="T222" t="b">
        <v>0</v>
      </c>
      <c r="U222">
        <v>1.4</v>
      </c>
      <c r="V222">
        <v>9.4</v>
      </c>
      <c r="W222">
        <v>3</v>
      </c>
      <c r="X222">
        <v>12.2</v>
      </c>
      <c r="Y222">
        <v>17.98</v>
      </c>
      <c r="Z222">
        <v>2</v>
      </c>
      <c r="AA222" t="s">
        <v>46</v>
      </c>
    </row>
    <row r="223" spans="1:27" x14ac:dyDescent="0.3">
      <c r="A223" t="s">
        <v>314</v>
      </c>
      <c r="B223">
        <v>16</v>
      </c>
      <c r="C223" t="s">
        <v>28</v>
      </c>
      <c r="D223">
        <v>5.0999999999999996</v>
      </c>
      <c r="E223" t="s">
        <v>76</v>
      </c>
      <c r="F223" t="s">
        <v>77</v>
      </c>
      <c r="G223" t="s">
        <v>50</v>
      </c>
      <c r="H223">
        <v>6.6</v>
      </c>
      <c r="I223" t="s">
        <v>43</v>
      </c>
      <c r="J223" t="s">
        <v>33</v>
      </c>
      <c r="K223" t="s">
        <v>62</v>
      </c>
      <c r="L223">
        <v>1.35</v>
      </c>
      <c r="N223" t="s">
        <v>80</v>
      </c>
      <c r="O223" t="s">
        <v>33</v>
      </c>
      <c r="P223" t="b">
        <v>0</v>
      </c>
      <c r="Q223" t="b">
        <v>0</v>
      </c>
      <c r="R223" t="b">
        <v>0</v>
      </c>
      <c r="S223" t="b">
        <v>1</v>
      </c>
      <c r="T223" t="b">
        <v>0</v>
      </c>
      <c r="U223">
        <v>2.6</v>
      </c>
      <c r="V223">
        <v>8</v>
      </c>
      <c r="W223">
        <v>3</v>
      </c>
      <c r="X223">
        <v>7.2</v>
      </c>
      <c r="Y223">
        <v>130.26</v>
      </c>
      <c r="Z223">
        <v>1</v>
      </c>
      <c r="AA223" t="s">
        <v>46</v>
      </c>
    </row>
    <row r="224" spans="1:27" x14ac:dyDescent="0.3">
      <c r="A224" t="s">
        <v>315</v>
      </c>
      <c r="B224">
        <v>17</v>
      </c>
      <c r="C224" t="s">
        <v>28</v>
      </c>
      <c r="D224">
        <v>2.7</v>
      </c>
      <c r="E224" t="s">
        <v>39</v>
      </c>
      <c r="F224" t="s">
        <v>40</v>
      </c>
      <c r="G224" t="s">
        <v>71</v>
      </c>
      <c r="H224">
        <v>8.6</v>
      </c>
      <c r="I224" t="s">
        <v>43</v>
      </c>
      <c r="J224" t="s">
        <v>42</v>
      </c>
      <c r="K224" t="s">
        <v>84</v>
      </c>
      <c r="L224">
        <v>1.44</v>
      </c>
      <c r="N224" t="s">
        <v>105</v>
      </c>
      <c r="O224" t="s">
        <v>42</v>
      </c>
      <c r="P224" t="b">
        <v>0</v>
      </c>
      <c r="Q224" t="b">
        <v>0</v>
      </c>
      <c r="R224" t="b">
        <v>0</v>
      </c>
      <c r="S224" t="b">
        <v>0</v>
      </c>
      <c r="T224" t="b">
        <v>0</v>
      </c>
      <c r="U224">
        <v>0.8</v>
      </c>
      <c r="V224">
        <v>9.1</v>
      </c>
      <c r="W224">
        <v>1</v>
      </c>
      <c r="X224">
        <v>11.6</v>
      </c>
      <c r="Y224">
        <v>43.38</v>
      </c>
      <c r="Z224">
        <v>4</v>
      </c>
      <c r="AA224" t="s">
        <v>46</v>
      </c>
    </row>
    <row r="225" spans="1:27" x14ac:dyDescent="0.3">
      <c r="A225" t="s">
        <v>316</v>
      </c>
      <c r="B225">
        <v>20</v>
      </c>
      <c r="C225" t="s">
        <v>53</v>
      </c>
      <c r="D225">
        <v>2.7</v>
      </c>
      <c r="E225" t="s">
        <v>60</v>
      </c>
      <c r="F225" t="s">
        <v>96</v>
      </c>
      <c r="G225" t="s">
        <v>31</v>
      </c>
      <c r="H225">
        <v>7.1</v>
      </c>
      <c r="I225" t="s">
        <v>41</v>
      </c>
      <c r="J225" t="s">
        <v>42</v>
      </c>
      <c r="K225" t="s">
        <v>43</v>
      </c>
      <c r="L225">
        <v>3.38</v>
      </c>
      <c r="M225">
        <v>2</v>
      </c>
      <c r="N225" t="s">
        <v>66</v>
      </c>
      <c r="O225" t="s">
        <v>45</v>
      </c>
      <c r="P225" t="b">
        <v>0</v>
      </c>
      <c r="Q225" t="b">
        <v>0</v>
      </c>
      <c r="R225" t="b">
        <v>0</v>
      </c>
      <c r="S225" t="b">
        <v>0</v>
      </c>
      <c r="T225" t="b">
        <v>0</v>
      </c>
      <c r="U225">
        <v>0.6</v>
      </c>
      <c r="V225">
        <v>6.6</v>
      </c>
      <c r="W225">
        <v>2</v>
      </c>
      <c r="X225">
        <v>13.9</v>
      </c>
      <c r="Y225">
        <v>37.909999999999997</v>
      </c>
      <c r="Z225">
        <v>7</v>
      </c>
      <c r="AA225" t="s">
        <v>46</v>
      </c>
    </row>
    <row r="226" spans="1:27" x14ac:dyDescent="0.3">
      <c r="A226" t="s">
        <v>317</v>
      </c>
      <c r="B226">
        <v>18</v>
      </c>
      <c r="C226" t="s">
        <v>28</v>
      </c>
      <c r="D226">
        <v>4.0999999999999996</v>
      </c>
      <c r="E226" t="s">
        <v>82</v>
      </c>
      <c r="F226" t="s">
        <v>83</v>
      </c>
      <c r="G226" t="s">
        <v>50</v>
      </c>
      <c r="H226">
        <v>5.8</v>
      </c>
      <c r="I226" t="s">
        <v>41</v>
      </c>
      <c r="J226" t="s">
        <v>36</v>
      </c>
      <c r="K226" t="s">
        <v>84</v>
      </c>
      <c r="L226">
        <v>3.01</v>
      </c>
      <c r="N226" t="s">
        <v>35</v>
      </c>
      <c r="O226" t="s">
        <v>36</v>
      </c>
      <c r="P226" t="b">
        <v>0</v>
      </c>
      <c r="Q226" t="b">
        <v>0</v>
      </c>
      <c r="R226" t="b">
        <v>0</v>
      </c>
      <c r="S226" t="b">
        <v>0</v>
      </c>
      <c r="T226" t="b">
        <v>0</v>
      </c>
      <c r="U226">
        <v>0.2</v>
      </c>
      <c r="V226">
        <v>8.9</v>
      </c>
      <c r="W226">
        <v>3</v>
      </c>
      <c r="X226">
        <v>9.9</v>
      </c>
      <c r="Y226">
        <v>34.75</v>
      </c>
      <c r="Z226">
        <v>1</v>
      </c>
      <c r="AA226" t="s">
        <v>46</v>
      </c>
    </row>
    <row r="227" spans="1:27" x14ac:dyDescent="0.3">
      <c r="A227" t="s">
        <v>318</v>
      </c>
      <c r="B227">
        <v>20</v>
      </c>
      <c r="C227" t="s">
        <v>53</v>
      </c>
      <c r="D227">
        <v>0.5</v>
      </c>
      <c r="E227" t="s">
        <v>82</v>
      </c>
      <c r="F227" t="s">
        <v>134</v>
      </c>
      <c r="G227" t="s">
        <v>86</v>
      </c>
      <c r="H227">
        <v>8.6999999999999993</v>
      </c>
      <c r="I227" t="s">
        <v>43</v>
      </c>
      <c r="J227" t="s">
        <v>36</v>
      </c>
      <c r="K227" t="s">
        <v>43</v>
      </c>
      <c r="L227">
        <v>3.88</v>
      </c>
      <c r="M227">
        <v>3</v>
      </c>
      <c r="N227" t="s">
        <v>44</v>
      </c>
      <c r="O227" t="s">
        <v>57</v>
      </c>
      <c r="P227" t="b">
        <v>0</v>
      </c>
      <c r="Q227" t="b">
        <v>0</v>
      </c>
      <c r="R227" t="b">
        <v>0</v>
      </c>
      <c r="S227" t="b">
        <v>0</v>
      </c>
      <c r="T227" t="b">
        <v>0</v>
      </c>
      <c r="U227">
        <v>0.4</v>
      </c>
      <c r="V227">
        <v>10.4</v>
      </c>
      <c r="W227">
        <v>1</v>
      </c>
      <c r="X227">
        <v>15</v>
      </c>
      <c r="Y227">
        <v>22.38</v>
      </c>
      <c r="Z227">
        <v>10</v>
      </c>
      <c r="AA227" t="s">
        <v>46</v>
      </c>
    </row>
    <row r="228" spans="1:27" x14ac:dyDescent="0.3">
      <c r="A228" t="s">
        <v>319</v>
      </c>
      <c r="B228">
        <v>19</v>
      </c>
      <c r="C228" t="s">
        <v>28</v>
      </c>
      <c r="D228">
        <v>7.1</v>
      </c>
      <c r="E228" t="s">
        <v>76</v>
      </c>
      <c r="F228" t="s">
        <v>77</v>
      </c>
      <c r="G228" t="s">
        <v>71</v>
      </c>
      <c r="H228">
        <v>4.3</v>
      </c>
      <c r="I228" t="s">
        <v>32</v>
      </c>
      <c r="J228" t="s">
        <v>74</v>
      </c>
      <c r="K228" t="s">
        <v>34</v>
      </c>
      <c r="L228">
        <v>2.4500000000000002</v>
      </c>
      <c r="M228">
        <v>4</v>
      </c>
      <c r="N228" t="s">
        <v>69</v>
      </c>
      <c r="O228" t="s">
        <v>45</v>
      </c>
      <c r="P228" t="b">
        <v>0</v>
      </c>
      <c r="Q228" t="b">
        <v>1</v>
      </c>
      <c r="R228" t="b">
        <v>0</v>
      </c>
      <c r="S228" t="b">
        <v>0</v>
      </c>
      <c r="T228" t="b">
        <v>1</v>
      </c>
      <c r="U228">
        <v>0.1</v>
      </c>
      <c r="V228">
        <v>8.5</v>
      </c>
      <c r="W228">
        <v>5</v>
      </c>
      <c r="X228">
        <v>3.7</v>
      </c>
      <c r="Y228">
        <v>79</v>
      </c>
      <c r="Z228">
        <v>5</v>
      </c>
      <c r="AA228" t="s">
        <v>64</v>
      </c>
    </row>
    <row r="229" spans="1:27" x14ac:dyDescent="0.3">
      <c r="A229" t="s">
        <v>320</v>
      </c>
      <c r="B229">
        <v>19</v>
      </c>
      <c r="C229" t="s">
        <v>53</v>
      </c>
      <c r="D229">
        <v>7.8</v>
      </c>
      <c r="E229" t="s">
        <v>39</v>
      </c>
      <c r="F229" t="s">
        <v>93</v>
      </c>
      <c r="G229" t="s">
        <v>86</v>
      </c>
      <c r="H229">
        <v>4.2</v>
      </c>
      <c r="I229" t="s">
        <v>41</v>
      </c>
      <c r="J229" t="s">
        <v>33</v>
      </c>
      <c r="K229" t="s">
        <v>51</v>
      </c>
      <c r="L229">
        <v>2.89</v>
      </c>
      <c r="M229">
        <v>6</v>
      </c>
      <c r="N229" t="s">
        <v>105</v>
      </c>
      <c r="O229" t="s">
        <v>45</v>
      </c>
      <c r="P229" t="b">
        <v>0</v>
      </c>
      <c r="Q229" t="b">
        <v>0</v>
      </c>
      <c r="R229" t="b">
        <v>0</v>
      </c>
      <c r="S229" t="b">
        <v>0</v>
      </c>
      <c r="T229" t="b">
        <v>0</v>
      </c>
      <c r="U229">
        <v>0.1</v>
      </c>
      <c r="V229">
        <v>4.7</v>
      </c>
      <c r="W229">
        <v>4</v>
      </c>
      <c r="X229">
        <v>8.3000000000000007</v>
      </c>
      <c r="Y229">
        <v>135.38</v>
      </c>
      <c r="Z229">
        <v>6</v>
      </c>
      <c r="AA229" t="s">
        <v>46</v>
      </c>
    </row>
    <row r="230" spans="1:27" x14ac:dyDescent="0.3">
      <c r="A230" t="s">
        <v>321</v>
      </c>
      <c r="B230">
        <v>20</v>
      </c>
      <c r="C230" t="s">
        <v>53</v>
      </c>
      <c r="D230">
        <v>3.5</v>
      </c>
      <c r="E230" t="s">
        <v>39</v>
      </c>
      <c r="F230" t="s">
        <v>120</v>
      </c>
      <c r="G230" t="s">
        <v>71</v>
      </c>
      <c r="H230">
        <v>5</v>
      </c>
      <c r="I230" t="s">
        <v>51</v>
      </c>
      <c r="J230" t="s">
        <v>36</v>
      </c>
      <c r="K230" t="s">
        <v>62</v>
      </c>
      <c r="L230">
        <v>3.22</v>
      </c>
      <c r="M230">
        <v>3</v>
      </c>
      <c r="N230" t="s">
        <v>80</v>
      </c>
      <c r="O230" t="s">
        <v>45</v>
      </c>
      <c r="P230" t="b">
        <v>0</v>
      </c>
      <c r="Q230" t="b">
        <v>0</v>
      </c>
      <c r="R230" t="b">
        <v>0</v>
      </c>
      <c r="S230" t="b">
        <v>0</v>
      </c>
      <c r="T230" t="b">
        <v>0</v>
      </c>
      <c r="U230">
        <v>1</v>
      </c>
      <c r="V230">
        <v>10</v>
      </c>
      <c r="W230">
        <v>2</v>
      </c>
      <c r="X230">
        <v>8.5</v>
      </c>
      <c r="Y230">
        <v>48.25</v>
      </c>
      <c r="Z230">
        <v>10</v>
      </c>
      <c r="AA230" t="s">
        <v>46</v>
      </c>
    </row>
    <row r="231" spans="1:27" x14ac:dyDescent="0.3">
      <c r="A231" t="s">
        <v>322</v>
      </c>
      <c r="B231">
        <v>19</v>
      </c>
      <c r="C231" t="s">
        <v>28</v>
      </c>
      <c r="D231">
        <v>8.6999999999999993</v>
      </c>
      <c r="E231" t="s">
        <v>60</v>
      </c>
      <c r="F231" t="s">
        <v>200</v>
      </c>
      <c r="G231" t="s">
        <v>71</v>
      </c>
      <c r="H231">
        <v>3.3</v>
      </c>
      <c r="I231" t="s">
        <v>51</v>
      </c>
      <c r="J231" t="s">
        <v>42</v>
      </c>
      <c r="K231" t="s">
        <v>34</v>
      </c>
      <c r="L231">
        <v>3.47</v>
      </c>
      <c r="M231">
        <v>2</v>
      </c>
      <c r="N231" t="s">
        <v>66</v>
      </c>
      <c r="O231" t="s">
        <v>42</v>
      </c>
      <c r="P231" t="b">
        <v>1</v>
      </c>
      <c r="Q231" t="b">
        <v>0</v>
      </c>
      <c r="R231" t="b">
        <v>0</v>
      </c>
      <c r="S231" t="b">
        <v>0</v>
      </c>
      <c r="T231" t="b">
        <v>0</v>
      </c>
      <c r="U231">
        <v>1.6</v>
      </c>
      <c r="V231">
        <v>6.4</v>
      </c>
      <c r="W231">
        <v>5</v>
      </c>
      <c r="X231">
        <v>3.2</v>
      </c>
      <c r="Y231">
        <v>362.26</v>
      </c>
      <c r="Z231">
        <v>6</v>
      </c>
      <c r="AA231" t="s">
        <v>58</v>
      </c>
    </row>
    <row r="232" spans="1:27" x14ac:dyDescent="0.3">
      <c r="A232" t="s">
        <v>323</v>
      </c>
      <c r="B232">
        <v>19</v>
      </c>
      <c r="C232" t="s">
        <v>28</v>
      </c>
      <c r="D232">
        <v>8.1999999999999993</v>
      </c>
      <c r="E232" t="s">
        <v>60</v>
      </c>
      <c r="F232" t="s">
        <v>102</v>
      </c>
      <c r="G232" t="s">
        <v>50</v>
      </c>
      <c r="H232">
        <v>5.9</v>
      </c>
      <c r="I232" t="s">
        <v>51</v>
      </c>
      <c r="J232" t="s">
        <v>45</v>
      </c>
      <c r="K232" t="s">
        <v>51</v>
      </c>
      <c r="L232">
        <v>2.4700000000000002</v>
      </c>
      <c r="M232">
        <v>7</v>
      </c>
      <c r="N232" t="s">
        <v>105</v>
      </c>
      <c r="O232" t="s">
        <v>33</v>
      </c>
      <c r="P232" t="b">
        <v>1</v>
      </c>
      <c r="Q232" t="b">
        <v>0</v>
      </c>
      <c r="R232" t="b">
        <v>1</v>
      </c>
      <c r="S232" t="b">
        <v>0</v>
      </c>
      <c r="T232" t="b">
        <v>1</v>
      </c>
      <c r="U232">
        <v>0.9</v>
      </c>
      <c r="V232">
        <v>5.4</v>
      </c>
      <c r="W232">
        <v>5</v>
      </c>
      <c r="X232">
        <v>4</v>
      </c>
      <c r="Y232">
        <v>18.61</v>
      </c>
      <c r="Z232">
        <v>6</v>
      </c>
      <c r="AA232" t="s">
        <v>58</v>
      </c>
    </row>
    <row r="233" spans="1:27" x14ac:dyDescent="0.3">
      <c r="A233" t="s">
        <v>324</v>
      </c>
      <c r="B233">
        <v>19</v>
      </c>
      <c r="C233" t="s">
        <v>53</v>
      </c>
      <c r="D233">
        <v>8.6999999999999993</v>
      </c>
      <c r="E233" t="s">
        <v>54</v>
      </c>
      <c r="F233" t="s">
        <v>98</v>
      </c>
      <c r="G233" t="s">
        <v>31</v>
      </c>
      <c r="H233">
        <v>4.2</v>
      </c>
      <c r="I233" t="s">
        <v>41</v>
      </c>
      <c r="J233" t="s">
        <v>74</v>
      </c>
      <c r="K233" t="s">
        <v>51</v>
      </c>
      <c r="L233">
        <v>1.97</v>
      </c>
      <c r="M233">
        <v>10</v>
      </c>
      <c r="N233" t="s">
        <v>35</v>
      </c>
      <c r="O233" t="s">
        <v>57</v>
      </c>
      <c r="P233" t="b">
        <v>0</v>
      </c>
      <c r="Q233" t="b">
        <v>1</v>
      </c>
      <c r="R233" t="b">
        <v>0</v>
      </c>
      <c r="S233" t="b">
        <v>0</v>
      </c>
      <c r="T233" t="b">
        <v>0</v>
      </c>
      <c r="U233">
        <v>5.5</v>
      </c>
      <c r="V233">
        <v>4.8</v>
      </c>
      <c r="W233">
        <v>6</v>
      </c>
      <c r="X233">
        <v>7.2</v>
      </c>
      <c r="Y233">
        <v>428.62</v>
      </c>
      <c r="Z233">
        <v>4</v>
      </c>
      <c r="AA233" t="s">
        <v>58</v>
      </c>
    </row>
    <row r="234" spans="1:27" x14ac:dyDescent="0.3">
      <c r="A234" t="s">
        <v>325</v>
      </c>
      <c r="B234">
        <v>27</v>
      </c>
      <c r="C234" t="s">
        <v>28</v>
      </c>
      <c r="D234">
        <v>6</v>
      </c>
      <c r="E234" t="s">
        <v>39</v>
      </c>
      <c r="F234" t="s">
        <v>40</v>
      </c>
      <c r="G234" t="s">
        <v>31</v>
      </c>
      <c r="H234">
        <v>5.7</v>
      </c>
      <c r="I234" t="s">
        <v>43</v>
      </c>
      <c r="J234" t="s">
        <v>45</v>
      </c>
      <c r="K234" t="s">
        <v>34</v>
      </c>
      <c r="M234">
        <v>3</v>
      </c>
      <c r="N234" t="s">
        <v>105</v>
      </c>
      <c r="O234" t="s">
        <v>57</v>
      </c>
      <c r="P234" t="b">
        <v>0</v>
      </c>
      <c r="Q234" t="b">
        <v>0</v>
      </c>
      <c r="R234" t="b">
        <v>0</v>
      </c>
      <c r="S234" t="b">
        <v>1</v>
      </c>
      <c r="T234" t="b">
        <v>0</v>
      </c>
      <c r="U234">
        <v>1.2</v>
      </c>
      <c r="V234">
        <v>5.3</v>
      </c>
      <c r="W234">
        <v>5</v>
      </c>
      <c r="X234">
        <v>5</v>
      </c>
      <c r="Y234">
        <v>74.069999999999993</v>
      </c>
      <c r="Z234">
        <v>8</v>
      </c>
      <c r="AA234" t="s">
        <v>46</v>
      </c>
    </row>
    <row r="235" spans="1:27" x14ac:dyDescent="0.3">
      <c r="A235" t="s">
        <v>326</v>
      </c>
      <c r="B235">
        <v>18</v>
      </c>
      <c r="C235" t="s">
        <v>53</v>
      </c>
      <c r="D235">
        <v>5.9</v>
      </c>
      <c r="E235" t="s">
        <v>48</v>
      </c>
      <c r="F235" t="s">
        <v>214</v>
      </c>
      <c r="G235" t="s">
        <v>86</v>
      </c>
      <c r="H235">
        <v>5.2</v>
      </c>
      <c r="I235" t="s">
        <v>41</v>
      </c>
      <c r="J235" t="s">
        <v>74</v>
      </c>
      <c r="K235" t="s">
        <v>62</v>
      </c>
      <c r="L235">
        <v>2.37</v>
      </c>
      <c r="N235" t="s">
        <v>69</v>
      </c>
      <c r="O235" t="s">
        <v>45</v>
      </c>
      <c r="P235" t="b">
        <v>0</v>
      </c>
      <c r="Q235" t="b">
        <v>1</v>
      </c>
      <c r="R235" t="b">
        <v>0</v>
      </c>
      <c r="S235" t="b">
        <v>1</v>
      </c>
      <c r="T235" t="b">
        <v>1</v>
      </c>
      <c r="U235">
        <v>3.1</v>
      </c>
      <c r="V235">
        <v>6.2</v>
      </c>
      <c r="W235">
        <v>3</v>
      </c>
      <c r="X235">
        <v>6.1</v>
      </c>
      <c r="Y235">
        <v>25.16</v>
      </c>
      <c r="Z235">
        <v>6</v>
      </c>
      <c r="AA235" t="s">
        <v>64</v>
      </c>
    </row>
    <row r="236" spans="1:27" x14ac:dyDescent="0.3">
      <c r="A236" t="s">
        <v>327</v>
      </c>
      <c r="B236">
        <v>23</v>
      </c>
      <c r="C236" t="s">
        <v>28</v>
      </c>
      <c r="D236">
        <v>5.2</v>
      </c>
      <c r="E236" t="s">
        <v>29</v>
      </c>
      <c r="F236" t="s">
        <v>30</v>
      </c>
      <c r="G236" t="s">
        <v>86</v>
      </c>
      <c r="H236">
        <v>5.9</v>
      </c>
      <c r="I236" t="s">
        <v>41</v>
      </c>
      <c r="J236" t="s">
        <v>33</v>
      </c>
      <c r="K236" t="s">
        <v>84</v>
      </c>
      <c r="M236">
        <v>2</v>
      </c>
      <c r="N236" t="s">
        <v>121</v>
      </c>
      <c r="O236" t="s">
        <v>42</v>
      </c>
      <c r="P236" t="b">
        <v>0</v>
      </c>
      <c r="Q236" t="b">
        <v>0</v>
      </c>
      <c r="R236" t="b">
        <v>0</v>
      </c>
      <c r="S236" t="b">
        <v>1</v>
      </c>
      <c r="T236" t="b">
        <v>0</v>
      </c>
      <c r="U236">
        <v>1.5</v>
      </c>
      <c r="V236">
        <v>8.4</v>
      </c>
      <c r="W236">
        <v>2</v>
      </c>
      <c r="X236">
        <v>9.6</v>
      </c>
      <c r="Y236">
        <v>103.9</v>
      </c>
      <c r="Z236">
        <v>2</v>
      </c>
      <c r="AA236" t="s">
        <v>46</v>
      </c>
    </row>
    <row r="237" spans="1:27" x14ac:dyDescent="0.3">
      <c r="A237" t="s">
        <v>328</v>
      </c>
      <c r="B237">
        <v>21</v>
      </c>
      <c r="C237" t="s">
        <v>28</v>
      </c>
      <c r="D237">
        <v>5.5</v>
      </c>
      <c r="E237" t="s">
        <v>76</v>
      </c>
      <c r="F237" t="s">
        <v>77</v>
      </c>
      <c r="G237" t="s">
        <v>31</v>
      </c>
      <c r="H237">
        <v>5.3</v>
      </c>
      <c r="I237" t="s">
        <v>43</v>
      </c>
      <c r="J237" t="s">
        <v>42</v>
      </c>
      <c r="K237" t="s">
        <v>84</v>
      </c>
      <c r="L237">
        <v>2.35</v>
      </c>
      <c r="M237">
        <v>10</v>
      </c>
      <c r="N237" t="s">
        <v>80</v>
      </c>
      <c r="O237" t="s">
        <v>45</v>
      </c>
      <c r="P237" t="b">
        <v>0</v>
      </c>
      <c r="Q237" t="b">
        <v>1</v>
      </c>
      <c r="R237" t="b">
        <v>0</v>
      </c>
      <c r="S237" t="b">
        <v>0</v>
      </c>
      <c r="T237" t="b">
        <v>0</v>
      </c>
      <c r="U237">
        <v>3.9</v>
      </c>
      <c r="V237">
        <v>8.6999999999999993</v>
      </c>
      <c r="W237">
        <v>3</v>
      </c>
      <c r="X237">
        <v>5.3</v>
      </c>
      <c r="Y237">
        <v>121.44</v>
      </c>
      <c r="Z237">
        <v>11</v>
      </c>
      <c r="AA237" t="s">
        <v>64</v>
      </c>
    </row>
    <row r="238" spans="1:27" x14ac:dyDescent="0.3">
      <c r="A238" t="s">
        <v>329</v>
      </c>
      <c r="B238">
        <v>17</v>
      </c>
      <c r="C238" t="s">
        <v>28</v>
      </c>
      <c r="D238">
        <v>7.5</v>
      </c>
      <c r="E238" t="s">
        <v>39</v>
      </c>
      <c r="F238" t="s">
        <v>93</v>
      </c>
      <c r="G238" t="s">
        <v>86</v>
      </c>
      <c r="H238">
        <v>3.4</v>
      </c>
      <c r="I238" t="s">
        <v>32</v>
      </c>
      <c r="J238" t="s">
        <v>42</v>
      </c>
      <c r="K238" t="s">
        <v>34</v>
      </c>
      <c r="L238">
        <v>2.62</v>
      </c>
      <c r="N238" t="s">
        <v>35</v>
      </c>
      <c r="O238" t="s">
        <v>36</v>
      </c>
      <c r="P238" t="b">
        <v>0</v>
      </c>
      <c r="Q238" t="b">
        <v>0</v>
      </c>
      <c r="R238" t="b">
        <v>1</v>
      </c>
      <c r="S238" t="b">
        <v>1</v>
      </c>
      <c r="T238" t="b">
        <v>0</v>
      </c>
      <c r="U238">
        <v>0.2</v>
      </c>
      <c r="V238">
        <v>7.7</v>
      </c>
      <c r="W238">
        <v>5</v>
      </c>
      <c r="X238">
        <v>4.5</v>
      </c>
      <c r="Y238">
        <v>145.06</v>
      </c>
      <c r="Z238">
        <v>4</v>
      </c>
      <c r="AA238" t="s">
        <v>64</v>
      </c>
    </row>
    <row r="239" spans="1:27" x14ac:dyDescent="0.3">
      <c r="A239" t="s">
        <v>330</v>
      </c>
      <c r="B239">
        <v>26</v>
      </c>
      <c r="C239" t="s">
        <v>53</v>
      </c>
      <c r="D239">
        <v>8.8000000000000007</v>
      </c>
      <c r="E239" t="s">
        <v>76</v>
      </c>
      <c r="F239" t="s">
        <v>126</v>
      </c>
      <c r="G239" t="s">
        <v>31</v>
      </c>
      <c r="H239">
        <v>4.9000000000000004</v>
      </c>
      <c r="I239" t="s">
        <v>51</v>
      </c>
      <c r="J239" t="s">
        <v>45</v>
      </c>
      <c r="K239" t="s">
        <v>62</v>
      </c>
      <c r="M239">
        <v>9</v>
      </c>
      <c r="N239" t="s">
        <v>69</v>
      </c>
      <c r="O239" t="s">
        <v>42</v>
      </c>
      <c r="P239" t="b">
        <v>1</v>
      </c>
      <c r="Q239" t="b">
        <v>1</v>
      </c>
      <c r="R239" t="b">
        <v>1</v>
      </c>
      <c r="S239" t="b">
        <v>0</v>
      </c>
      <c r="T239" t="b">
        <v>1</v>
      </c>
      <c r="U239">
        <v>3.5</v>
      </c>
      <c r="V239">
        <v>5.9</v>
      </c>
      <c r="W239">
        <v>6</v>
      </c>
      <c r="X239">
        <v>1.6</v>
      </c>
      <c r="Y239">
        <v>430.82</v>
      </c>
      <c r="Z239">
        <v>14</v>
      </c>
      <c r="AA239" t="s">
        <v>37</v>
      </c>
    </row>
    <row r="240" spans="1:27" x14ac:dyDescent="0.3">
      <c r="A240" t="s">
        <v>331</v>
      </c>
      <c r="B240">
        <v>20</v>
      </c>
      <c r="C240" t="s">
        <v>53</v>
      </c>
      <c r="D240">
        <v>5.7</v>
      </c>
      <c r="E240" t="s">
        <v>54</v>
      </c>
      <c r="F240" t="s">
        <v>89</v>
      </c>
      <c r="G240" t="s">
        <v>86</v>
      </c>
      <c r="H240">
        <v>5.5</v>
      </c>
      <c r="I240" t="s">
        <v>41</v>
      </c>
      <c r="J240" t="s">
        <v>33</v>
      </c>
      <c r="K240" t="s">
        <v>62</v>
      </c>
      <c r="L240">
        <v>2.25</v>
      </c>
      <c r="M240">
        <v>3</v>
      </c>
      <c r="N240" t="s">
        <v>69</v>
      </c>
      <c r="O240" t="s">
        <v>57</v>
      </c>
      <c r="P240" t="b">
        <v>0</v>
      </c>
      <c r="Q240" t="b">
        <v>1</v>
      </c>
      <c r="R240" t="b">
        <v>0</v>
      </c>
      <c r="S240" t="b">
        <v>0</v>
      </c>
      <c r="T240" t="b">
        <v>1</v>
      </c>
      <c r="U240">
        <v>0.3</v>
      </c>
      <c r="V240">
        <v>8.6999999999999993</v>
      </c>
      <c r="W240">
        <v>5</v>
      </c>
      <c r="X240">
        <v>8.5</v>
      </c>
      <c r="Y240">
        <v>60.72</v>
      </c>
      <c r="Z240">
        <v>2</v>
      </c>
      <c r="AA240" t="s">
        <v>64</v>
      </c>
    </row>
    <row r="241" spans="1:27" x14ac:dyDescent="0.3">
      <c r="A241" t="s">
        <v>332</v>
      </c>
      <c r="B241">
        <v>22</v>
      </c>
      <c r="C241" t="s">
        <v>53</v>
      </c>
      <c r="D241">
        <v>10.9</v>
      </c>
      <c r="E241" t="s">
        <v>48</v>
      </c>
      <c r="F241" t="s">
        <v>68</v>
      </c>
      <c r="G241" t="s">
        <v>31</v>
      </c>
      <c r="H241">
        <v>5.2</v>
      </c>
      <c r="I241" t="s">
        <v>32</v>
      </c>
      <c r="J241" t="s">
        <v>36</v>
      </c>
      <c r="K241" t="s">
        <v>51</v>
      </c>
      <c r="L241">
        <v>3.74</v>
      </c>
      <c r="M241">
        <v>9</v>
      </c>
      <c r="N241" t="s">
        <v>44</v>
      </c>
      <c r="O241" t="s">
        <v>36</v>
      </c>
      <c r="P241" t="b">
        <v>1</v>
      </c>
      <c r="Q241" t="b">
        <v>1</v>
      </c>
      <c r="R241" t="b">
        <v>0</v>
      </c>
      <c r="S241" t="b">
        <v>1</v>
      </c>
      <c r="T241" t="b">
        <v>1</v>
      </c>
      <c r="U241">
        <v>3</v>
      </c>
      <c r="V241">
        <v>5.2</v>
      </c>
      <c r="W241">
        <v>8</v>
      </c>
      <c r="X241">
        <v>0</v>
      </c>
      <c r="Y241">
        <v>247.59</v>
      </c>
      <c r="Z241">
        <v>7</v>
      </c>
      <c r="AA241" t="s">
        <v>37</v>
      </c>
    </row>
    <row r="242" spans="1:27" x14ac:dyDescent="0.3">
      <c r="A242" t="s">
        <v>333</v>
      </c>
      <c r="B242">
        <v>17</v>
      </c>
      <c r="C242" t="s">
        <v>28</v>
      </c>
      <c r="D242">
        <v>2.2999999999999998</v>
      </c>
      <c r="E242" t="s">
        <v>48</v>
      </c>
      <c r="F242" t="s">
        <v>214</v>
      </c>
      <c r="G242" t="s">
        <v>86</v>
      </c>
      <c r="H242">
        <v>8.6999999999999993</v>
      </c>
      <c r="I242" t="s">
        <v>43</v>
      </c>
      <c r="J242" t="s">
        <v>45</v>
      </c>
      <c r="K242" t="s">
        <v>43</v>
      </c>
      <c r="L242">
        <v>1.39</v>
      </c>
      <c r="N242" t="s">
        <v>80</v>
      </c>
      <c r="O242" t="s">
        <v>45</v>
      </c>
      <c r="P242" t="b">
        <v>0</v>
      </c>
      <c r="Q242" t="b">
        <v>0</v>
      </c>
      <c r="R242" t="b">
        <v>0</v>
      </c>
      <c r="S242" t="b">
        <v>0</v>
      </c>
      <c r="T242" t="b">
        <v>0</v>
      </c>
      <c r="U242">
        <v>0.8</v>
      </c>
      <c r="V242">
        <v>7</v>
      </c>
      <c r="W242">
        <v>4</v>
      </c>
      <c r="X242">
        <v>12.7</v>
      </c>
      <c r="Y242">
        <v>35.909999999999997</v>
      </c>
      <c r="Z242">
        <v>4</v>
      </c>
      <c r="AA242" t="s">
        <v>46</v>
      </c>
    </row>
    <row r="243" spans="1:27" x14ac:dyDescent="0.3">
      <c r="A243" t="s">
        <v>334</v>
      </c>
      <c r="B243">
        <v>24</v>
      </c>
      <c r="C243" t="s">
        <v>28</v>
      </c>
      <c r="D243">
        <v>0.7</v>
      </c>
      <c r="E243" t="s">
        <v>48</v>
      </c>
      <c r="F243" t="s">
        <v>128</v>
      </c>
      <c r="G243" t="s">
        <v>50</v>
      </c>
      <c r="H243">
        <v>8.3000000000000007</v>
      </c>
      <c r="I243" t="s">
        <v>43</v>
      </c>
      <c r="J243" t="s">
        <v>45</v>
      </c>
      <c r="K243" t="s">
        <v>62</v>
      </c>
      <c r="M243">
        <v>5</v>
      </c>
      <c r="N243" t="s">
        <v>66</v>
      </c>
      <c r="O243" t="s">
        <v>57</v>
      </c>
      <c r="P243" t="b">
        <v>0</v>
      </c>
      <c r="Q243" t="b">
        <v>0</v>
      </c>
      <c r="R243" t="b">
        <v>0</v>
      </c>
      <c r="S243" t="b">
        <v>0</v>
      </c>
      <c r="T243" t="b">
        <v>0</v>
      </c>
      <c r="U243">
        <v>0.3</v>
      </c>
      <c r="V243">
        <v>9.5</v>
      </c>
      <c r="W243">
        <v>1</v>
      </c>
      <c r="X243">
        <v>11</v>
      </c>
      <c r="Y243">
        <v>6.93</v>
      </c>
      <c r="Z243">
        <v>7</v>
      </c>
      <c r="AA243" t="s">
        <v>46</v>
      </c>
    </row>
    <row r="244" spans="1:27" x14ac:dyDescent="0.3">
      <c r="A244" t="s">
        <v>335</v>
      </c>
      <c r="B244">
        <v>20</v>
      </c>
      <c r="C244" t="s">
        <v>28</v>
      </c>
      <c r="D244">
        <v>6.6</v>
      </c>
      <c r="E244" t="s">
        <v>76</v>
      </c>
      <c r="F244" t="s">
        <v>126</v>
      </c>
      <c r="G244" t="s">
        <v>71</v>
      </c>
      <c r="H244">
        <v>3.8</v>
      </c>
      <c r="I244" t="s">
        <v>32</v>
      </c>
      <c r="J244" t="s">
        <v>45</v>
      </c>
      <c r="K244" t="s">
        <v>51</v>
      </c>
      <c r="L244">
        <v>3.02</v>
      </c>
      <c r="M244">
        <v>3</v>
      </c>
      <c r="N244" t="s">
        <v>63</v>
      </c>
      <c r="O244" t="s">
        <v>33</v>
      </c>
      <c r="P244" t="b">
        <v>1</v>
      </c>
      <c r="Q244" t="b">
        <v>1</v>
      </c>
      <c r="R244" t="b">
        <v>0</v>
      </c>
      <c r="S244" t="b">
        <v>1</v>
      </c>
      <c r="T244" t="b">
        <v>1</v>
      </c>
      <c r="U244">
        <v>0.1</v>
      </c>
      <c r="V244">
        <v>8.1</v>
      </c>
      <c r="W244">
        <v>3</v>
      </c>
      <c r="X244">
        <v>7.5</v>
      </c>
      <c r="Y244">
        <v>50.22</v>
      </c>
      <c r="Z244">
        <v>9</v>
      </c>
      <c r="AA244" t="s">
        <v>58</v>
      </c>
    </row>
    <row r="245" spans="1:27" x14ac:dyDescent="0.3">
      <c r="A245" t="s">
        <v>336</v>
      </c>
      <c r="B245">
        <v>19</v>
      </c>
      <c r="C245" t="s">
        <v>53</v>
      </c>
      <c r="D245">
        <v>9.3000000000000007</v>
      </c>
      <c r="E245" t="s">
        <v>48</v>
      </c>
      <c r="F245" t="s">
        <v>49</v>
      </c>
      <c r="G245" t="s">
        <v>50</v>
      </c>
      <c r="H245">
        <v>3</v>
      </c>
      <c r="I245" t="s">
        <v>51</v>
      </c>
      <c r="J245" t="s">
        <v>33</v>
      </c>
      <c r="K245" t="s">
        <v>51</v>
      </c>
      <c r="L245">
        <v>3.51</v>
      </c>
      <c r="M245">
        <v>5</v>
      </c>
      <c r="N245" t="s">
        <v>44</v>
      </c>
      <c r="O245" t="s">
        <v>57</v>
      </c>
      <c r="P245" t="b">
        <v>1</v>
      </c>
      <c r="Q245" t="b">
        <v>0</v>
      </c>
      <c r="R245" t="b">
        <v>0</v>
      </c>
      <c r="S245" t="b">
        <v>1</v>
      </c>
      <c r="T245" t="b">
        <v>0</v>
      </c>
      <c r="U245">
        <v>2.2999999999999998</v>
      </c>
      <c r="V245">
        <v>6.1</v>
      </c>
      <c r="W245">
        <v>5</v>
      </c>
      <c r="X245">
        <v>4.5999999999999996</v>
      </c>
      <c r="Y245">
        <v>195.86</v>
      </c>
      <c r="Z245">
        <v>3</v>
      </c>
      <c r="AA245" t="s">
        <v>58</v>
      </c>
    </row>
    <row r="246" spans="1:27" x14ac:dyDescent="0.3">
      <c r="A246" t="s">
        <v>337</v>
      </c>
      <c r="B246">
        <v>33</v>
      </c>
      <c r="C246" t="s">
        <v>53</v>
      </c>
      <c r="D246">
        <v>2.7</v>
      </c>
      <c r="E246" t="s">
        <v>48</v>
      </c>
      <c r="F246" t="s">
        <v>214</v>
      </c>
      <c r="G246" t="s">
        <v>86</v>
      </c>
      <c r="H246">
        <v>8.6999999999999993</v>
      </c>
      <c r="I246" t="s">
        <v>43</v>
      </c>
      <c r="J246" t="s">
        <v>42</v>
      </c>
      <c r="K246" t="s">
        <v>43</v>
      </c>
      <c r="M246">
        <v>6</v>
      </c>
      <c r="N246" t="s">
        <v>66</v>
      </c>
      <c r="O246" t="s">
        <v>42</v>
      </c>
      <c r="P246" t="b">
        <v>0</v>
      </c>
      <c r="Q246" t="b">
        <v>0</v>
      </c>
      <c r="R246" t="b">
        <v>0</v>
      </c>
      <c r="S246" t="b">
        <v>0</v>
      </c>
      <c r="T246" t="b">
        <v>0</v>
      </c>
      <c r="U246">
        <v>1</v>
      </c>
      <c r="V246">
        <v>8.3000000000000007</v>
      </c>
      <c r="W246">
        <v>2</v>
      </c>
      <c r="X246">
        <v>10.7</v>
      </c>
      <c r="Y246">
        <v>31.35</v>
      </c>
      <c r="Z246">
        <v>20</v>
      </c>
      <c r="AA246" t="s">
        <v>46</v>
      </c>
    </row>
    <row r="247" spans="1:27" x14ac:dyDescent="0.3">
      <c r="A247" t="s">
        <v>338</v>
      </c>
      <c r="B247">
        <v>14</v>
      </c>
      <c r="C247" t="s">
        <v>28</v>
      </c>
      <c r="D247">
        <v>1</v>
      </c>
      <c r="E247" t="s">
        <v>76</v>
      </c>
      <c r="F247" t="s">
        <v>110</v>
      </c>
      <c r="G247" t="s">
        <v>50</v>
      </c>
      <c r="H247">
        <v>7.2</v>
      </c>
      <c r="I247" t="s">
        <v>41</v>
      </c>
      <c r="J247" t="s">
        <v>45</v>
      </c>
      <c r="K247" t="s">
        <v>34</v>
      </c>
      <c r="L247">
        <v>2.33</v>
      </c>
      <c r="N247" t="s">
        <v>80</v>
      </c>
      <c r="O247" t="s">
        <v>33</v>
      </c>
      <c r="P247" t="b">
        <v>0</v>
      </c>
      <c r="Q247" t="b">
        <v>0</v>
      </c>
      <c r="R247" t="b">
        <v>0</v>
      </c>
      <c r="S247" t="b">
        <v>0</v>
      </c>
      <c r="T247" t="b">
        <v>0</v>
      </c>
      <c r="U247">
        <v>0.4</v>
      </c>
      <c r="V247">
        <v>10.1</v>
      </c>
      <c r="W247">
        <v>1</v>
      </c>
      <c r="X247">
        <v>13.4</v>
      </c>
      <c r="Y247">
        <v>35.39</v>
      </c>
      <c r="Z247">
        <v>2</v>
      </c>
      <c r="AA247" t="s">
        <v>46</v>
      </c>
    </row>
    <row r="248" spans="1:27" x14ac:dyDescent="0.3">
      <c r="A248" t="s">
        <v>339</v>
      </c>
      <c r="B248">
        <v>20</v>
      </c>
      <c r="C248" t="s">
        <v>53</v>
      </c>
      <c r="D248">
        <v>8.9</v>
      </c>
      <c r="E248" t="s">
        <v>82</v>
      </c>
      <c r="F248" t="s">
        <v>167</v>
      </c>
      <c r="G248" t="s">
        <v>86</v>
      </c>
      <c r="H248">
        <v>4.3</v>
      </c>
      <c r="I248" t="s">
        <v>41</v>
      </c>
      <c r="J248" t="s">
        <v>42</v>
      </c>
      <c r="K248" t="s">
        <v>51</v>
      </c>
      <c r="L248">
        <v>3.28</v>
      </c>
      <c r="M248">
        <v>1</v>
      </c>
      <c r="N248" t="s">
        <v>63</v>
      </c>
      <c r="O248" t="s">
        <v>42</v>
      </c>
      <c r="P248" t="b">
        <v>1</v>
      </c>
      <c r="Q248" t="b">
        <v>0</v>
      </c>
      <c r="R248" t="b">
        <v>1</v>
      </c>
      <c r="S248" t="b">
        <v>1</v>
      </c>
      <c r="T248" t="b">
        <v>1</v>
      </c>
      <c r="U248">
        <v>3.4</v>
      </c>
      <c r="V248">
        <v>6.9</v>
      </c>
      <c r="W248">
        <v>5</v>
      </c>
      <c r="X248">
        <v>4.7</v>
      </c>
      <c r="Y248">
        <v>131.33000000000001</v>
      </c>
      <c r="Z248">
        <v>2</v>
      </c>
      <c r="AA248" t="s">
        <v>37</v>
      </c>
    </row>
    <row r="249" spans="1:27" x14ac:dyDescent="0.3">
      <c r="A249" t="s">
        <v>340</v>
      </c>
      <c r="B249">
        <v>20</v>
      </c>
      <c r="C249" t="s">
        <v>28</v>
      </c>
      <c r="D249">
        <v>8.1999999999999993</v>
      </c>
      <c r="E249" t="s">
        <v>48</v>
      </c>
      <c r="F249" t="s">
        <v>49</v>
      </c>
      <c r="G249" t="s">
        <v>71</v>
      </c>
      <c r="H249">
        <v>3.2</v>
      </c>
      <c r="I249" t="s">
        <v>51</v>
      </c>
      <c r="J249" t="s">
        <v>36</v>
      </c>
      <c r="K249" t="s">
        <v>129</v>
      </c>
      <c r="L249">
        <v>2.33</v>
      </c>
      <c r="M249">
        <v>8</v>
      </c>
      <c r="N249" t="s">
        <v>35</v>
      </c>
      <c r="O249" t="s">
        <v>42</v>
      </c>
      <c r="P249" t="b">
        <v>0</v>
      </c>
      <c r="Q249" t="b">
        <v>0</v>
      </c>
      <c r="R249" t="b">
        <v>1</v>
      </c>
      <c r="S249" t="b">
        <v>0</v>
      </c>
      <c r="T249" t="b">
        <v>1</v>
      </c>
      <c r="U249">
        <v>3.6</v>
      </c>
      <c r="V249">
        <v>5.8</v>
      </c>
      <c r="W249">
        <v>5</v>
      </c>
      <c r="X249">
        <v>5.2</v>
      </c>
      <c r="Y249">
        <v>103.72</v>
      </c>
      <c r="Z249">
        <v>2</v>
      </c>
      <c r="AA249" t="s">
        <v>64</v>
      </c>
    </row>
    <row r="250" spans="1:27" x14ac:dyDescent="0.3">
      <c r="A250" t="s">
        <v>341</v>
      </c>
      <c r="B250">
        <v>18</v>
      </c>
      <c r="C250" t="s">
        <v>28</v>
      </c>
      <c r="D250">
        <v>7.8</v>
      </c>
      <c r="E250" t="s">
        <v>76</v>
      </c>
      <c r="F250" t="s">
        <v>77</v>
      </c>
      <c r="G250" t="s">
        <v>86</v>
      </c>
      <c r="H250">
        <v>3.7</v>
      </c>
      <c r="I250" t="s">
        <v>32</v>
      </c>
      <c r="J250" t="s">
        <v>33</v>
      </c>
      <c r="K250" t="s">
        <v>51</v>
      </c>
      <c r="L250">
        <v>3.65</v>
      </c>
      <c r="N250" t="s">
        <v>69</v>
      </c>
      <c r="O250" t="s">
        <v>36</v>
      </c>
      <c r="P250" t="b">
        <v>1</v>
      </c>
      <c r="Q250" t="b">
        <v>1</v>
      </c>
      <c r="R250" t="b">
        <v>1</v>
      </c>
      <c r="S250" t="b">
        <v>0</v>
      </c>
      <c r="T250" t="b">
        <v>1</v>
      </c>
      <c r="U250">
        <v>1.4</v>
      </c>
      <c r="V250">
        <v>5.8</v>
      </c>
      <c r="W250">
        <v>6</v>
      </c>
      <c r="X250">
        <v>6.3</v>
      </c>
      <c r="Y250">
        <v>89.41</v>
      </c>
      <c r="Z250">
        <v>6</v>
      </c>
      <c r="AA250" t="s">
        <v>37</v>
      </c>
    </row>
    <row r="251" spans="1:27" x14ac:dyDescent="0.3">
      <c r="A251" t="s">
        <v>342</v>
      </c>
      <c r="B251">
        <v>25</v>
      </c>
      <c r="C251" t="s">
        <v>53</v>
      </c>
      <c r="D251">
        <v>3.9</v>
      </c>
      <c r="E251" t="s">
        <v>60</v>
      </c>
      <c r="F251" t="s">
        <v>102</v>
      </c>
      <c r="G251" t="s">
        <v>71</v>
      </c>
      <c r="H251">
        <v>6.3</v>
      </c>
      <c r="I251" t="s">
        <v>51</v>
      </c>
      <c r="J251" t="s">
        <v>74</v>
      </c>
      <c r="K251" t="s">
        <v>62</v>
      </c>
      <c r="M251">
        <v>2</v>
      </c>
      <c r="N251" t="s">
        <v>44</v>
      </c>
      <c r="O251" t="s">
        <v>45</v>
      </c>
      <c r="P251" t="b">
        <v>0</v>
      </c>
      <c r="Q251" t="b">
        <v>0</v>
      </c>
      <c r="R251" t="b">
        <v>0</v>
      </c>
      <c r="S251" t="b">
        <v>0</v>
      </c>
      <c r="T251" t="b">
        <v>0</v>
      </c>
      <c r="U251">
        <v>0.2</v>
      </c>
      <c r="V251">
        <v>8.1999999999999993</v>
      </c>
      <c r="W251">
        <v>2</v>
      </c>
      <c r="X251">
        <v>12.4</v>
      </c>
      <c r="Y251">
        <v>17.57</v>
      </c>
      <c r="Z251">
        <v>9</v>
      </c>
      <c r="AA251" t="s">
        <v>46</v>
      </c>
    </row>
    <row r="252" spans="1:27" x14ac:dyDescent="0.3">
      <c r="A252" t="s">
        <v>343</v>
      </c>
      <c r="B252">
        <v>16</v>
      </c>
      <c r="C252" t="s">
        <v>28</v>
      </c>
      <c r="D252">
        <v>4.5999999999999996</v>
      </c>
      <c r="E252" t="s">
        <v>60</v>
      </c>
      <c r="F252" t="s">
        <v>102</v>
      </c>
      <c r="G252" t="s">
        <v>50</v>
      </c>
      <c r="H252">
        <v>6</v>
      </c>
      <c r="I252" t="s">
        <v>32</v>
      </c>
      <c r="J252" t="s">
        <v>33</v>
      </c>
      <c r="K252" t="s">
        <v>34</v>
      </c>
      <c r="L252">
        <v>3.2</v>
      </c>
      <c r="N252" t="s">
        <v>80</v>
      </c>
      <c r="O252" t="s">
        <v>45</v>
      </c>
      <c r="P252" t="b">
        <v>0</v>
      </c>
      <c r="Q252" t="b">
        <v>0</v>
      </c>
      <c r="R252" t="b">
        <v>0</v>
      </c>
      <c r="S252" t="b">
        <v>1</v>
      </c>
      <c r="T252" t="b">
        <v>0</v>
      </c>
      <c r="U252">
        <v>1.6</v>
      </c>
      <c r="V252">
        <v>6.9</v>
      </c>
      <c r="W252">
        <v>3</v>
      </c>
      <c r="X252">
        <v>8.9</v>
      </c>
      <c r="Y252">
        <v>37.4</v>
      </c>
      <c r="Z252">
        <v>5</v>
      </c>
      <c r="AA252" t="s">
        <v>46</v>
      </c>
    </row>
    <row r="253" spans="1:27" x14ac:dyDescent="0.3">
      <c r="A253" t="s">
        <v>344</v>
      </c>
      <c r="B253">
        <v>20</v>
      </c>
      <c r="C253" t="s">
        <v>28</v>
      </c>
      <c r="D253">
        <v>8.1999999999999993</v>
      </c>
      <c r="E253" t="s">
        <v>39</v>
      </c>
      <c r="F253" t="s">
        <v>40</v>
      </c>
      <c r="G253" t="s">
        <v>31</v>
      </c>
      <c r="H253">
        <v>5</v>
      </c>
      <c r="I253" t="s">
        <v>51</v>
      </c>
      <c r="J253" t="s">
        <v>45</v>
      </c>
      <c r="K253" t="s">
        <v>34</v>
      </c>
      <c r="L253">
        <v>2.21</v>
      </c>
      <c r="M253">
        <v>6</v>
      </c>
      <c r="N253" t="s">
        <v>80</v>
      </c>
      <c r="O253" t="s">
        <v>33</v>
      </c>
      <c r="P253" t="b">
        <v>1</v>
      </c>
      <c r="Q253" t="b">
        <v>0</v>
      </c>
      <c r="R253" t="b">
        <v>1</v>
      </c>
      <c r="S253" t="b">
        <v>0</v>
      </c>
      <c r="T253" t="b">
        <v>1</v>
      </c>
      <c r="U253">
        <v>3.1</v>
      </c>
      <c r="V253">
        <v>6.6</v>
      </c>
      <c r="W253">
        <v>6</v>
      </c>
      <c r="X253">
        <v>6.4</v>
      </c>
      <c r="Y253">
        <v>66.44</v>
      </c>
      <c r="Z253">
        <v>4</v>
      </c>
      <c r="AA253" t="s">
        <v>58</v>
      </c>
    </row>
    <row r="254" spans="1:27" x14ac:dyDescent="0.3">
      <c r="A254" t="s">
        <v>345</v>
      </c>
      <c r="B254">
        <v>18</v>
      </c>
      <c r="C254" t="s">
        <v>53</v>
      </c>
      <c r="D254">
        <v>7.3</v>
      </c>
      <c r="E254" t="s">
        <v>29</v>
      </c>
      <c r="F254" t="s">
        <v>104</v>
      </c>
      <c r="G254" t="s">
        <v>86</v>
      </c>
      <c r="H254">
        <v>4.7</v>
      </c>
      <c r="I254" t="s">
        <v>32</v>
      </c>
      <c r="J254" t="s">
        <v>74</v>
      </c>
      <c r="K254" t="s">
        <v>84</v>
      </c>
      <c r="L254">
        <v>2.27</v>
      </c>
      <c r="N254" t="s">
        <v>44</v>
      </c>
      <c r="O254" t="s">
        <v>36</v>
      </c>
      <c r="P254" t="b">
        <v>1</v>
      </c>
      <c r="Q254" t="b">
        <v>1</v>
      </c>
      <c r="R254" t="b">
        <v>0</v>
      </c>
      <c r="S254" t="b">
        <v>1</v>
      </c>
      <c r="T254" t="b">
        <v>0</v>
      </c>
      <c r="U254">
        <v>2.8</v>
      </c>
      <c r="V254">
        <v>6.4</v>
      </c>
      <c r="W254">
        <v>5</v>
      </c>
      <c r="X254">
        <v>5</v>
      </c>
      <c r="Y254">
        <v>81.739999999999995</v>
      </c>
      <c r="Z254">
        <v>6</v>
      </c>
      <c r="AA254" t="s">
        <v>58</v>
      </c>
    </row>
    <row r="255" spans="1:27" x14ac:dyDescent="0.3">
      <c r="A255" t="s">
        <v>346</v>
      </c>
      <c r="B255">
        <v>23</v>
      </c>
      <c r="C255" t="s">
        <v>53</v>
      </c>
      <c r="D255">
        <v>2</v>
      </c>
      <c r="E255" t="s">
        <v>39</v>
      </c>
      <c r="F255" t="s">
        <v>120</v>
      </c>
      <c r="G255" t="s">
        <v>71</v>
      </c>
      <c r="H255">
        <v>8.6999999999999993</v>
      </c>
      <c r="I255" t="s">
        <v>41</v>
      </c>
      <c r="J255" t="s">
        <v>33</v>
      </c>
      <c r="K255" t="s">
        <v>84</v>
      </c>
      <c r="M255">
        <v>10</v>
      </c>
      <c r="N255" t="s">
        <v>121</v>
      </c>
      <c r="O255" t="s">
        <v>57</v>
      </c>
      <c r="P255" t="b">
        <v>0</v>
      </c>
      <c r="Q255" t="b">
        <v>0</v>
      </c>
      <c r="R255" t="b">
        <v>0</v>
      </c>
      <c r="S255" t="b">
        <v>0</v>
      </c>
      <c r="T255" t="b">
        <v>0</v>
      </c>
      <c r="U255">
        <v>0.5</v>
      </c>
      <c r="V255">
        <v>10.6</v>
      </c>
      <c r="W255">
        <v>1</v>
      </c>
      <c r="X255">
        <v>13.7</v>
      </c>
      <c r="Y255">
        <v>20.74</v>
      </c>
      <c r="Z255">
        <v>11</v>
      </c>
      <c r="AA255" t="s">
        <v>46</v>
      </c>
    </row>
    <row r="256" spans="1:27" x14ac:dyDescent="0.3">
      <c r="A256" t="s">
        <v>347</v>
      </c>
      <c r="B256">
        <v>19</v>
      </c>
      <c r="C256" t="s">
        <v>28</v>
      </c>
      <c r="D256">
        <v>5.5</v>
      </c>
      <c r="E256" t="s">
        <v>54</v>
      </c>
      <c r="F256" t="s">
        <v>98</v>
      </c>
      <c r="G256" t="s">
        <v>86</v>
      </c>
      <c r="H256">
        <v>6.1</v>
      </c>
      <c r="I256" t="s">
        <v>41</v>
      </c>
      <c r="J256" t="s">
        <v>42</v>
      </c>
      <c r="K256" t="s">
        <v>51</v>
      </c>
      <c r="L256">
        <v>1.05</v>
      </c>
      <c r="M256">
        <v>1</v>
      </c>
      <c r="N256" t="s">
        <v>44</v>
      </c>
      <c r="O256" t="s">
        <v>57</v>
      </c>
      <c r="P256" t="b">
        <v>0</v>
      </c>
      <c r="Q256" t="b">
        <v>1</v>
      </c>
      <c r="R256" t="b">
        <v>0</v>
      </c>
      <c r="S256" t="b">
        <v>0</v>
      </c>
      <c r="T256" t="b">
        <v>0</v>
      </c>
      <c r="U256">
        <v>2.8</v>
      </c>
      <c r="V256">
        <v>7.7</v>
      </c>
      <c r="W256">
        <v>3</v>
      </c>
      <c r="X256">
        <v>9.6999999999999993</v>
      </c>
      <c r="Y256">
        <v>149.11000000000001</v>
      </c>
      <c r="Z256">
        <v>7</v>
      </c>
      <c r="AA256" t="s">
        <v>64</v>
      </c>
    </row>
    <row r="257" spans="1:27" x14ac:dyDescent="0.3">
      <c r="A257" t="s">
        <v>348</v>
      </c>
      <c r="B257">
        <v>23</v>
      </c>
      <c r="C257" t="s">
        <v>28</v>
      </c>
      <c r="D257">
        <v>4.4000000000000004</v>
      </c>
      <c r="E257" t="s">
        <v>29</v>
      </c>
      <c r="F257" t="s">
        <v>118</v>
      </c>
      <c r="G257" t="s">
        <v>31</v>
      </c>
      <c r="H257">
        <v>6.3</v>
      </c>
      <c r="I257" t="s">
        <v>41</v>
      </c>
      <c r="J257" t="s">
        <v>45</v>
      </c>
      <c r="K257" t="s">
        <v>62</v>
      </c>
      <c r="M257">
        <v>1</v>
      </c>
      <c r="N257" t="s">
        <v>105</v>
      </c>
      <c r="O257" t="s">
        <v>42</v>
      </c>
      <c r="P257" t="b">
        <v>0</v>
      </c>
      <c r="Q257" t="b">
        <v>0</v>
      </c>
      <c r="R257" t="b">
        <v>0</v>
      </c>
      <c r="S257" t="b">
        <v>0</v>
      </c>
      <c r="T257" t="b">
        <v>0</v>
      </c>
      <c r="U257">
        <v>0.5</v>
      </c>
      <c r="V257">
        <v>8.9</v>
      </c>
      <c r="W257">
        <v>3</v>
      </c>
      <c r="X257">
        <v>9.6999999999999993</v>
      </c>
      <c r="Y257">
        <v>14.36</v>
      </c>
      <c r="Z257">
        <v>8</v>
      </c>
      <c r="AA257" t="s">
        <v>46</v>
      </c>
    </row>
    <row r="258" spans="1:27" x14ac:dyDescent="0.3">
      <c r="A258" t="s">
        <v>349</v>
      </c>
      <c r="B258">
        <v>20</v>
      </c>
      <c r="C258" t="s">
        <v>28</v>
      </c>
      <c r="D258">
        <v>7.9</v>
      </c>
      <c r="E258" t="s">
        <v>48</v>
      </c>
      <c r="F258" t="s">
        <v>214</v>
      </c>
      <c r="G258" t="s">
        <v>71</v>
      </c>
      <c r="H258">
        <v>4.7</v>
      </c>
      <c r="I258" t="s">
        <v>43</v>
      </c>
      <c r="J258" t="s">
        <v>45</v>
      </c>
      <c r="K258" t="s">
        <v>34</v>
      </c>
      <c r="L258">
        <v>1.94</v>
      </c>
      <c r="M258">
        <v>6</v>
      </c>
      <c r="N258" t="s">
        <v>56</v>
      </c>
      <c r="O258" t="s">
        <v>36</v>
      </c>
      <c r="P258" t="b">
        <v>1</v>
      </c>
      <c r="Q258" t="b">
        <v>1</v>
      </c>
      <c r="R258" t="b">
        <v>0</v>
      </c>
      <c r="S258" t="b">
        <v>0</v>
      </c>
      <c r="T258" t="b">
        <v>1</v>
      </c>
      <c r="U258">
        <v>3.9</v>
      </c>
      <c r="V258">
        <v>5.6</v>
      </c>
      <c r="W258">
        <v>5</v>
      </c>
      <c r="X258">
        <v>8</v>
      </c>
      <c r="Y258">
        <v>89.96</v>
      </c>
      <c r="Z258">
        <v>6</v>
      </c>
      <c r="AA258" t="s">
        <v>58</v>
      </c>
    </row>
    <row r="259" spans="1:27" x14ac:dyDescent="0.3">
      <c r="A259" t="s">
        <v>350</v>
      </c>
      <c r="B259">
        <v>27</v>
      </c>
      <c r="C259" t="s">
        <v>28</v>
      </c>
      <c r="D259">
        <v>14.2</v>
      </c>
      <c r="E259" t="s">
        <v>82</v>
      </c>
      <c r="F259" t="s">
        <v>83</v>
      </c>
      <c r="G259" t="s">
        <v>50</v>
      </c>
      <c r="H259">
        <v>3.4</v>
      </c>
      <c r="I259" t="s">
        <v>32</v>
      </c>
      <c r="J259" t="s">
        <v>42</v>
      </c>
      <c r="K259" t="s">
        <v>129</v>
      </c>
      <c r="M259">
        <v>7</v>
      </c>
      <c r="N259" t="s">
        <v>35</v>
      </c>
      <c r="O259" t="s">
        <v>42</v>
      </c>
      <c r="P259" t="b">
        <v>0</v>
      </c>
      <c r="Q259" t="b">
        <v>0</v>
      </c>
      <c r="R259" t="b">
        <v>0</v>
      </c>
      <c r="S259" t="b">
        <v>1</v>
      </c>
      <c r="T259" t="b">
        <v>1</v>
      </c>
      <c r="U259">
        <v>4.4000000000000004</v>
      </c>
      <c r="V259">
        <v>2.9</v>
      </c>
      <c r="W259">
        <v>9</v>
      </c>
      <c r="X259">
        <v>0</v>
      </c>
      <c r="Y259">
        <v>73.8</v>
      </c>
      <c r="Z259">
        <v>10</v>
      </c>
      <c r="AA259" t="s">
        <v>64</v>
      </c>
    </row>
    <row r="260" spans="1:27" x14ac:dyDescent="0.3">
      <c r="A260" t="s">
        <v>351</v>
      </c>
      <c r="B260">
        <v>15</v>
      </c>
      <c r="C260" t="s">
        <v>28</v>
      </c>
      <c r="D260">
        <v>15.1</v>
      </c>
      <c r="E260" t="s">
        <v>82</v>
      </c>
      <c r="F260" t="s">
        <v>134</v>
      </c>
      <c r="G260" t="s">
        <v>50</v>
      </c>
      <c r="H260">
        <v>5.7</v>
      </c>
      <c r="I260" t="s">
        <v>41</v>
      </c>
      <c r="J260" t="s">
        <v>33</v>
      </c>
      <c r="K260" t="s">
        <v>51</v>
      </c>
      <c r="L260">
        <v>3.72</v>
      </c>
      <c r="N260" t="s">
        <v>80</v>
      </c>
      <c r="O260" t="s">
        <v>36</v>
      </c>
      <c r="P260" t="b">
        <v>0</v>
      </c>
      <c r="Q260" t="b">
        <v>0</v>
      </c>
      <c r="R260" t="b">
        <v>0</v>
      </c>
      <c r="S260" t="b">
        <v>1</v>
      </c>
      <c r="T260" t="b">
        <v>1</v>
      </c>
      <c r="U260">
        <v>1.5</v>
      </c>
      <c r="V260">
        <v>0.7</v>
      </c>
      <c r="W260">
        <v>9</v>
      </c>
      <c r="X260">
        <v>0</v>
      </c>
      <c r="Y260">
        <v>435.38</v>
      </c>
      <c r="Z260">
        <v>2</v>
      </c>
      <c r="AA260" t="s">
        <v>64</v>
      </c>
    </row>
    <row r="261" spans="1:27" x14ac:dyDescent="0.3">
      <c r="A261" t="s">
        <v>352</v>
      </c>
      <c r="B261">
        <v>13</v>
      </c>
      <c r="C261" t="s">
        <v>53</v>
      </c>
      <c r="D261">
        <v>5.2</v>
      </c>
      <c r="E261" t="s">
        <v>29</v>
      </c>
      <c r="F261" t="s">
        <v>118</v>
      </c>
      <c r="G261" t="s">
        <v>50</v>
      </c>
      <c r="H261">
        <v>5.5</v>
      </c>
      <c r="I261" t="s">
        <v>41</v>
      </c>
      <c r="J261" t="s">
        <v>74</v>
      </c>
      <c r="K261" t="s">
        <v>62</v>
      </c>
      <c r="L261">
        <v>3.1</v>
      </c>
      <c r="N261" t="s">
        <v>66</v>
      </c>
      <c r="O261" t="s">
        <v>36</v>
      </c>
      <c r="P261" t="b">
        <v>0</v>
      </c>
      <c r="Q261" t="b">
        <v>0</v>
      </c>
      <c r="R261" t="b">
        <v>0</v>
      </c>
      <c r="S261" t="b">
        <v>1</v>
      </c>
      <c r="T261" t="b">
        <v>0</v>
      </c>
      <c r="U261">
        <v>1.3</v>
      </c>
      <c r="V261">
        <v>8.9</v>
      </c>
      <c r="W261">
        <v>3</v>
      </c>
      <c r="X261">
        <v>8.8000000000000007</v>
      </c>
      <c r="Y261">
        <v>92.86</v>
      </c>
      <c r="Z261">
        <v>3</v>
      </c>
      <c r="AA261" t="s">
        <v>46</v>
      </c>
    </row>
    <row r="262" spans="1:27" x14ac:dyDescent="0.3">
      <c r="A262" t="s">
        <v>353</v>
      </c>
      <c r="B262">
        <v>19</v>
      </c>
      <c r="C262" t="s">
        <v>28</v>
      </c>
      <c r="D262">
        <v>10.6</v>
      </c>
      <c r="E262" t="s">
        <v>39</v>
      </c>
      <c r="F262" t="s">
        <v>93</v>
      </c>
      <c r="G262" t="s">
        <v>71</v>
      </c>
      <c r="H262">
        <v>5.5</v>
      </c>
      <c r="I262" t="s">
        <v>43</v>
      </c>
      <c r="J262" t="s">
        <v>74</v>
      </c>
      <c r="K262" t="s">
        <v>129</v>
      </c>
      <c r="L262">
        <v>3.07</v>
      </c>
      <c r="M262">
        <v>7</v>
      </c>
      <c r="N262" t="s">
        <v>35</v>
      </c>
      <c r="O262" t="s">
        <v>45</v>
      </c>
      <c r="P262" t="b">
        <v>1</v>
      </c>
      <c r="Q262" t="b">
        <v>1</v>
      </c>
      <c r="R262" t="b">
        <v>0</v>
      </c>
      <c r="S262" t="b">
        <v>0</v>
      </c>
      <c r="T262" t="b">
        <v>0</v>
      </c>
      <c r="U262">
        <v>2.2000000000000002</v>
      </c>
      <c r="V262">
        <v>2.5</v>
      </c>
      <c r="W262">
        <v>5</v>
      </c>
      <c r="X262">
        <v>0.3</v>
      </c>
      <c r="Y262">
        <v>435.3</v>
      </c>
      <c r="Z262">
        <v>1</v>
      </c>
      <c r="AA262" t="s">
        <v>37</v>
      </c>
    </row>
    <row r="263" spans="1:27" x14ac:dyDescent="0.3">
      <c r="A263" t="s">
        <v>354</v>
      </c>
      <c r="B263">
        <v>26</v>
      </c>
      <c r="C263" t="s">
        <v>28</v>
      </c>
      <c r="D263">
        <v>3.7</v>
      </c>
      <c r="E263" t="s">
        <v>29</v>
      </c>
      <c r="F263" t="s">
        <v>118</v>
      </c>
      <c r="G263" t="s">
        <v>31</v>
      </c>
      <c r="H263">
        <v>5</v>
      </c>
      <c r="I263" t="s">
        <v>41</v>
      </c>
      <c r="J263" t="s">
        <v>74</v>
      </c>
      <c r="K263" t="s">
        <v>43</v>
      </c>
      <c r="M263">
        <v>1</v>
      </c>
      <c r="N263" t="s">
        <v>80</v>
      </c>
      <c r="O263" t="s">
        <v>57</v>
      </c>
      <c r="P263" t="b">
        <v>0</v>
      </c>
      <c r="Q263" t="b">
        <v>0</v>
      </c>
      <c r="R263" t="b">
        <v>0</v>
      </c>
      <c r="S263" t="b">
        <v>0</v>
      </c>
      <c r="T263" t="b">
        <v>0</v>
      </c>
      <c r="U263">
        <v>1.8</v>
      </c>
      <c r="V263">
        <v>6.2</v>
      </c>
      <c r="W263">
        <v>3</v>
      </c>
      <c r="X263">
        <v>7.4</v>
      </c>
      <c r="Y263">
        <v>18.82</v>
      </c>
      <c r="Z263">
        <v>1</v>
      </c>
      <c r="AA263" t="s">
        <v>46</v>
      </c>
    </row>
    <row r="264" spans="1:27" x14ac:dyDescent="0.3">
      <c r="A264" t="s">
        <v>355</v>
      </c>
      <c r="B264">
        <v>26</v>
      </c>
      <c r="C264" t="s">
        <v>53</v>
      </c>
      <c r="D264">
        <v>8.1999999999999993</v>
      </c>
      <c r="E264" t="s">
        <v>29</v>
      </c>
      <c r="F264" t="s">
        <v>30</v>
      </c>
      <c r="G264" t="s">
        <v>50</v>
      </c>
      <c r="H264">
        <v>4.0999999999999996</v>
      </c>
      <c r="I264" t="s">
        <v>32</v>
      </c>
      <c r="J264" t="s">
        <v>45</v>
      </c>
      <c r="K264" t="s">
        <v>62</v>
      </c>
      <c r="M264">
        <v>9</v>
      </c>
      <c r="N264" t="s">
        <v>35</v>
      </c>
      <c r="O264" t="s">
        <v>57</v>
      </c>
      <c r="P264" t="b">
        <v>0</v>
      </c>
      <c r="Q264" t="b">
        <v>0</v>
      </c>
      <c r="R264" t="b">
        <v>0</v>
      </c>
      <c r="S264" t="b">
        <v>0</v>
      </c>
      <c r="T264" t="b">
        <v>1</v>
      </c>
      <c r="U264">
        <v>0.2</v>
      </c>
      <c r="V264">
        <v>7</v>
      </c>
      <c r="W264">
        <v>5</v>
      </c>
      <c r="X264">
        <v>8</v>
      </c>
      <c r="Y264">
        <v>134.24</v>
      </c>
      <c r="Z264">
        <v>14</v>
      </c>
      <c r="AA264" t="s">
        <v>46</v>
      </c>
    </row>
    <row r="265" spans="1:27" x14ac:dyDescent="0.3">
      <c r="A265" t="s">
        <v>356</v>
      </c>
      <c r="B265">
        <v>20</v>
      </c>
      <c r="C265" t="s">
        <v>28</v>
      </c>
      <c r="D265">
        <v>10.3</v>
      </c>
      <c r="E265" t="s">
        <v>76</v>
      </c>
      <c r="F265" t="s">
        <v>126</v>
      </c>
      <c r="G265" t="s">
        <v>86</v>
      </c>
      <c r="H265">
        <v>3.2</v>
      </c>
      <c r="I265" t="s">
        <v>32</v>
      </c>
      <c r="J265" t="s">
        <v>45</v>
      </c>
      <c r="K265" t="s">
        <v>34</v>
      </c>
      <c r="L265">
        <v>1.53</v>
      </c>
      <c r="M265">
        <v>9</v>
      </c>
      <c r="N265" t="s">
        <v>69</v>
      </c>
      <c r="O265" t="s">
        <v>33</v>
      </c>
      <c r="P265" t="b">
        <v>0</v>
      </c>
      <c r="Q265" t="b">
        <v>1</v>
      </c>
      <c r="R265" t="b">
        <v>0</v>
      </c>
      <c r="S265" t="b">
        <v>0</v>
      </c>
      <c r="T265" t="b">
        <v>1</v>
      </c>
      <c r="U265">
        <v>0.1</v>
      </c>
      <c r="V265">
        <v>4.3</v>
      </c>
      <c r="W265">
        <v>7</v>
      </c>
      <c r="X265">
        <v>4.2</v>
      </c>
      <c r="Y265">
        <v>266.35000000000002</v>
      </c>
      <c r="Z265">
        <v>7</v>
      </c>
      <c r="AA265" t="s">
        <v>58</v>
      </c>
    </row>
    <row r="266" spans="1:27" x14ac:dyDescent="0.3">
      <c r="A266" t="s">
        <v>357</v>
      </c>
      <c r="B266">
        <v>17</v>
      </c>
      <c r="C266" t="s">
        <v>28</v>
      </c>
      <c r="D266">
        <v>9.3000000000000007</v>
      </c>
      <c r="E266" t="s">
        <v>54</v>
      </c>
      <c r="F266" t="s">
        <v>89</v>
      </c>
      <c r="G266" t="s">
        <v>71</v>
      </c>
      <c r="H266">
        <v>4.8</v>
      </c>
      <c r="I266" t="s">
        <v>32</v>
      </c>
      <c r="J266" t="s">
        <v>45</v>
      </c>
      <c r="K266" t="s">
        <v>62</v>
      </c>
      <c r="L266">
        <v>1.6</v>
      </c>
      <c r="N266" t="s">
        <v>35</v>
      </c>
      <c r="O266" t="s">
        <v>42</v>
      </c>
      <c r="P266" t="b">
        <v>1</v>
      </c>
      <c r="Q266" t="b">
        <v>0</v>
      </c>
      <c r="R266" t="b">
        <v>1</v>
      </c>
      <c r="S266" t="b">
        <v>1</v>
      </c>
      <c r="T266" t="b">
        <v>1</v>
      </c>
      <c r="U266">
        <v>3.2</v>
      </c>
      <c r="V266">
        <v>6.6</v>
      </c>
      <c r="W266">
        <v>8</v>
      </c>
      <c r="X266">
        <v>4.0999999999999996</v>
      </c>
      <c r="Y266">
        <v>366.44</v>
      </c>
      <c r="Z266">
        <v>4</v>
      </c>
      <c r="AA266" t="s">
        <v>37</v>
      </c>
    </row>
    <row r="267" spans="1:27" x14ac:dyDescent="0.3">
      <c r="A267" t="s">
        <v>358</v>
      </c>
      <c r="B267">
        <v>16</v>
      </c>
      <c r="C267" t="s">
        <v>28</v>
      </c>
      <c r="D267">
        <v>11.8</v>
      </c>
      <c r="E267" t="s">
        <v>29</v>
      </c>
      <c r="F267" t="s">
        <v>118</v>
      </c>
      <c r="G267" t="s">
        <v>31</v>
      </c>
      <c r="H267">
        <v>3.3</v>
      </c>
      <c r="I267" t="s">
        <v>32</v>
      </c>
      <c r="J267" t="s">
        <v>42</v>
      </c>
      <c r="K267" t="s">
        <v>51</v>
      </c>
      <c r="L267">
        <v>2.69</v>
      </c>
      <c r="N267" t="s">
        <v>80</v>
      </c>
      <c r="O267" t="s">
        <v>45</v>
      </c>
      <c r="P267" t="b">
        <v>1</v>
      </c>
      <c r="Q267" t="b">
        <v>1</v>
      </c>
      <c r="R267" t="b">
        <v>0</v>
      </c>
      <c r="S267" t="b">
        <v>1</v>
      </c>
      <c r="T267" t="b">
        <v>0</v>
      </c>
      <c r="U267">
        <v>2.7</v>
      </c>
      <c r="V267">
        <v>4.8</v>
      </c>
      <c r="W267">
        <v>10</v>
      </c>
      <c r="X267">
        <v>1.1000000000000001</v>
      </c>
      <c r="Y267">
        <v>270.57</v>
      </c>
      <c r="Z267">
        <v>5</v>
      </c>
      <c r="AA267" t="s">
        <v>37</v>
      </c>
    </row>
    <row r="268" spans="1:27" x14ac:dyDescent="0.3">
      <c r="A268" t="s">
        <v>359</v>
      </c>
      <c r="B268">
        <v>13</v>
      </c>
      <c r="C268" t="s">
        <v>28</v>
      </c>
      <c r="D268">
        <v>9.8000000000000007</v>
      </c>
      <c r="E268" t="s">
        <v>54</v>
      </c>
      <c r="F268" t="s">
        <v>98</v>
      </c>
      <c r="G268" t="s">
        <v>71</v>
      </c>
      <c r="H268">
        <v>4.5</v>
      </c>
      <c r="I268" t="s">
        <v>51</v>
      </c>
      <c r="J268" t="s">
        <v>33</v>
      </c>
      <c r="K268" t="s">
        <v>34</v>
      </c>
      <c r="L268">
        <v>2.0499999999999998</v>
      </c>
      <c r="N268" t="s">
        <v>80</v>
      </c>
      <c r="O268" t="s">
        <v>42</v>
      </c>
      <c r="P268" t="b">
        <v>1</v>
      </c>
      <c r="Q268" t="b">
        <v>1</v>
      </c>
      <c r="R268" t="b">
        <v>0</v>
      </c>
      <c r="S268" t="b">
        <v>1</v>
      </c>
      <c r="T268" t="b">
        <v>1</v>
      </c>
      <c r="U268">
        <v>4.5999999999999996</v>
      </c>
      <c r="V268">
        <v>6.2</v>
      </c>
      <c r="W268">
        <v>8</v>
      </c>
      <c r="X268">
        <v>2.7</v>
      </c>
      <c r="Y268">
        <v>418.07</v>
      </c>
      <c r="Z268">
        <v>1</v>
      </c>
      <c r="AA268" t="s">
        <v>37</v>
      </c>
    </row>
    <row r="269" spans="1:27" x14ac:dyDescent="0.3">
      <c r="A269" t="s">
        <v>360</v>
      </c>
      <c r="B269">
        <v>20</v>
      </c>
      <c r="C269" t="s">
        <v>53</v>
      </c>
      <c r="D269">
        <v>7.5</v>
      </c>
      <c r="E269" t="s">
        <v>29</v>
      </c>
      <c r="F269" t="s">
        <v>104</v>
      </c>
      <c r="G269" t="s">
        <v>50</v>
      </c>
      <c r="H269">
        <v>4.3</v>
      </c>
      <c r="I269" t="s">
        <v>32</v>
      </c>
      <c r="J269" t="s">
        <v>42</v>
      </c>
      <c r="K269" t="s">
        <v>51</v>
      </c>
      <c r="L269">
        <v>1.41</v>
      </c>
      <c r="M269">
        <v>2</v>
      </c>
      <c r="N269" t="s">
        <v>56</v>
      </c>
      <c r="O269" t="s">
        <v>57</v>
      </c>
      <c r="P269" t="b">
        <v>1</v>
      </c>
      <c r="Q269" t="b">
        <v>1</v>
      </c>
      <c r="R269" t="b">
        <v>0</v>
      </c>
      <c r="S269" t="b">
        <v>1</v>
      </c>
      <c r="T269" t="b">
        <v>0</v>
      </c>
      <c r="U269">
        <v>5</v>
      </c>
      <c r="V269">
        <v>7.5</v>
      </c>
      <c r="W269">
        <v>4</v>
      </c>
      <c r="X269">
        <v>3.6</v>
      </c>
      <c r="Y269">
        <v>83.3</v>
      </c>
      <c r="Z269">
        <v>7</v>
      </c>
      <c r="AA269" t="s">
        <v>58</v>
      </c>
    </row>
    <row r="270" spans="1:27" x14ac:dyDescent="0.3">
      <c r="A270" t="s">
        <v>361</v>
      </c>
      <c r="B270">
        <v>32</v>
      </c>
      <c r="C270" t="s">
        <v>53</v>
      </c>
      <c r="D270">
        <v>6.6</v>
      </c>
      <c r="E270" t="s">
        <v>48</v>
      </c>
      <c r="F270" t="s">
        <v>49</v>
      </c>
      <c r="G270" t="s">
        <v>31</v>
      </c>
      <c r="H270">
        <v>3.7</v>
      </c>
      <c r="I270" t="s">
        <v>51</v>
      </c>
      <c r="J270" t="s">
        <v>42</v>
      </c>
      <c r="K270" t="s">
        <v>62</v>
      </c>
      <c r="M270">
        <v>3</v>
      </c>
      <c r="N270" t="s">
        <v>44</v>
      </c>
      <c r="O270" t="s">
        <v>45</v>
      </c>
      <c r="P270" t="b">
        <v>1</v>
      </c>
      <c r="Q270" t="b">
        <v>1</v>
      </c>
      <c r="R270" t="b">
        <v>0</v>
      </c>
      <c r="S270" t="b">
        <v>1</v>
      </c>
      <c r="T270" t="b">
        <v>1</v>
      </c>
      <c r="U270">
        <v>0.9</v>
      </c>
      <c r="V270">
        <v>5.2</v>
      </c>
      <c r="W270">
        <v>6</v>
      </c>
      <c r="X270">
        <v>9.4</v>
      </c>
      <c r="Y270">
        <v>77.47</v>
      </c>
      <c r="Z270">
        <v>6</v>
      </c>
      <c r="AA270" t="s">
        <v>58</v>
      </c>
    </row>
    <row r="271" spans="1:27" x14ac:dyDescent="0.3">
      <c r="A271" t="s">
        <v>362</v>
      </c>
      <c r="B271">
        <v>20</v>
      </c>
      <c r="C271" t="s">
        <v>53</v>
      </c>
      <c r="D271">
        <v>2.8</v>
      </c>
      <c r="E271" t="s">
        <v>48</v>
      </c>
      <c r="F271" t="s">
        <v>128</v>
      </c>
      <c r="G271" t="s">
        <v>71</v>
      </c>
      <c r="H271">
        <v>8</v>
      </c>
      <c r="I271" t="s">
        <v>43</v>
      </c>
      <c r="J271" t="s">
        <v>36</v>
      </c>
      <c r="K271" t="s">
        <v>34</v>
      </c>
      <c r="L271">
        <v>1.18</v>
      </c>
      <c r="M271">
        <v>4</v>
      </c>
      <c r="N271" t="s">
        <v>121</v>
      </c>
      <c r="O271" t="s">
        <v>57</v>
      </c>
      <c r="P271" t="b">
        <v>0</v>
      </c>
      <c r="Q271" t="b">
        <v>0</v>
      </c>
      <c r="R271" t="b">
        <v>0</v>
      </c>
      <c r="S271" t="b">
        <v>0</v>
      </c>
      <c r="T271" t="b">
        <v>0</v>
      </c>
      <c r="U271">
        <v>1.3</v>
      </c>
      <c r="V271">
        <v>6.5</v>
      </c>
      <c r="W271">
        <v>3</v>
      </c>
      <c r="X271">
        <v>10</v>
      </c>
      <c r="Y271">
        <v>13.4</v>
      </c>
      <c r="Z271">
        <v>9</v>
      </c>
      <c r="AA271" t="s">
        <v>46</v>
      </c>
    </row>
    <row r="272" spans="1:27" x14ac:dyDescent="0.3">
      <c r="A272" t="s">
        <v>363</v>
      </c>
      <c r="B272">
        <v>25</v>
      </c>
      <c r="C272" t="s">
        <v>53</v>
      </c>
      <c r="D272">
        <v>12.6</v>
      </c>
      <c r="E272" t="s">
        <v>60</v>
      </c>
      <c r="F272" t="s">
        <v>96</v>
      </c>
      <c r="G272" t="s">
        <v>31</v>
      </c>
      <c r="H272">
        <v>4.8</v>
      </c>
      <c r="I272" t="s">
        <v>32</v>
      </c>
      <c r="J272" t="s">
        <v>33</v>
      </c>
      <c r="K272" t="s">
        <v>62</v>
      </c>
      <c r="M272">
        <v>2</v>
      </c>
      <c r="N272" t="s">
        <v>69</v>
      </c>
      <c r="O272" t="s">
        <v>42</v>
      </c>
      <c r="P272" t="b">
        <v>1</v>
      </c>
      <c r="Q272" t="b">
        <v>1</v>
      </c>
      <c r="R272" t="b">
        <v>1</v>
      </c>
      <c r="S272" t="b">
        <v>1</v>
      </c>
      <c r="T272" t="b">
        <v>1</v>
      </c>
      <c r="U272">
        <v>0.5</v>
      </c>
      <c r="V272">
        <v>4.5</v>
      </c>
      <c r="W272">
        <v>7</v>
      </c>
      <c r="X272">
        <v>0</v>
      </c>
      <c r="Y272">
        <v>438.13</v>
      </c>
      <c r="Z272">
        <v>3</v>
      </c>
      <c r="AA272" t="s">
        <v>37</v>
      </c>
    </row>
    <row r="273" spans="1:27" x14ac:dyDescent="0.3">
      <c r="A273" t="s">
        <v>364</v>
      </c>
      <c r="B273">
        <v>30</v>
      </c>
      <c r="C273" t="s">
        <v>28</v>
      </c>
      <c r="D273">
        <v>5</v>
      </c>
      <c r="E273" t="s">
        <v>39</v>
      </c>
      <c r="F273" t="s">
        <v>120</v>
      </c>
      <c r="G273" t="s">
        <v>50</v>
      </c>
      <c r="H273">
        <v>6.9</v>
      </c>
      <c r="I273" t="s">
        <v>41</v>
      </c>
      <c r="J273" t="s">
        <v>42</v>
      </c>
      <c r="K273" t="s">
        <v>62</v>
      </c>
      <c r="M273">
        <v>9</v>
      </c>
      <c r="N273" t="s">
        <v>44</v>
      </c>
      <c r="O273" t="s">
        <v>33</v>
      </c>
      <c r="P273" t="b">
        <v>0</v>
      </c>
      <c r="Q273" t="b">
        <v>0</v>
      </c>
      <c r="R273" t="b">
        <v>0</v>
      </c>
      <c r="S273" t="b">
        <v>1</v>
      </c>
      <c r="T273" t="b">
        <v>0</v>
      </c>
      <c r="U273">
        <v>1</v>
      </c>
      <c r="V273">
        <v>7.1</v>
      </c>
      <c r="W273">
        <v>4</v>
      </c>
      <c r="X273">
        <v>10.5</v>
      </c>
      <c r="Y273">
        <v>106.3</v>
      </c>
      <c r="Z273">
        <v>12</v>
      </c>
      <c r="AA273" t="s">
        <v>46</v>
      </c>
    </row>
    <row r="274" spans="1:27" x14ac:dyDescent="0.3">
      <c r="A274" t="s">
        <v>365</v>
      </c>
      <c r="B274">
        <v>27</v>
      </c>
      <c r="C274" t="s">
        <v>53</v>
      </c>
      <c r="D274">
        <v>5.4</v>
      </c>
      <c r="E274" t="s">
        <v>48</v>
      </c>
      <c r="F274" t="s">
        <v>49</v>
      </c>
      <c r="G274" t="s">
        <v>50</v>
      </c>
      <c r="H274">
        <v>5.3</v>
      </c>
      <c r="I274" t="s">
        <v>43</v>
      </c>
      <c r="J274" t="s">
        <v>33</v>
      </c>
      <c r="K274" t="s">
        <v>62</v>
      </c>
      <c r="M274">
        <v>7</v>
      </c>
      <c r="N274" t="s">
        <v>105</v>
      </c>
      <c r="O274" t="s">
        <v>45</v>
      </c>
      <c r="P274" t="b">
        <v>0</v>
      </c>
      <c r="Q274" t="b">
        <v>0</v>
      </c>
      <c r="R274" t="b">
        <v>0</v>
      </c>
      <c r="S274" t="b">
        <v>0</v>
      </c>
      <c r="T274" t="b">
        <v>0</v>
      </c>
      <c r="U274">
        <v>1</v>
      </c>
      <c r="V274">
        <v>9.5</v>
      </c>
      <c r="W274">
        <v>3</v>
      </c>
      <c r="X274">
        <v>11.3</v>
      </c>
      <c r="Y274">
        <v>106.06</v>
      </c>
      <c r="Z274">
        <v>8</v>
      </c>
      <c r="AA274" t="s">
        <v>46</v>
      </c>
    </row>
    <row r="275" spans="1:27" x14ac:dyDescent="0.3">
      <c r="A275" t="s">
        <v>366</v>
      </c>
      <c r="B275">
        <v>17</v>
      </c>
      <c r="C275" t="s">
        <v>28</v>
      </c>
      <c r="D275">
        <v>5.3</v>
      </c>
      <c r="E275" t="s">
        <v>48</v>
      </c>
      <c r="F275" t="s">
        <v>49</v>
      </c>
      <c r="G275" t="s">
        <v>86</v>
      </c>
      <c r="H275">
        <v>6.5</v>
      </c>
      <c r="I275" t="s">
        <v>41</v>
      </c>
      <c r="J275" t="s">
        <v>33</v>
      </c>
      <c r="K275" t="s">
        <v>62</v>
      </c>
      <c r="L275">
        <v>2.1800000000000002</v>
      </c>
      <c r="N275" t="s">
        <v>69</v>
      </c>
      <c r="O275" t="s">
        <v>36</v>
      </c>
      <c r="P275" t="b">
        <v>0</v>
      </c>
      <c r="Q275" t="b">
        <v>0</v>
      </c>
      <c r="R275" t="b">
        <v>0</v>
      </c>
      <c r="S275" t="b">
        <v>1</v>
      </c>
      <c r="T275" t="b">
        <v>0</v>
      </c>
      <c r="U275">
        <v>2</v>
      </c>
      <c r="V275">
        <v>6.1</v>
      </c>
      <c r="W275">
        <v>1</v>
      </c>
      <c r="X275">
        <v>6.5</v>
      </c>
      <c r="Y275">
        <v>122.21</v>
      </c>
      <c r="Z275">
        <v>3</v>
      </c>
      <c r="AA275" t="s">
        <v>46</v>
      </c>
    </row>
    <row r="276" spans="1:27" x14ac:dyDescent="0.3">
      <c r="A276" t="s">
        <v>367</v>
      </c>
      <c r="B276">
        <v>25</v>
      </c>
      <c r="C276" t="s">
        <v>53</v>
      </c>
      <c r="D276">
        <v>9.4</v>
      </c>
      <c r="E276" t="s">
        <v>54</v>
      </c>
      <c r="F276" t="s">
        <v>98</v>
      </c>
      <c r="G276" t="s">
        <v>86</v>
      </c>
      <c r="H276">
        <v>4.8</v>
      </c>
      <c r="I276" t="s">
        <v>51</v>
      </c>
      <c r="J276" t="s">
        <v>33</v>
      </c>
      <c r="K276" t="s">
        <v>34</v>
      </c>
      <c r="M276">
        <v>9</v>
      </c>
      <c r="N276" t="s">
        <v>105</v>
      </c>
      <c r="O276" t="s">
        <v>42</v>
      </c>
      <c r="P276" t="b">
        <v>0</v>
      </c>
      <c r="Q276" t="b">
        <v>0</v>
      </c>
      <c r="R276" t="b">
        <v>0</v>
      </c>
      <c r="S276" t="b">
        <v>1</v>
      </c>
      <c r="T276" t="b">
        <v>1</v>
      </c>
      <c r="U276">
        <v>1.7</v>
      </c>
      <c r="V276">
        <v>7.4</v>
      </c>
      <c r="W276">
        <v>6</v>
      </c>
      <c r="X276">
        <v>4.4000000000000004</v>
      </c>
      <c r="Y276">
        <v>469.94</v>
      </c>
      <c r="Z276">
        <v>3</v>
      </c>
      <c r="AA276" t="s">
        <v>64</v>
      </c>
    </row>
    <row r="277" spans="1:27" x14ac:dyDescent="0.3">
      <c r="A277" t="s">
        <v>368</v>
      </c>
      <c r="B277">
        <v>24</v>
      </c>
      <c r="C277" t="s">
        <v>28</v>
      </c>
      <c r="D277">
        <v>7.8</v>
      </c>
      <c r="E277" t="s">
        <v>29</v>
      </c>
      <c r="F277" t="s">
        <v>30</v>
      </c>
      <c r="G277" t="s">
        <v>86</v>
      </c>
      <c r="H277">
        <v>4.8</v>
      </c>
      <c r="I277" t="s">
        <v>51</v>
      </c>
      <c r="J277" t="s">
        <v>74</v>
      </c>
      <c r="K277" t="s">
        <v>34</v>
      </c>
      <c r="M277">
        <v>10</v>
      </c>
      <c r="N277" t="s">
        <v>44</v>
      </c>
      <c r="O277" t="s">
        <v>57</v>
      </c>
      <c r="P277" t="b">
        <v>0</v>
      </c>
      <c r="Q277" t="b">
        <v>0</v>
      </c>
      <c r="R277" t="b">
        <v>0</v>
      </c>
      <c r="S277" t="b">
        <v>1</v>
      </c>
      <c r="T277" t="b">
        <v>0</v>
      </c>
      <c r="U277">
        <v>0.2</v>
      </c>
      <c r="V277">
        <v>5.2</v>
      </c>
      <c r="W277">
        <v>5</v>
      </c>
      <c r="X277">
        <v>7.6</v>
      </c>
      <c r="Y277">
        <v>93.67</v>
      </c>
      <c r="Z277">
        <v>5</v>
      </c>
      <c r="AA277" t="s">
        <v>46</v>
      </c>
    </row>
    <row r="278" spans="1:27" x14ac:dyDescent="0.3">
      <c r="A278" t="s">
        <v>369</v>
      </c>
      <c r="B278">
        <v>22</v>
      </c>
      <c r="C278" t="s">
        <v>53</v>
      </c>
      <c r="D278">
        <v>5.0999999999999996</v>
      </c>
      <c r="E278" t="s">
        <v>54</v>
      </c>
      <c r="F278" t="s">
        <v>55</v>
      </c>
      <c r="G278" t="s">
        <v>71</v>
      </c>
      <c r="H278">
        <v>6.7</v>
      </c>
      <c r="I278" t="s">
        <v>43</v>
      </c>
      <c r="J278" t="s">
        <v>42</v>
      </c>
      <c r="K278" t="s">
        <v>62</v>
      </c>
      <c r="L278">
        <v>2.54</v>
      </c>
      <c r="M278">
        <v>2</v>
      </c>
      <c r="N278" t="s">
        <v>63</v>
      </c>
      <c r="O278" t="s">
        <v>45</v>
      </c>
      <c r="P278" t="b">
        <v>0</v>
      </c>
      <c r="Q278" t="b">
        <v>0</v>
      </c>
      <c r="R278" t="b">
        <v>0</v>
      </c>
      <c r="S278" t="b">
        <v>1</v>
      </c>
      <c r="T278" t="b">
        <v>0</v>
      </c>
      <c r="U278">
        <v>0.4</v>
      </c>
      <c r="V278">
        <v>5.7</v>
      </c>
      <c r="W278">
        <v>3</v>
      </c>
      <c r="X278">
        <v>9.8000000000000007</v>
      </c>
      <c r="Y278">
        <v>24.45</v>
      </c>
      <c r="Z278">
        <v>1</v>
      </c>
      <c r="AA278" t="s">
        <v>46</v>
      </c>
    </row>
    <row r="279" spans="1:27" x14ac:dyDescent="0.3">
      <c r="A279" t="s">
        <v>370</v>
      </c>
      <c r="B279">
        <v>19</v>
      </c>
      <c r="C279" t="s">
        <v>53</v>
      </c>
      <c r="D279">
        <v>1.9</v>
      </c>
      <c r="E279" t="s">
        <v>54</v>
      </c>
      <c r="F279" t="s">
        <v>98</v>
      </c>
      <c r="G279" t="s">
        <v>86</v>
      </c>
      <c r="H279">
        <v>7.4</v>
      </c>
      <c r="I279" t="s">
        <v>43</v>
      </c>
      <c r="J279" t="s">
        <v>33</v>
      </c>
      <c r="K279" t="s">
        <v>43</v>
      </c>
      <c r="L279">
        <v>1.1399999999999999</v>
      </c>
      <c r="M279">
        <v>8</v>
      </c>
      <c r="N279" t="s">
        <v>63</v>
      </c>
      <c r="O279" t="s">
        <v>36</v>
      </c>
      <c r="P279" t="b">
        <v>0</v>
      </c>
      <c r="Q279" t="b">
        <v>0</v>
      </c>
      <c r="R279" t="b">
        <v>0</v>
      </c>
      <c r="S279" t="b">
        <v>0</v>
      </c>
      <c r="T279" t="b">
        <v>0</v>
      </c>
      <c r="U279">
        <v>0.5</v>
      </c>
      <c r="V279">
        <v>7.4</v>
      </c>
      <c r="W279">
        <v>2</v>
      </c>
      <c r="X279">
        <v>15.3</v>
      </c>
      <c r="Y279">
        <v>23.64</v>
      </c>
      <c r="Z279">
        <v>2</v>
      </c>
      <c r="AA279" t="s">
        <v>46</v>
      </c>
    </row>
    <row r="280" spans="1:27" x14ac:dyDescent="0.3">
      <c r="A280" t="s">
        <v>371</v>
      </c>
      <c r="B280">
        <v>15</v>
      </c>
      <c r="C280" t="s">
        <v>28</v>
      </c>
      <c r="D280">
        <v>8.8000000000000007</v>
      </c>
      <c r="E280" t="s">
        <v>29</v>
      </c>
      <c r="F280" t="s">
        <v>73</v>
      </c>
      <c r="G280" t="s">
        <v>31</v>
      </c>
      <c r="H280">
        <v>5.4</v>
      </c>
      <c r="I280" t="s">
        <v>41</v>
      </c>
      <c r="J280" t="s">
        <v>74</v>
      </c>
      <c r="K280" t="s">
        <v>34</v>
      </c>
      <c r="L280">
        <v>2.6</v>
      </c>
      <c r="N280" t="s">
        <v>105</v>
      </c>
      <c r="O280" t="s">
        <v>45</v>
      </c>
      <c r="P280" t="b">
        <v>1</v>
      </c>
      <c r="Q280" t="b">
        <v>1</v>
      </c>
      <c r="R280" t="b">
        <v>0</v>
      </c>
      <c r="S280" t="b">
        <v>0</v>
      </c>
      <c r="T280" t="b">
        <v>1</v>
      </c>
      <c r="U280">
        <v>0.7</v>
      </c>
      <c r="V280">
        <v>7</v>
      </c>
      <c r="W280">
        <v>7</v>
      </c>
      <c r="X280">
        <v>7.1</v>
      </c>
      <c r="Y280">
        <v>83.42</v>
      </c>
      <c r="Z280">
        <v>1</v>
      </c>
      <c r="AA280" t="s">
        <v>37</v>
      </c>
    </row>
    <row r="281" spans="1:27" x14ac:dyDescent="0.3">
      <c r="A281" t="s">
        <v>372</v>
      </c>
      <c r="B281">
        <v>16</v>
      </c>
      <c r="C281" t="s">
        <v>28</v>
      </c>
      <c r="D281">
        <v>1.8</v>
      </c>
      <c r="E281" t="s">
        <v>54</v>
      </c>
      <c r="F281" t="s">
        <v>55</v>
      </c>
      <c r="G281" t="s">
        <v>86</v>
      </c>
      <c r="H281">
        <v>8.5</v>
      </c>
      <c r="I281" t="s">
        <v>41</v>
      </c>
      <c r="J281" t="s">
        <v>74</v>
      </c>
      <c r="K281" t="s">
        <v>43</v>
      </c>
      <c r="L281">
        <v>2.0099999999999998</v>
      </c>
      <c r="N281" t="s">
        <v>66</v>
      </c>
      <c r="O281" t="s">
        <v>45</v>
      </c>
      <c r="P281" t="b">
        <v>0</v>
      </c>
      <c r="Q281" t="b">
        <v>0</v>
      </c>
      <c r="R281" t="b">
        <v>0</v>
      </c>
      <c r="S281" t="b">
        <v>0</v>
      </c>
      <c r="T281" t="b">
        <v>0</v>
      </c>
      <c r="U281">
        <v>0.5</v>
      </c>
      <c r="V281">
        <v>10.1</v>
      </c>
      <c r="W281">
        <v>1</v>
      </c>
      <c r="X281">
        <v>11.8</v>
      </c>
      <c r="Y281">
        <v>35</v>
      </c>
      <c r="Z281">
        <v>6</v>
      </c>
      <c r="AA281" t="s">
        <v>46</v>
      </c>
    </row>
    <row r="282" spans="1:27" x14ac:dyDescent="0.3">
      <c r="A282" t="s">
        <v>373</v>
      </c>
      <c r="B282">
        <v>26</v>
      </c>
      <c r="C282" t="s">
        <v>53</v>
      </c>
      <c r="D282">
        <v>2.9</v>
      </c>
      <c r="E282" t="s">
        <v>60</v>
      </c>
      <c r="F282" t="s">
        <v>102</v>
      </c>
      <c r="G282" t="s">
        <v>31</v>
      </c>
      <c r="H282">
        <v>9</v>
      </c>
      <c r="I282" t="s">
        <v>41</v>
      </c>
      <c r="J282" t="s">
        <v>74</v>
      </c>
      <c r="K282" t="s">
        <v>43</v>
      </c>
      <c r="M282">
        <v>6</v>
      </c>
      <c r="N282" t="s">
        <v>66</v>
      </c>
      <c r="O282" t="s">
        <v>57</v>
      </c>
      <c r="P282" t="b">
        <v>0</v>
      </c>
      <c r="Q282" t="b">
        <v>0</v>
      </c>
      <c r="R282" t="b">
        <v>0</v>
      </c>
      <c r="S282" t="b">
        <v>0</v>
      </c>
      <c r="T282" t="b">
        <v>0</v>
      </c>
      <c r="U282">
        <v>0.8</v>
      </c>
      <c r="V282">
        <v>9.6999999999999993</v>
      </c>
      <c r="W282">
        <v>3</v>
      </c>
      <c r="X282">
        <v>14.3</v>
      </c>
      <c r="Y282">
        <v>33.83</v>
      </c>
      <c r="Z282">
        <v>14</v>
      </c>
      <c r="AA282" t="s">
        <v>46</v>
      </c>
    </row>
    <row r="283" spans="1:27" x14ac:dyDescent="0.3">
      <c r="A283" t="s">
        <v>374</v>
      </c>
      <c r="B283">
        <v>28</v>
      </c>
      <c r="C283" t="s">
        <v>28</v>
      </c>
      <c r="D283">
        <v>3.5</v>
      </c>
      <c r="E283" t="s">
        <v>60</v>
      </c>
      <c r="F283" t="s">
        <v>102</v>
      </c>
      <c r="G283" t="s">
        <v>50</v>
      </c>
      <c r="H283">
        <v>6.5</v>
      </c>
      <c r="I283" t="s">
        <v>41</v>
      </c>
      <c r="J283" t="s">
        <v>74</v>
      </c>
      <c r="K283" t="s">
        <v>62</v>
      </c>
      <c r="M283">
        <v>10</v>
      </c>
      <c r="N283" t="s">
        <v>56</v>
      </c>
      <c r="O283" t="s">
        <v>42</v>
      </c>
      <c r="P283" t="b">
        <v>0</v>
      </c>
      <c r="Q283" t="b">
        <v>0</v>
      </c>
      <c r="R283" t="b">
        <v>0</v>
      </c>
      <c r="S283" t="b">
        <v>0</v>
      </c>
      <c r="T283" t="b">
        <v>0</v>
      </c>
      <c r="U283">
        <v>0.7</v>
      </c>
      <c r="V283">
        <v>7.6</v>
      </c>
      <c r="W283">
        <v>1</v>
      </c>
      <c r="X283">
        <v>7.7</v>
      </c>
      <c r="Y283">
        <v>2.0099999999999998</v>
      </c>
      <c r="Z283">
        <v>7</v>
      </c>
      <c r="AA283" t="s">
        <v>46</v>
      </c>
    </row>
    <row r="284" spans="1:27" x14ac:dyDescent="0.3">
      <c r="A284" t="s">
        <v>375</v>
      </c>
      <c r="B284">
        <v>16</v>
      </c>
      <c r="C284" t="s">
        <v>28</v>
      </c>
      <c r="D284">
        <v>9.9</v>
      </c>
      <c r="E284" t="s">
        <v>48</v>
      </c>
      <c r="F284" t="s">
        <v>49</v>
      </c>
      <c r="G284" t="s">
        <v>31</v>
      </c>
      <c r="H284">
        <v>3.7</v>
      </c>
      <c r="I284" t="s">
        <v>43</v>
      </c>
      <c r="J284" t="s">
        <v>45</v>
      </c>
      <c r="K284" t="s">
        <v>34</v>
      </c>
      <c r="L284">
        <v>3.99</v>
      </c>
      <c r="N284" t="s">
        <v>56</v>
      </c>
      <c r="O284" t="s">
        <v>36</v>
      </c>
      <c r="P284" t="b">
        <v>0</v>
      </c>
      <c r="Q284" t="b">
        <v>0</v>
      </c>
      <c r="R284" t="b">
        <v>1</v>
      </c>
      <c r="S284" t="b">
        <v>1</v>
      </c>
      <c r="T284" t="b">
        <v>0</v>
      </c>
      <c r="U284">
        <v>1.9</v>
      </c>
      <c r="V284">
        <v>4.5</v>
      </c>
      <c r="W284">
        <v>5</v>
      </c>
      <c r="X284">
        <v>3.4</v>
      </c>
      <c r="Y284">
        <v>257</v>
      </c>
      <c r="Z284">
        <v>4</v>
      </c>
      <c r="AA284" t="s">
        <v>58</v>
      </c>
    </row>
    <row r="285" spans="1:27" x14ac:dyDescent="0.3">
      <c r="A285" t="s">
        <v>376</v>
      </c>
      <c r="B285">
        <v>17</v>
      </c>
      <c r="C285" t="s">
        <v>28</v>
      </c>
      <c r="D285">
        <v>6.3</v>
      </c>
      <c r="E285" t="s">
        <v>48</v>
      </c>
      <c r="F285" t="s">
        <v>68</v>
      </c>
      <c r="G285" t="s">
        <v>71</v>
      </c>
      <c r="H285">
        <v>5</v>
      </c>
      <c r="I285" t="s">
        <v>41</v>
      </c>
      <c r="J285" t="s">
        <v>42</v>
      </c>
      <c r="K285" t="s">
        <v>34</v>
      </c>
      <c r="L285">
        <v>3.66</v>
      </c>
      <c r="N285" t="s">
        <v>63</v>
      </c>
      <c r="O285" t="s">
        <v>42</v>
      </c>
      <c r="P285" t="b">
        <v>0</v>
      </c>
      <c r="Q285" t="b">
        <v>1</v>
      </c>
      <c r="R285" t="b">
        <v>0</v>
      </c>
      <c r="S285" t="b">
        <v>1</v>
      </c>
      <c r="T285" t="b">
        <v>0</v>
      </c>
      <c r="U285">
        <v>1.8</v>
      </c>
      <c r="V285">
        <v>7.3</v>
      </c>
      <c r="W285">
        <v>6</v>
      </c>
      <c r="X285">
        <v>10.1</v>
      </c>
      <c r="Y285">
        <v>33.479999999999997</v>
      </c>
      <c r="Z285">
        <v>3</v>
      </c>
      <c r="AA285" t="s">
        <v>64</v>
      </c>
    </row>
    <row r="286" spans="1:27" x14ac:dyDescent="0.3">
      <c r="A286" t="s">
        <v>377</v>
      </c>
      <c r="B286">
        <v>19</v>
      </c>
      <c r="C286" t="s">
        <v>28</v>
      </c>
      <c r="D286">
        <v>8</v>
      </c>
      <c r="E286" t="s">
        <v>39</v>
      </c>
      <c r="F286" t="s">
        <v>93</v>
      </c>
      <c r="G286" t="s">
        <v>86</v>
      </c>
      <c r="H286">
        <v>5.4</v>
      </c>
      <c r="I286" t="s">
        <v>41</v>
      </c>
      <c r="J286" t="s">
        <v>33</v>
      </c>
      <c r="K286" t="s">
        <v>51</v>
      </c>
      <c r="L286">
        <v>1.0900000000000001</v>
      </c>
      <c r="M286">
        <v>6</v>
      </c>
      <c r="N286" t="s">
        <v>56</v>
      </c>
      <c r="O286" t="s">
        <v>45</v>
      </c>
      <c r="P286" t="b">
        <v>1</v>
      </c>
      <c r="Q286" t="b">
        <v>0</v>
      </c>
      <c r="R286" t="b">
        <v>0</v>
      </c>
      <c r="S286" t="b">
        <v>1</v>
      </c>
      <c r="T286" t="b">
        <v>1</v>
      </c>
      <c r="U286">
        <v>1</v>
      </c>
      <c r="V286">
        <v>7.1</v>
      </c>
      <c r="W286">
        <v>4</v>
      </c>
      <c r="X286">
        <v>2.9</v>
      </c>
      <c r="Y286">
        <v>18.98</v>
      </c>
      <c r="Z286">
        <v>8</v>
      </c>
      <c r="AA286" t="s">
        <v>64</v>
      </c>
    </row>
    <row r="287" spans="1:27" x14ac:dyDescent="0.3">
      <c r="A287" t="s">
        <v>378</v>
      </c>
      <c r="B287">
        <v>22</v>
      </c>
      <c r="C287" t="s">
        <v>28</v>
      </c>
      <c r="D287">
        <v>3.8</v>
      </c>
      <c r="E287" t="s">
        <v>60</v>
      </c>
      <c r="F287" t="s">
        <v>96</v>
      </c>
      <c r="G287" t="s">
        <v>71</v>
      </c>
      <c r="H287">
        <v>5.4</v>
      </c>
      <c r="I287" t="s">
        <v>43</v>
      </c>
      <c r="J287" t="s">
        <v>74</v>
      </c>
      <c r="K287" t="s">
        <v>62</v>
      </c>
      <c r="L287">
        <v>1.69</v>
      </c>
      <c r="M287">
        <v>5</v>
      </c>
      <c r="N287" t="s">
        <v>105</v>
      </c>
      <c r="O287" t="s">
        <v>45</v>
      </c>
      <c r="P287" t="b">
        <v>0</v>
      </c>
      <c r="Q287" t="b">
        <v>0</v>
      </c>
      <c r="R287" t="b">
        <v>0</v>
      </c>
      <c r="S287" t="b">
        <v>0</v>
      </c>
      <c r="T287" t="b">
        <v>0</v>
      </c>
      <c r="U287">
        <v>1</v>
      </c>
      <c r="V287">
        <v>10</v>
      </c>
      <c r="W287">
        <v>3</v>
      </c>
      <c r="X287">
        <v>9.4</v>
      </c>
      <c r="Y287">
        <v>31.5</v>
      </c>
      <c r="Z287">
        <v>8</v>
      </c>
      <c r="AA287" t="s">
        <v>46</v>
      </c>
    </row>
    <row r="288" spans="1:27" x14ac:dyDescent="0.3">
      <c r="A288" t="s">
        <v>379</v>
      </c>
      <c r="B288">
        <v>20</v>
      </c>
      <c r="C288" t="s">
        <v>28</v>
      </c>
      <c r="D288">
        <v>2.2000000000000002</v>
      </c>
      <c r="E288" t="s">
        <v>76</v>
      </c>
      <c r="F288" t="s">
        <v>126</v>
      </c>
      <c r="G288" t="s">
        <v>86</v>
      </c>
      <c r="H288">
        <v>8.1</v>
      </c>
      <c r="I288" t="s">
        <v>43</v>
      </c>
      <c r="J288" t="s">
        <v>36</v>
      </c>
      <c r="K288" t="s">
        <v>43</v>
      </c>
      <c r="L288">
        <v>1.1499999999999999</v>
      </c>
      <c r="M288">
        <v>5</v>
      </c>
      <c r="N288" t="s">
        <v>121</v>
      </c>
      <c r="O288" t="s">
        <v>42</v>
      </c>
      <c r="P288" t="b">
        <v>0</v>
      </c>
      <c r="Q288" t="b">
        <v>0</v>
      </c>
      <c r="R288" t="b">
        <v>0</v>
      </c>
      <c r="S288" t="b">
        <v>0</v>
      </c>
      <c r="T288" t="b">
        <v>0</v>
      </c>
      <c r="U288">
        <v>1.2</v>
      </c>
      <c r="V288">
        <v>8.8000000000000007</v>
      </c>
      <c r="W288">
        <v>2</v>
      </c>
      <c r="X288">
        <v>12.5</v>
      </c>
      <c r="Y288">
        <v>0.65</v>
      </c>
      <c r="Z288">
        <v>8</v>
      </c>
      <c r="AA288" t="s">
        <v>46</v>
      </c>
    </row>
    <row r="289" spans="1:27" x14ac:dyDescent="0.3">
      <c r="A289" t="s">
        <v>380</v>
      </c>
      <c r="B289">
        <v>17</v>
      </c>
      <c r="C289" t="s">
        <v>28</v>
      </c>
      <c r="D289">
        <v>3.6</v>
      </c>
      <c r="E289" t="s">
        <v>48</v>
      </c>
      <c r="F289" t="s">
        <v>214</v>
      </c>
      <c r="G289" t="s">
        <v>31</v>
      </c>
      <c r="H289">
        <v>6.1</v>
      </c>
      <c r="I289" t="s">
        <v>32</v>
      </c>
      <c r="J289" t="s">
        <v>42</v>
      </c>
      <c r="K289" t="s">
        <v>43</v>
      </c>
      <c r="L289">
        <v>1.08</v>
      </c>
      <c r="N289" t="s">
        <v>80</v>
      </c>
      <c r="O289" t="s">
        <v>33</v>
      </c>
      <c r="P289" t="b">
        <v>0</v>
      </c>
      <c r="Q289" t="b">
        <v>0</v>
      </c>
      <c r="R289" t="b">
        <v>0</v>
      </c>
      <c r="S289" t="b">
        <v>0</v>
      </c>
      <c r="T289" t="b">
        <v>0</v>
      </c>
      <c r="U289">
        <v>0.9</v>
      </c>
      <c r="V289">
        <v>6.4</v>
      </c>
      <c r="W289">
        <v>3</v>
      </c>
      <c r="X289">
        <v>10.199999999999999</v>
      </c>
      <c r="Y289">
        <v>15.92</v>
      </c>
      <c r="Z289">
        <v>5</v>
      </c>
      <c r="AA289" t="s">
        <v>46</v>
      </c>
    </row>
    <row r="290" spans="1:27" x14ac:dyDescent="0.3">
      <c r="A290" t="s">
        <v>381</v>
      </c>
      <c r="B290">
        <v>21</v>
      </c>
      <c r="C290" t="s">
        <v>28</v>
      </c>
      <c r="D290">
        <v>3.7</v>
      </c>
      <c r="E290" t="s">
        <v>48</v>
      </c>
      <c r="F290" t="s">
        <v>49</v>
      </c>
      <c r="G290" t="s">
        <v>31</v>
      </c>
      <c r="H290">
        <v>6.9</v>
      </c>
      <c r="I290" t="s">
        <v>41</v>
      </c>
      <c r="J290" t="s">
        <v>45</v>
      </c>
      <c r="K290" t="s">
        <v>84</v>
      </c>
      <c r="L290">
        <v>2.74</v>
      </c>
      <c r="M290">
        <v>4</v>
      </c>
      <c r="N290" t="s">
        <v>69</v>
      </c>
      <c r="O290" t="s">
        <v>45</v>
      </c>
      <c r="P290" t="b">
        <v>0</v>
      </c>
      <c r="Q290" t="b">
        <v>0</v>
      </c>
      <c r="R290" t="b">
        <v>0</v>
      </c>
      <c r="S290" t="b">
        <v>0</v>
      </c>
      <c r="T290" t="b">
        <v>0</v>
      </c>
      <c r="U290">
        <v>0.3</v>
      </c>
      <c r="V290">
        <v>6.1</v>
      </c>
      <c r="W290">
        <v>3</v>
      </c>
      <c r="X290">
        <v>7.5</v>
      </c>
      <c r="Y290">
        <v>44.68</v>
      </c>
      <c r="Z290">
        <v>3</v>
      </c>
      <c r="AA290" t="s">
        <v>46</v>
      </c>
    </row>
    <row r="291" spans="1:27" x14ac:dyDescent="0.3">
      <c r="A291" t="s">
        <v>382</v>
      </c>
      <c r="B291">
        <v>21</v>
      </c>
      <c r="C291" t="s">
        <v>53</v>
      </c>
      <c r="D291">
        <v>1.9</v>
      </c>
      <c r="E291" t="s">
        <v>48</v>
      </c>
      <c r="F291" t="s">
        <v>128</v>
      </c>
      <c r="G291" t="s">
        <v>50</v>
      </c>
      <c r="H291">
        <v>8.6999999999999993</v>
      </c>
      <c r="I291" t="s">
        <v>43</v>
      </c>
      <c r="J291" t="s">
        <v>42</v>
      </c>
      <c r="K291" t="s">
        <v>43</v>
      </c>
      <c r="L291">
        <v>3.9</v>
      </c>
      <c r="M291">
        <v>3</v>
      </c>
      <c r="N291" t="s">
        <v>56</v>
      </c>
      <c r="O291" t="s">
        <v>36</v>
      </c>
      <c r="P291" t="b">
        <v>0</v>
      </c>
      <c r="Q291" t="b">
        <v>0</v>
      </c>
      <c r="R291" t="b">
        <v>0</v>
      </c>
      <c r="S291" t="b">
        <v>0</v>
      </c>
      <c r="T291" t="b">
        <v>0</v>
      </c>
      <c r="U291">
        <v>0.1</v>
      </c>
      <c r="V291">
        <v>9.6999999999999993</v>
      </c>
      <c r="W291">
        <v>1</v>
      </c>
      <c r="X291">
        <v>14.5</v>
      </c>
      <c r="Y291">
        <v>16.75</v>
      </c>
      <c r="Z291">
        <v>7</v>
      </c>
      <c r="AA291" t="s">
        <v>46</v>
      </c>
    </row>
    <row r="292" spans="1:27" x14ac:dyDescent="0.3">
      <c r="A292" t="s">
        <v>383</v>
      </c>
      <c r="B292">
        <v>18</v>
      </c>
      <c r="C292" t="s">
        <v>28</v>
      </c>
      <c r="D292">
        <v>6.7</v>
      </c>
      <c r="E292" t="s">
        <v>48</v>
      </c>
      <c r="F292" t="s">
        <v>68</v>
      </c>
      <c r="G292" t="s">
        <v>31</v>
      </c>
      <c r="H292">
        <v>3.6</v>
      </c>
      <c r="I292" t="s">
        <v>51</v>
      </c>
      <c r="J292" t="s">
        <v>36</v>
      </c>
      <c r="K292" t="s">
        <v>51</v>
      </c>
      <c r="L292">
        <v>1.39</v>
      </c>
      <c r="N292" t="s">
        <v>56</v>
      </c>
      <c r="O292" t="s">
        <v>42</v>
      </c>
      <c r="P292" t="b">
        <v>0</v>
      </c>
      <c r="Q292" t="b">
        <v>0</v>
      </c>
      <c r="R292" t="b">
        <v>0</v>
      </c>
      <c r="S292" t="b">
        <v>0</v>
      </c>
      <c r="T292" t="b">
        <v>0</v>
      </c>
      <c r="U292">
        <v>0.5</v>
      </c>
      <c r="V292">
        <v>7.5</v>
      </c>
      <c r="W292">
        <v>4</v>
      </c>
      <c r="X292">
        <v>5.4</v>
      </c>
      <c r="Y292">
        <v>148.22</v>
      </c>
      <c r="Z292">
        <v>5</v>
      </c>
      <c r="AA292" t="s">
        <v>46</v>
      </c>
    </row>
    <row r="293" spans="1:27" x14ac:dyDescent="0.3">
      <c r="A293" t="s">
        <v>384</v>
      </c>
      <c r="B293">
        <v>19</v>
      </c>
      <c r="C293" t="s">
        <v>28</v>
      </c>
      <c r="D293">
        <v>4.0999999999999996</v>
      </c>
      <c r="E293" t="s">
        <v>60</v>
      </c>
      <c r="F293" t="s">
        <v>102</v>
      </c>
      <c r="G293" t="s">
        <v>50</v>
      </c>
      <c r="H293">
        <v>5.3</v>
      </c>
      <c r="I293" t="s">
        <v>41</v>
      </c>
      <c r="J293" t="s">
        <v>45</v>
      </c>
      <c r="K293" t="s">
        <v>34</v>
      </c>
      <c r="L293">
        <v>2.36</v>
      </c>
      <c r="M293">
        <v>5</v>
      </c>
      <c r="N293" t="s">
        <v>44</v>
      </c>
      <c r="O293" t="s">
        <v>36</v>
      </c>
      <c r="P293" t="b">
        <v>0</v>
      </c>
      <c r="Q293" t="b">
        <v>0</v>
      </c>
      <c r="R293" t="b">
        <v>0</v>
      </c>
      <c r="S293" t="b">
        <v>0</v>
      </c>
      <c r="T293" t="b">
        <v>0</v>
      </c>
      <c r="U293">
        <v>0.4</v>
      </c>
      <c r="V293">
        <v>8.1</v>
      </c>
      <c r="W293">
        <v>2</v>
      </c>
      <c r="X293">
        <v>11.5</v>
      </c>
      <c r="Y293">
        <v>36.57</v>
      </c>
      <c r="Z293">
        <v>3</v>
      </c>
      <c r="AA293" t="s">
        <v>46</v>
      </c>
    </row>
    <row r="294" spans="1:27" x14ac:dyDescent="0.3">
      <c r="A294" t="s">
        <v>385</v>
      </c>
      <c r="B294">
        <v>20</v>
      </c>
      <c r="C294" t="s">
        <v>28</v>
      </c>
      <c r="D294">
        <v>3.9</v>
      </c>
      <c r="E294" t="s">
        <v>39</v>
      </c>
      <c r="F294" t="s">
        <v>93</v>
      </c>
      <c r="G294" t="s">
        <v>86</v>
      </c>
      <c r="H294">
        <v>6.7</v>
      </c>
      <c r="I294" t="s">
        <v>43</v>
      </c>
      <c r="J294" t="s">
        <v>36</v>
      </c>
      <c r="K294" t="s">
        <v>34</v>
      </c>
      <c r="L294">
        <v>3.88</v>
      </c>
      <c r="M294">
        <v>8</v>
      </c>
      <c r="N294" t="s">
        <v>44</v>
      </c>
      <c r="O294" t="s">
        <v>45</v>
      </c>
      <c r="P294" t="b">
        <v>0</v>
      </c>
      <c r="Q294" t="b">
        <v>0</v>
      </c>
      <c r="R294" t="b">
        <v>0</v>
      </c>
      <c r="S294" t="b">
        <v>0</v>
      </c>
      <c r="T294" t="b">
        <v>0</v>
      </c>
      <c r="U294">
        <v>0.1</v>
      </c>
      <c r="V294">
        <v>7</v>
      </c>
      <c r="W294">
        <v>3</v>
      </c>
      <c r="X294">
        <v>12.1</v>
      </c>
      <c r="Y294">
        <v>42.46</v>
      </c>
      <c r="Z294">
        <v>2</v>
      </c>
      <c r="AA294" t="s">
        <v>46</v>
      </c>
    </row>
    <row r="295" spans="1:27" x14ac:dyDescent="0.3">
      <c r="A295" t="s">
        <v>386</v>
      </c>
      <c r="B295">
        <v>34</v>
      </c>
      <c r="C295" t="s">
        <v>28</v>
      </c>
      <c r="D295">
        <v>2.8</v>
      </c>
      <c r="E295" t="s">
        <v>82</v>
      </c>
      <c r="F295" t="s">
        <v>83</v>
      </c>
      <c r="G295" t="s">
        <v>31</v>
      </c>
      <c r="H295">
        <v>7.1</v>
      </c>
      <c r="I295" t="s">
        <v>43</v>
      </c>
      <c r="J295" t="s">
        <v>33</v>
      </c>
      <c r="K295" t="s">
        <v>84</v>
      </c>
      <c r="M295">
        <v>2</v>
      </c>
      <c r="N295" t="s">
        <v>35</v>
      </c>
      <c r="O295" t="s">
        <v>42</v>
      </c>
      <c r="P295" t="b">
        <v>0</v>
      </c>
      <c r="Q295" t="b">
        <v>0</v>
      </c>
      <c r="R295" t="b">
        <v>0</v>
      </c>
      <c r="S295" t="b">
        <v>0</v>
      </c>
      <c r="T295" t="b">
        <v>0</v>
      </c>
      <c r="U295">
        <v>0.9</v>
      </c>
      <c r="V295">
        <v>9.9</v>
      </c>
      <c r="W295">
        <v>2</v>
      </c>
      <c r="X295">
        <v>13.5</v>
      </c>
      <c r="Y295">
        <v>4.3499999999999996</v>
      </c>
      <c r="Z295">
        <v>16</v>
      </c>
      <c r="AA295" t="s">
        <v>46</v>
      </c>
    </row>
    <row r="296" spans="1:27" x14ac:dyDescent="0.3">
      <c r="A296" t="s">
        <v>387</v>
      </c>
      <c r="B296">
        <v>20</v>
      </c>
      <c r="C296" t="s">
        <v>28</v>
      </c>
      <c r="D296">
        <v>8.4</v>
      </c>
      <c r="E296" t="s">
        <v>76</v>
      </c>
      <c r="F296" t="s">
        <v>110</v>
      </c>
      <c r="G296" t="s">
        <v>86</v>
      </c>
      <c r="H296">
        <v>4.3</v>
      </c>
      <c r="I296" t="s">
        <v>41</v>
      </c>
      <c r="J296" t="s">
        <v>33</v>
      </c>
      <c r="K296" t="s">
        <v>34</v>
      </c>
      <c r="L296">
        <v>2</v>
      </c>
      <c r="M296">
        <v>4</v>
      </c>
      <c r="N296" t="s">
        <v>63</v>
      </c>
      <c r="O296" t="s">
        <v>42</v>
      </c>
      <c r="P296" t="b">
        <v>1</v>
      </c>
      <c r="Q296" t="b">
        <v>1</v>
      </c>
      <c r="R296" t="b">
        <v>0</v>
      </c>
      <c r="S296" t="b">
        <v>1</v>
      </c>
      <c r="T296" t="b">
        <v>1</v>
      </c>
      <c r="U296">
        <v>0.9</v>
      </c>
      <c r="V296">
        <v>4.0999999999999996</v>
      </c>
      <c r="W296">
        <v>5</v>
      </c>
      <c r="X296">
        <v>3</v>
      </c>
      <c r="Y296">
        <v>18.07</v>
      </c>
      <c r="Z296">
        <v>1</v>
      </c>
      <c r="AA296" t="s">
        <v>58</v>
      </c>
    </row>
    <row r="297" spans="1:27" x14ac:dyDescent="0.3">
      <c r="A297" t="s">
        <v>388</v>
      </c>
      <c r="B297">
        <v>19</v>
      </c>
      <c r="C297" t="s">
        <v>53</v>
      </c>
      <c r="D297">
        <v>5.4</v>
      </c>
      <c r="E297" t="s">
        <v>39</v>
      </c>
      <c r="F297" t="s">
        <v>120</v>
      </c>
      <c r="G297" t="s">
        <v>71</v>
      </c>
      <c r="H297">
        <v>6.4</v>
      </c>
      <c r="I297" t="s">
        <v>41</v>
      </c>
      <c r="J297" t="s">
        <v>42</v>
      </c>
      <c r="K297" t="s">
        <v>62</v>
      </c>
      <c r="L297">
        <v>2.94</v>
      </c>
      <c r="M297">
        <v>3</v>
      </c>
      <c r="N297" t="s">
        <v>44</v>
      </c>
      <c r="O297" t="s">
        <v>36</v>
      </c>
      <c r="P297" t="b">
        <v>0</v>
      </c>
      <c r="Q297" t="b">
        <v>0</v>
      </c>
      <c r="R297" t="b">
        <v>0</v>
      </c>
      <c r="S297" t="b">
        <v>1</v>
      </c>
      <c r="T297" t="b">
        <v>0</v>
      </c>
      <c r="U297">
        <v>0.2</v>
      </c>
      <c r="V297">
        <v>6.7</v>
      </c>
      <c r="W297">
        <v>3</v>
      </c>
      <c r="X297">
        <v>11.1</v>
      </c>
      <c r="Y297">
        <v>144.36000000000001</v>
      </c>
      <c r="Z297">
        <v>7</v>
      </c>
      <c r="AA297" t="s">
        <v>46</v>
      </c>
    </row>
    <row r="298" spans="1:27" x14ac:dyDescent="0.3">
      <c r="A298" t="s">
        <v>389</v>
      </c>
      <c r="B298">
        <v>13</v>
      </c>
      <c r="C298" t="s">
        <v>28</v>
      </c>
      <c r="D298">
        <v>6.2</v>
      </c>
      <c r="E298" t="s">
        <v>76</v>
      </c>
      <c r="F298" t="s">
        <v>126</v>
      </c>
      <c r="G298" t="s">
        <v>71</v>
      </c>
      <c r="H298">
        <v>5.7</v>
      </c>
      <c r="I298" t="s">
        <v>32</v>
      </c>
      <c r="J298" t="s">
        <v>74</v>
      </c>
      <c r="K298" t="s">
        <v>62</v>
      </c>
      <c r="L298">
        <v>2.61</v>
      </c>
      <c r="N298" t="s">
        <v>44</v>
      </c>
      <c r="O298" t="s">
        <v>45</v>
      </c>
      <c r="P298" t="b">
        <v>0</v>
      </c>
      <c r="Q298" t="b">
        <v>0</v>
      </c>
      <c r="R298" t="b">
        <v>0</v>
      </c>
      <c r="S298" t="b">
        <v>1</v>
      </c>
      <c r="T298" t="b">
        <v>1</v>
      </c>
      <c r="U298">
        <v>1.1000000000000001</v>
      </c>
      <c r="V298">
        <v>6.6</v>
      </c>
      <c r="W298">
        <v>4</v>
      </c>
      <c r="X298">
        <v>10.4</v>
      </c>
      <c r="Y298">
        <v>75.94</v>
      </c>
      <c r="Z298">
        <v>3</v>
      </c>
      <c r="AA298" t="s">
        <v>46</v>
      </c>
    </row>
    <row r="299" spans="1:27" x14ac:dyDescent="0.3">
      <c r="A299" t="s">
        <v>390</v>
      </c>
      <c r="B299">
        <v>21</v>
      </c>
      <c r="C299" t="s">
        <v>28</v>
      </c>
      <c r="D299">
        <v>8.6</v>
      </c>
      <c r="E299" t="s">
        <v>39</v>
      </c>
      <c r="F299" t="s">
        <v>40</v>
      </c>
      <c r="G299" t="s">
        <v>31</v>
      </c>
      <c r="H299">
        <v>3.2</v>
      </c>
      <c r="I299" t="s">
        <v>32</v>
      </c>
      <c r="J299" t="s">
        <v>33</v>
      </c>
      <c r="K299" t="s">
        <v>34</v>
      </c>
      <c r="L299">
        <v>3.75</v>
      </c>
      <c r="M299">
        <v>6</v>
      </c>
      <c r="N299" t="s">
        <v>80</v>
      </c>
      <c r="O299" t="s">
        <v>57</v>
      </c>
      <c r="P299" t="b">
        <v>1</v>
      </c>
      <c r="Q299" t="b">
        <v>1</v>
      </c>
      <c r="R299" t="b">
        <v>1</v>
      </c>
      <c r="S299" t="b">
        <v>1</v>
      </c>
      <c r="T299" t="b">
        <v>0</v>
      </c>
      <c r="U299">
        <v>2.8</v>
      </c>
      <c r="V299">
        <v>6.5</v>
      </c>
      <c r="W299">
        <v>8</v>
      </c>
      <c r="X299">
        <v>4.7</v>
      </c>
      <c r="Y299">
        <v>394.83</v>
      </c>
      <c r="Z299">
        <v>6</v>
      </c>
      <c r="AA299" t="s">
        <v>37</v>
      </c>
    </row>
    <row r="300" spans="1:27" x14ac:dyDescent="0.3">
      <c r="A300" t="s">
        <v>391</v>
      </c>
      <c r="B300">
        <v>20</v>
      </c>
      <c r="C300" t="s">
        <v>28</v>
      </c>
      <c r="D300">
        <v>7.6</v>
      </c>
      <c r="E300" t="s">
        <v>60</v>
      </c>
      <c r="F300" t="s">
        <v>61</v>
      </c>
      <c r="G300" t="s">
        <v>86</v>
      </c>
      <c r="H300">
        <v>5.2</v>
      </c>
      <c r="I300" t="s">
        <v>41</v>
      </c>
      <c r="J300" t="s">
        <v>42</v>
      </c>
      <c r="K300" t="s">
        <v>51</v>
      </c>
      <c r="L300">
        <v>1.45</v>
      </c>
      <c r="M300">
        <v>7</v>
      </c>
      <c r="N300" t="s">
        <v>105</v>
      </c>
      <c r="O300" t="s">
        <v>42</v>
      </c>
      <c r="P300" t="b">
        <v>1</v>
      </c>
      <c r="Q300" t="b">
        <v>0</v>
      </c>
      <c r="R300" t="b">
        <v>1</v>
      </c>
      <c r="S300" t="b">
        <v>1</v>
      </c>
      <c r="T300" t="b">
        <v>0</v>
      </c>
      <c r="U300">
        <v>2.1</v>
      </c>
      <c r="V300">
        <v>5.7</v>
      </c>
      <c r="W300">
        <v>7</v>
      </c>
      <c r="X300">
        <v>3.7</v>
      </c>
      <c r="Y300">
        <v>49.2</v>
      </c>
      <c r="Z300">
        <v>7</v>
      </c>
      <c r="AA300" t="s">
        <v>58</v>
      </c>
    </row>
    <row r="301" spans="1:27" x14ac:dyDescent="0.3">
      <c r="A301" t="s">
        <v>392</v>
      </c>
      <c r="B301">
        <v>24</v>
      </c>
      <c r="C301" t="s">
        <v>53</v>
      </c>
      <c r="D301">
        <v>8.6</v>
      </c>
      <c r="E301" t="s">
        <v>54</v>
      </c>
      <c r="F301" t="s">
        <v>98</v>
      </c>
      <c r="G301" t="s">
        <v>31</v>
      </c>
      <c r="H301">
        <v>3.8</v>
      </c>
      <c r="I301" t="s">
        <v>51</v>
      </c>
      <c r="J301" t="s">
        <v>36</v>
      </c>
      <c r="K301" t="s">
        <v>43</v>
      </c>
      <c r="M301">
        <v>7</v>
      </c>
      <c r="N301" t="s">
        <v>44</v>
      </c>
      <c r="O301" t="s">
        <v>57</v>
      </c>
      <c r="P301" t="b">
        <v>1</v>
      </c>
      <c r="Q301" t="b">
        <v>1</v>
      </c>
      <c r="R301" t="b">
        <v>0</v>
      </c>
      <c r="S301" t="b">
        <v>1</v>
      </c>
      <c r="T301" t="b">
        <v>1</v>
      </c>
      <c r="U301">
        <v>1.7</v>
      </c>
      <c r="V301">
        <v>5</v>
      </c>
      <c r="W301">
        <v>7</v>
      </c>
      <c r="X301">
        <v>6.9</v>
      </c>
      <c r="Y301">
        <v>142.09</v>
      </c>
      <c r="Z301">
        <v>12</v>
      </c>
      <c r="AA301" t="s">
        <v>37</v>
      </c>
    </row>
    <row r="302" spans="1:27" x14ac:dyDescent="0.3">
      <c r="A302" t="s">
        <v>393</v>
      </c>
      <c r="B302">
        <v>22</v>
      </c>
      <c r="C302" t="s">
        <v>53</v>
      </c>
      <c r="D302">
        <v>3.8</v>
      </c>
      <c r="E302" t="s">
        <v>54</v>
      </c>
      <c r="F302" t="s">
        <v>98</v>
      </c>
      <c r="G302" t="s">
        <v>50</v>
      </c>
      <c r="H302">
        <v>5.4</v>
      </c>
      <c r="I302" t="s">
        <v>51</v>
      </c>
      <c r="J302" t="s">
        <v>36</v>
      </c>
      <c r="K302" t="s">
        <v>62</v>
      </c>
      <c r="L302">
        <v>1.25</v>
      </c>
      <c r="M302">
        <v>8</v>
      </c>
      <c r="N302" t="s">
        <v>44</v>
      </c>
      <c r="O302" t="s">
        <v>45</v>
      </c>
      <c r="P302" t="b">
        <v>0</v>
      </c>
      <c r="Q302" t="b">
        <v>0</v>
      </c>
      <c r="R302" t="b">
        <v>0</v>
      </c>
      <c r="S302" t="b">
        <v>0</v>
      </c>
      <c r="T302" t="b">
        <v>0</v>
      </c>
      <c r="U302">
        <v>1.5</v>
      </c>
      <c r="V302">
        <v>6.4</v>
      </c>
      <c r="W302">
        <v>2</v>
      </c>
      <c r="X302">
        <v>12.9</v>
      </c>
      <c r="Y302">
        <v>16.03</v>
      </c>
      <c r="Z302">
        <v>8</v>
      </c>
      <c r="AA302" t="s">
        <v>46</v>
      </c>
    </row>
    <row r="303" spans="1:27" x14ac:dyDescent="0.3">
      <c r="A303" t="s">
        <v>394</v>
      </c>
      <c r="B303">
        <v>17</v>
      </c>
      <c r="C303" t="s">
        <v>28</v>
      </c>
      <c r="D303">
        <v>6.2</v>
      </c>
      <c r="E303" t="s">
        <v>76</v>
      </c>
      <c r="F303" t="s">
        <v>77</v>
      </c>
      <c r="G303" t="s">
        <v>31</v>
      </c>
      <c r="H303">
        <v>6.4</v>
      </c>
      <c r="I303" t="s">
        <v>43</v>
      </c>
      <c r="J303" t="s">
        <v>36</v>
      </c>
      <c r="K303" t="s">
        <v>62</v>
      </c>
      <c r="L303">
        <v>3.16</v>
      </c>
      <c r="N303" t="s">
        <v>35</v>
      </c>
      <c r="O303" t="s">
        <v>33</v>
      </c>
      <c r="P303" t="b">
        <v>0</v>
      </c>
      <c r="Q303" t="b">
        <v>1</v>
      </c>
      <c r="R303" t="b">
        <v>0</v>
      </c>
      <c r="S303" t="b">
        <v>0</v>
      </c>
      <c r="T303" t="b">
        <v>1</v>
      </c>
      <c r="U303">
        <v>1.5</v>
      </c>
      <c r="V303">
        <v>5.9</v>
      </c>
      <c r="W303">
        <v>5</v>
      </c>
      <c r="X303">
        <v>10.199999999999999</v>
      </c>
      <c r="Y303">
        <v>144.07</v>
      </c>
      <c r="Z303">
        <v>5</v>
      </c>
      <c r="AA303" t="s">
        <v>64</v>
      </c>
    </row>
    <row r="304" spans="1:27" x14ac:dyDescent="0.3">
      <c r="A304" t="s">
        <v>395</v>
      </c>
      <c r="B304">
        <v>18</v>
      </c>
      <c r="C304" t="s">
        <v>28</v>
      </c>
      <c r="D304">
        <v>4.9000000000000004</v>
      </c>
      <c r="E304" t="s">
        <v>82</v>
      </c>
      <c r="F304" t="s">
        <v>134</v>
      </c>
      <c r="G304" t="s">
        <v>86</v>
      </c>
      <c r="H304">
        <v>6.3</v>
      </c>
      <c r="I304" t="s">
        <v>51</v>
      </c>
      <c r="J304" t="s">
        <v>33</v>
      </c>
      <c r="K304" t="s">
        <v>43</v>
      </c>
      <c r="L304">
        <v>3.45</v>
      </c>
      <c r="N304" t="s">
        <v>44</v>
      </c>
      <c r="O304" t="s">
        <v>45</v>
      </c>
      <c r="P304" t="b">
        <v>0</v>
      </c>
      <c r="Q304" t="b">
        <v>0</v>
      </c>
      <c r="R304" t="b">
        <v>0</v>
      </c>
      <c r="S304" t="b">
        <v>1</v>
      </c>
      <c r="T304" t="b">
        <v>0</v>
      </c>
      <c r="U304">
        <v>0.3</v>
      </c>
      <c r="V304">
        <v>7.8</v>
      </c>
      <c r="W304">
        <v>4</v>
      </c>
      <c r="X304">
        <v>10.3</v>
      </c>
      <c r="Y304">
        <v>65.41</v>
      </c>
      <c r="Z304">
        <v>6</v>
      </c>
      <c r="AA304" t="s">
        <v>46</v>
      </c>
    </row>
    <row r="305" spans="1:27" x14ac:dyDescent="0.3">
      <c r="A305" t="s">
        <v>396</v>
      </c>
      <c r="B305">
        <v>20</v>
      </c>
      <c r="C305" t="s">
        <v>53</v>
      </c>
      <c r="D305">
        <v>7</v>
      </c>
      <c r="E305" t="s">
        <v>82</v>
      </c>
      <c r="F305" t="s">
        <v>83</v>
      </c>
      <c r="G305" t="s">
        <v>71</v>
      </c>
      <c r="H305">
        <v>3.7</v>
      </c>
      <c r="I305" t="s">
        <v>78</v>
      </c>
      <c r="J305" t="s">
        <v>42</v>
      </c>
      <c r="K305" t="s">
        <v>51</v>
      </c>
      <c r="L305">
        <v>1.73</v>
      </c>
      <c r="M305">
        <v>5</v>
      </c>
      <c r="N305" t="s">
        <v>35</v>
      </c>
      <c r="O305" t="s">
        <v>36</v>
      </c>
      <c r="P305" t="b">
        <v>1</v>
      </c>
      <c r="Q305" t="b">
        <v>1</v>
      </c>
      <c r="R305" t="b">
        <v>0</v>
      </c>
      <c r="S305" t="b">
        <v>1</v>
      </c>
      <c r="T305" t="b">
        <v>0</v>
      </c>
      <c r="U305">
        <v>0.5</v>
      </c>
      <c r="V305">
        <v>6.2</v>
      </c>
      <c r="W305">
        <v>5</v>
      </c>
      <c r="X305">
        <v>4.9000000000000004</v>
      </c>
      <c r="Y305">
        <v>99.51</v>
      </c>
      <c r="Z305">
        <v>8</v>
      </c>
      <c r="AA305" t="s">
        <v>58</v>
      </c>
    </row>
    <row r="306" spans="1:27" x14ac:dyDescent="0.3">
      <c r="A306" t="s">
        <v>397</v>
      </c>
      <c r="B306">
        <v>19</v>
      </c>
      <c r="C306" t="s">
        <v>28</v>
      </c>
      <c r="D306">
        <v>6.1</v>
      </c>
      <c r="E306" t="s">
        <v>54</v>
      </c>
      <c r="F306" t="s">
        <v>89</v>
      </c>
      <c r="G306" t="s">
        <v>71</v>
      </c>
      <c r="H306">
        <v>6.6</v>
      </c>
      <c r="I306" t="s">
        <v>41</v>
      </c>
      <c r="J306" t="s">
        <v>33</v>
      </c>
      <c r="K306" t="s">
        <v>34</v>
      </c>
      <c r="L306">
        <v>1.1499999999999999</v>
      </c>
      <c r="M306">
        <v>1</v>
      </c>
      <c r="N306" t="s">
        <v>69</v>
      </c>
      <c r="O306" t="s">
        <v>36</v>
      </c>
      <c r="P306" t="b">
        <v>0</v>
      </c>
      <c r="Q306" t="b">
        <v>1</v>
      </c>
      <c r="R306" t="b">
        <v>0</v>
      </c>
      <c r="S306" t="b">
        <v>1</v>
      </c>
      <c r="T306" t="b">
        <v>0</v>
      </c>
      <c r="U306">
        <v>0.1</v>
      </c>
      <c r="V306">
        <v>8.9</v>
      </c>
      <c r="W306">
        <v>3</v>
      </c>
      <c r="X306">
        <v>5.9</v>
      </c>
      <c r="Y306">
        <v>96.25</v>
      </c>
      <c r="Z306">
        <v>4</v>
      </c>
      <c r="AA306" t="s">
        <v>64</v>
      </c>
    </row>
    <row r="307" spans="1:27" x14ac:dyDescent="0.3">
      <c r="A307" t="s">
        <v>398</v>
      </c>
      <c r="B307">
        <v>22</v>
      </c>
      <c r="C307" t="s">
        <v>28</v>
      </c>
      <c r="D307">
        <v>6</v>
      </c>
      <c r="E307" t="s">
        <v>60</v>
      </c>
      <c r="F307" t="s">
        <v>96</v>
      </c>
      <c r="G307" t="s">
        <v>31</v>
      </c>
      <c r="H307">
        <v>7</v>
      </c>
      <c r="I307" t="s">
        <v>51</v>
      </c>
      <c r="J307" t="s">
        <v>33</v>
      </c>
      <c r="K307" t="s">
        <v>43</v>
      </c>
      <c r="L307">
        <v>3.24</v>
      </c>
      <c r="M307">
        <v>5</v>
      </c>
      <c r="N307" t="s">
        <v>35</v>
      </c>
      <c r="O307" t="s">
        <v>36</v>
      </c>
      <c r="P307" t="b">
        <v>0</v>
      </c>
      <c r="Q307" t="b">
        <v>0</v>
      </c>
      <c r="R307" t="b">
        <v>0</v>
      </c>
      <c r="S307" t="b">
        <v>1</v>
      </c>
      <c r="T307" t="b">
        <v>1</v>
      </c>
      <c r="U307">
        <v>1.6</v>
      </c>
      <c r="V307">
        <v>7</v>
      </c>
      <c r="W307">
        <v>4</v>
      </c>
      <c r="X307">
        <v>7</v>
      </c>
      <c r="Y307">
        <v>41.72</v>
      </c>
      <c r="Z307">
        <v>10</v>
      </c>
      <c r="AA307" t="s">
        <v>46</v>
      </c>
    </row>
    <row r="308" spans="1:27" x14ac:dyDescent="0.3">
      <c r="A308" t="s">
        <v>399</v>
      </c>
      <c r="B308">
        <v>19</v>
      </c>
      <c r="C308" t="s">
        <v>28</v>
      </c>
      <c r="D308">
        <v>7.8</v>
      </c>
      <c r="E308" t="s">
        <v>76</v>
      </c>
      <c r="F308" t="s">
        <v>110</v>
      </c>
      <c r="G308" t="s">
        <v>50</v>
      </c>
      <c r="H308">
        <v>3.5</v>
      </c>
      <c r="I308" t="s">
        <v>51</v>
      </c>
      <c r="J308" t="s">
        <v>45</v>
      </c>
      <c r="K308" t="s">
        <v>43</v>
      </c>
      <c r="L308">
        <v>3.5</v>
      </c>
      <c r="M308">
        <v>10</v>
      </c>
      <c r="N308" t="s">
        <v>56</v>
      </c>
      <c r="O308" t="s">
        <v>42</v>
      </c>
      <c r="P308" t="b">
        <v>1</v>
      </c>
      <c r="Q308" t="b">
        <v>0</v>
      </c>
      <c r="R308" t="b">
        <v>1</v>
      </c>
      <c r="S308" t="b">
        <v>0</v>
      </c>
      <c r="T308" t="b">
        <v>0</v>
      </c>
      <c r="U308">
        <v>1.5</v>
      </c>
      <c r="V308">
        <v>5.5</v>
      </c>
      <c r="W308">
        <v>4</v>
      </c>
      <c r="X308">
        <v>7.5</v>
      </c>
      <c r="Y308">
        <v>58.16</v>
      </c>
      <c r="Z308">
        <v>1</v>
      </c>
      <c r="AA308" t="s">
        <v>58</v>
      </c>
    </row>
    <row r="309" spans="1:27" x14ac:dyDescent="0.3">
      <c r="A309" t="s">
        <v>400</v>
      </c>
      <c r="B309">
        <v>19</v>
      </c>
      <c r="C309" t="s">
        <v>28</v>
      </c>
      <c r="D309">
        <v>8.1999999999999993</v>
      </c>
      <c r="E309" t="s">
        <v>54</v>
      </c>
      <c r="F309" t="s">
        <v>98</v>
      </c>
      <c r="G309" t="s">
        <v>86</v>
      </c>
      <c r="H309">
        <v>4.4000000000000004</v>
      </c>
      <c r="I309" t="s">
        <v>78</v>
      </c>
      <c r="J309" t="s">
        <v>74</v>
      </c>
      <c r="K309" t="s">
        <v>62</v>
      </c>
      <c r="L309">
        <v>3.66</v>
      </c>
      <c r="M309">
        <v>6</v>
      </c>
      <c r="N309" t="s">
        <v>44</v>
      </c>
      <c r="O309" t="s">
        <v>36</v>
      </c>
      <c r="P309" t="b">
        <v>1</v>
      </c>
      <c r="Q309" t="b">
        <v>1</v>
      </c>
      <c r="R309" t="b">
        <v>1</v>
      </c>
      <c r="S309" t="b">
        <v>1</v>
      </c>
      <c r="T309" t="b">
        <v>1</v>
      </c>
      <c r="U309">
        <v>3.2</v>
      </c>
      <c r="V309">
        <v>5.0999999999999996</v>
      </c>
      <c r="W309">
        <v>5</v>
      </c>
      <c r="X309">
        <v>7.8</v>
      </c>
      <c r="Y309">
        <v>54.27</v>
      </c>
      <c r="Z309">
        <v>6</v>
      </c>
      <c r="AA309" t="s">
        <v>37</v>
      </c>
    </row>
    <row r="310" spans="1:27" x14ac:dyDescent="0.3">
      <c r="A310" t="s">
        <v>401</v>
      </c>
      <c r="B310">
        <v>25</v>
      </c>
      <c r="C310" t="s">
        <v>53</v>
      </c>
      <c r="D310">
        <v>6.6</v>
      </c>
      <c r="E310" t="s">
        <v>29</v>
      </c>
      <c r="F310" t="s">
        <v>104</v>
      </c>
      <c r="G310" t="s">
        <v>50</v>
      </c>
      <c r="H310">
        <v>5.3</v>
      </c>
      <c r="I310" t="s">
        <v>51</v>
      </c>
      <c r="J310" t="s">
        <v>45</v>
      </c>
      <c r="K310" t="s">
        <v>51</v>
      </c>
      <c r="M310">
        <v>9</v>
      </c>
      <c r="N310" t="s">
        <v>80</v>
      </c>
      <c r="O310" t="s">
        <v>42</v>
      </c>
      <c r="P310" t="b">
        <v>1</v>
      </c>
      <c r="Q310" t="b">
        <v>1</v>
      </c>
      <c r="R310" t="b">
        <v>0</v>
      </c>
      <c r="S310" t="b">
        <v>0</v>
      </c>
      <c r="T310" t="b">
        <v>1</v>
      </c>
      <c r="U310">
        <v>2.9</v>
      </c>
      <c r="V310">
        <v>6.4</v>
      </c>
      <c r="W310">
        <v>4</v>
      </c>
      <c r="X310">
        <v>9.1999999999999993</v>
      </c>
      <c r="Y310">
        <v>33.83</v>
      </c>
      <c r="Z310">
        <v>2</v>
      </c>
      <c r="AA310" t="s">
        <v>58</v>
      </c>
    </row>
    <row r="311" spans="1:27" x14ac:dyDescent="0.3">
      <c r="A311" t="s">
        <v>402</v>
      </c>
      <c r="B311">
        <v>16</v>
      </c>
      <c r="C311" t="s">
        <v>28</v>
      </c>
      <c r="D311">
        <v>1.9</v>
      </c>
      <c r="E311" t="s">
        <v>29</v>
      </c>
      <c r="F311" t="s">
        <v>118</v>
      </c>
      <c r="G311" t="s">
        <v>71</v>
      </c>
      <c r="H311">
        <v>7.2</v>
      </c>
      <c r="I311" t="s">
        <v>41</v>
      </c>
      <c r="J311" t="s">
        <v>74</v>
      </c>
      <c r="K311" t="s">
        <v>43</v>
      </c>
      <c r="L311">
        <v>3.14</v>
      </c>
      <c r="N311" t="s">
        <v>66</v>
      </c>
      <c r="O311" t="s">
        <v>33</v>
      </c>
      <c r="P311" t="b">
        <v>0</v>
      </c>
      <c r="Q311" t="b">
        <v>0</v>
      </c>
      <c r="R311" t="b">
        <v>0</v>
      </c>
      <c r="S311" t="b">
        <v>0</v>
      </c>
      <c r="T311" t="b">
        <v>0</v>
      </c>
      <c r="U311">
        <v>0.4</v>
      </c>
      <c r="V311">
        <v>8.1999999999999993</v>
      </c>
      <c r="W311">
        <v>1</v>
      </c>
      <c r="X311">
        <v>12.6</v>
      </c>
      <c r="Y311">
        <v>17.48</v>
      </c>
      <c r="Z311">
        <v>3</v>
      </c>
      <c r="AA311" t="s">
        <v>46</v>
      </c>
    </row>
    <row r="312" spans="1:27" x14ac:dyDescent="0.3">
      <c r="A312" t="s">
        <v>403</v>
      </c>
      <c r="B312">
        <v>19</v>
      </c>
      <c r="C312" t="s">
        <v>53</v>
      </c>
      <c r="D312">
        <v>4.8</v>
      </c>
      <c r="E312" t="s">
        <v>76</v>
      </c>
      <c r="F312" t="s">
        <v>110</v>
      </c>
      <c r="G312" t="s">
        <v>31</v>
      </c>
      <c r="H312">
        <v>6.5</v>
      </c>
      <c r="I312" t="s">
        <v>32</v>
      </c>
      <c r="J312" t="s">
        <v>36</v>
      </c>
      <c r="K312" t="s">
        <v>43</v>
      </c>
      <c r="L312">
        <v>2.02</v>
      </c>
      <c r="M312">
        <v>3</v>
      </c>
      <c r="N312" t="s">
        <v>69</v>
      </c>
      <c r="O312" t="s">
        <v>36</v>
      </c>
      <c r="P312" t="b">
        <v>0</v>
      </c>
      <c r="Q312" t="b">
        <v>0</v>
      </c>
      <c r="R312" t="b">
        <v>0</v>
      </c>
      <c r="S312" t="b">
        <v>1</v>
      </c>
      <c r="T312" t="b">
        <v>0</v>
      </c>
      <c r="U312">
        <v>2</v>
      </c>
      <c r="V312">
        <v>7.9</v>
      </c>
      <c r="W312">
        <v>4</v>
      </c>
      <c r="X312">
        <v>7</v>
      </c>
      <c r="Y312">
        <v>111.95</v>
      </c>
      <c r="Z312">
        <v>5</v>
      </c>
      <c r="AA312" t="s">
        <v>46</v>
      </c>
    </row>
    <row r="313" spans="1:27" x14ac:dyDescent="0.3">
      <c r="A313" t="s">
        <v>404</v>
      </c>
      <c r="B313">
        <v>19</v>
      </c>
      <c r="C313" t="s">
        <v>28</v>
      </c>
      <c r="D313">
        <v>7.1</v>
      </c>
      <c r="E313" t="s">
        <v>39</v>
      </c>
      <c r="F313" t="s">
        <v>40</v>
      </c>
      <c r="G313" t="s">
        <v>31</v>
      </c>
      <c r="H313">
        <v>3.3</v>
      </c>
      <c r="I313" t="s">
        <v>41</v>
      </c>
      <c r="J313" t="s">
        <v>42</v>
      </c>
      <c r="K313" t="s">
        <v>129</v>
      </c>
      <c r="L313">
        <v>3.78</v>
      </c>
      <c r="M313">
        <v>4</v>
      </c>
      <c r="N313" t="s">
        <v>44</v>
      </c>
      <c r="O313" t="s">
        <v>42</v>
      </c>
      <c r="P313" t="b">
        <v>1</v>
      </c>
      <c r="Q313" t="b">
        <v>0</v>
      </c>
      <c r="R313" t="b">
        <v>0</v>
      </c>
      <c r="S313" t="b">
        <v>1</v>
      </c>
      <c r="T313" t="b">
        <v>0</v>
      </c>
      <c r="U313">
        <v>1.8</v>
      </c>
      <c r="V313">
        <v>5.7</v>
      </c>
      <c r="W313">
        <v>3</v>
      </c>
      <c r="X313">
        <v>6.6</v>
      </c>
      <c r="Y313">
        <v>117.05</v>
      </c>
      <c r="Z313">
        <v>6</v>
      </c>
      <c r="AA313" t="s">
        <v>64</v>
      </c>
    </row>
    <row r="314" spans="1:27" x14ac:dyDescent="0.3">
      <c r="A314" t="s">
        <v>405</v>
      </c>
      <c r="B314">
        <v>19</v>
      </c>
      <c r="C314" t="s">
        <v>53</v>
      </c>
      <c r="D314">
        <v>2.2999999999999998</v>
      </c>
      <c r="E314" t="s">
        <v>76</v>
      </c>
      <c r="F314" t="s">
        <v>77</v>
      </c>
      <c r="G314" t="s">
        <v>86</v>
      </c>
      <c r="H314">
        <v>8.3000000000000007</v>
      </c>
      <c r="I314" t="s">
        <v>32</v>
      </c>
      <c r="J314" t="s">
        <v>42</v>
      </c>
      <c r="K314" t="s">
        <v>34</v>
      </c>
      <c r="L314">
        <v>1.48</v>
      </c>
      <c r="M314">
        <v>7</v>
      </c>
      <c r="N314" t="s">
        <v>44</v>
      </c>
      <c r="O314" t="s">
        <v>33</v>
      </c>
      <c r="P314" t="b">
        <v>0</v>
      </c>
      <c r="Q314" t="b">
        <v>0</v>
      </c>
      <c r="R314" t="b">
        <v>0</v>
      </c>
      <c r="S314" t="b">
        <v>0</v>
      </c>
      <c r="T314" t="b">
        <v>0</v>
      </c>
      <c r="U314">
        <v>0.1</v>
      </c>
      <c r="V314">
        <v>9.6999999999999993</v>
      </c>
      <c r="W314">
        <v>1</v>
      </c>
      <c r="X314">
        <v>11.5</v>
      </c>
      <c r="Y314">
        <v>13.66</v>
      </c>
      <c r="Z314">
        <v>9</v>
      </c>
      <c r="AA314" t="s">
        <v>46</v>
      </c>
    </row>
    <row r="315" spans="1:27" x14ac:dyDescent="0.3">
      <c r="A315" t="s">
        <v>406</v>
      </c>
      <c r="B315">
        <v>30</v>
      </c>
      <c r="C315" t="s">
        <v>28</v>
      </c>
      <c r="D315">
        <v>3.5</v>
      </c>
      <c r="E315" t="s">
        <v>76</v>
      </c>
      <c r="F315" t="s">
        <v>126</v>
      </c>
      <c r="G315" t="s">
        <v>31</v>
      </c>
      <c r="H315">
        <v>5.0999999999999996</v>
      </c>
      <c r="I315" t="s">
        <v>41</v>
      </c>
      <c r="J315" t="s">
        <v>33</v>
      </c>
      <c r="K315" t="s">
        <v>62</v>
      </c>
      <c r="M315">
        <v>3</v>
      </c>
      <c r="N315" t="s">
        <v>66</v>
      </c>
      <c r="O315" t="s">
        <v>57</v>
      </c>
      <c r="P315" t="b">
        <v>0</v>
      </c>
      <c r="Q315" t="b">
        <v>0</v>
      </c>
      <c r="R315" t="b">
        <v>0</v>
      </c>
      <c r="S315" t="b">
        <v>0</v>
      </c>
      <c r="T315" t="b">
        <v>0</v>
      </c>
      <c r="U315">
        <v>0.4</v>
      </c>
      <c r="V315">
        <v>6.2</v>
      </c>
      <c r="W315">
        <v>3</v>
      </c>
      <c r="X315">
        <v>8.6</v>
      </c>
      <c r="Y315">
        <v>45.36</v>
      </c>
      <c r="Z315">
        <v>4</v>
      </c>
      <c r="AA315" t="s">
        <v>46</v>
      </c>
    </row>
    <row r="316" spans="1:27" x14ac:dyDescent="0.3">
      <c r="A316" t="s">
        <v>407</v>
      </c>
      <c r="B316">
        <v>19</v>
      </c>
      <c r="C316" t="s">
        <v>28</v>
      </c>
      <c r="D316">
        <v>6.2</v>
      </c>
      <c r="E316" t="s">
        <v>82</v>
      </c>
      <c r="F316" t="s">
        <v>134</v>
      </c>
      <c r="G316" t="s">
        <v>86</v>
      </c>
      <c r="H316">
        <v>6.4</v>
      </c>
      <c r="I316" t="s">
        <v>51</v>
      </c>
      <c r="J316" t="s">
        <v>45</v>
      </c>
      <c r="K316" t="s">
        <v>34</v>
      </c>
      <c r="L316">
        <v>1.77</v>
      </c>
      <c r="M316">
        <v>1</v>
      </c>
      <c r="N316" t="s">
        <v>35</v>
      </c>
      <c r="O316" t="s">
        <v>42</v>
      </c>
      <c r="P316" t="b">
        <v>0</v>
      </c>
      <c r="Q316" t="b">
        <v>0</v>
      </c>
      <c r="R316" t="b">
        <v>0</v>
      </c>
      <c r="S316" t="b">
        <v>0</v>
      </c>
      <c r="T316" t="b">
        <v>1</v>
      </c>
      <c r="U316">
        <v>2.4</v>
      </c>
      <c r="V316">
        <v>8.4</v>
      </c>
      <c r="W316">
        <v>3</v>
      </c>
      <c r="X316">
        <v>9.4</v>
      </c>
      <c r="Y316">
        <v>36.33</v>
      </c>
      <c r="Z316">
        <v>3</v>
      </c>
      <c r="AA316" t="s">
        <v>46</v>
      </c>
    </row>
    <row r="317" spans="1:27" x14ac:dyDescent="0.3">
      <c r="A317" t="s">
        <v>408</v>
      </c>
      <c r="B317">
        <v>15</v>
      </c>
      <c r="C317" t="s">
        <v>53</v>
      </c>
      <c r="D317">
        <v>6.8</v>
      </c>
      <c r="E317" t="s">
        <v>39</v>
      </c>
      <c r="F317" t="s">
        <v>40</v>
      </c>
      <c r="G317" t="s">
        <v>31</v>
      </c>
      <c r="H317">
        <v>5.3</v>
      </c>
      <c r="I317" t="s">
        <v>43</v>
      </c>
      <c r="J317" t="s">
        <v>33</v>
      </c>
      <c r="K317" t="s">
        <v>34</v>
      </c>
      <c r="L317">
        <v>3.27</v>
      </c>
      <c r="N317" t="s">
        <v>35</v>
      </c>
      <c r="O317" t="s">
        <v>36</v>
      </c>
      <c r="P317" t="b">
        <v>0</v>
      </c>
      <c r="Q317" t="b">
        <v>0</v>
      </c>
      <c r="R317" t="b">
        <v>0</v>
      </c>
      <c r="S317" t="b">
        <v>0</v>
      </c>
      <c r="T317" t="b">
        <v>1</v>
      </c>
      <c r="U317">
        <v>1.7</v>
      </c>
      <c r="V317">
        <v>6.6</v>
      </c>
      <c r="W317">
        <v>3</v>
      </c>
      <c r="X317">
        <v>6.1</v>
      </c>
      <c r="Y317">
        <v>125.63</v>
      </c>
      <c r="Z317">
        <v>5</v>
      </c>
      <c r="AA317" t="s">
        <v>46</v>
      </c>
    </row>
    <row r="318" spans="1:27" x14ac:dyDescent="0.3">
      <c r="A318" t="s">
        <v>409</v>
      </c>
      <c r="B318">
        <v>18</v>
      </c>
      <c r="C318" t="s">
        <v>28</v>
      </c>
      <c r="D318">
        <v>3.8</v>
      </c>
      <c r="E318" t="s">
        <v>54</v>
      </c>
      <c r="F318" t="s">
        <v>89</v>
      </c>
      <c r="G318" t="s">
        <v>31</v>
      </c>
      <c r="H318">
        <v>5.2</v>
      </c>
      <c r="I318" t="s">
        <v>41</v>
      </c>
      <c r="J318" t="s">
        <v>74</v>
      </c>
      <c r="K318" t="s">
        <v>43</v>
      </c>
      <c r="L318">
        <v>3.74</v>
      </c>
      <c r="N318" t="s">
        <v>35</v>
      </c>
      <c r="O318" t="s">
        <v>42</v>
      </c>
      <c r="P318" t="b">
        <v>0</v>
      </c>
      <c r="Q318" t="b">
        <v>0</v>
      </c>
      <c r="R318" t="b">
        <v>0</v>
      </c>
      <c r="S318" t="b">
        <v>0</v>
      </c>
      <c r="T318" t="b">
        <v>0</v>
      </c>
      <c r="U318">
        <v>0.9</v>
      </c>
      <c r="V318">
        <v>9.4</v>
      </c>
      <c r="W318">
        <v>2</v>
      </c>
      <c r="X318">
        <v>13</v>
      </c>
      <c r="Y318">
        <v>3.71</v>
      </c>
      <c r="Z318">
        <v>8</v>
      </c>
      <c r="AA318" t="s">
        <v>46</v>
      </c>
    </row>
    <row r="319" spans="1:27" x14ac:dyDescent="0.3">
      <c r="A319" t="s">
        <v>410</v>
      </c>
      <c r="B319">
        <v>21</v>
      </c>
      <c r="C319" t="s">
        <v>28</v>
      </c>
      <c r="D319">
        <v>5.3</v>
      </c>
      <c r="E319" t="s">
        <v>29</v>
      </c>
      <c r="F319" t="s">
        <v>30</v>
      </c>
      <c r="G319" t="s">
        <v>50</v>
      </c>
      <c r="H319">
        <v>6.2</v>
      </c>
      <c r="I319" t="s">
        <v>32</v>
      </c>
      <c r="J319" t="s">
        <v>42</v>
      </c>
      <c r="K319" t="s">
        <v>62</v>
      </c>
      <c r="L319">
        <v>2.2400000000000002</v>
      </c>
      <c r="M319">
        <v>2</v>
      </c>
      <c r="N319" t="s">
        <v>80</v>
      </c>
      <c r="O319" t="s">
        <v>57</v>
      </c>
      <c r="P319" t="b">
        <v>0</v>
      </c>
      <c r="Q319" t="b">
        <v>0</v>
      </c>
      <c r="R319" t="b">
        <v>0</v>
      </c>
      <c r="S319" t="b">
        <v>1</v>
      </c>
      <c r="T319" t="b">
        <v>0</v>
      </c>
      <c r="U319">
        <v>1.4</v>
      </c>
      <c r="V319">
        <v>7.9</v>
      </c>
      <c r="W319">
        <v>3</v>
      </c>
      <c r="X319">
        <v>8.1999999999999993</v>
      </c>
      <c r="Y319">
        <v>11.59</v>
      </c>
      <c r="Z319">
        <v>11</v>
      </c>
      <c r="AA319" t="s">
        <v>46</v>
      </c>
    </row>
    <row r="320" spans="1:27" x14ac:dyDescent="0.3">
      <c r="A320" t="s">
        <v>411</v>
      </c>
      <c r="B320">
        <v>23</v>
      </c>
      <c r="C320" t="s">
        <v>28</v>
      </c>
      <c r="D320">
        <v>9.4</v>
      </c>
      <c r="E320" t="s">
        <v>60</v>
      </c>
      <c r="F320" t="s">
        <v>200</v>
      </c>
      <c r="G320" t="s">
        <v>31</v>
      </c>
      <c r="H320">
        <v>3.5</v>
      </c>
      <c r="I320" t="s">
        <v>41</v>
      </c>
      <c r="J320" t="s">
        <v>45</v>
      </c>
      <c r="K320" t="s">
        <v>51</v>
      </c>
      <c r="M320">
        <v>6</v>
      </c>
      <c r="N320" t="s">
        <v>66</v>
      </c>
      <c r="O320" t="s">
        <v>42</v>
      </c>
      <c r="P320" t="b">
        <v>0</v>
      </c>
      <c r="Q320" t="b">
        <v>1</v>
      </c>
      <c r="R320" t="b">
        <v>1</v>
      </c>
      <c r="S320" t="b">
        <v>1</v>
      </c>
      <c r="T320" t="b">
        <v>0</v>
      </c>
      <c r="U320">
        <v>4.0999999999999996</v>
      </c>
      <c r="V320">
        <v>6.7</v>
      </c>
      <c r="W320">
        <v>6</v>
      </c>
      <c r="X320">
        <v>3.1</v>
      </c>
      <c r="Y320">
        <v>230.02</v>
      </c>
      <c r="Z320">
        <v>4</v>
      </c>
      <c r="AA320" t="s">
        <v>37</v>
      </c>
    </row>
    <row r="321" spans="1:27" x14ac:dyDescent="0.3">
      <c r="A321" t="s">
        <v>412</v>
      </c>
      <c r="B321">
        <v>30</v>
      </c>
      <c r="C321" t="s">
        <v>28</v>
      </c>
      <c r="D321">
        <v>8.3000000000000007</v>
      </c>
      <c r="E321" t="s">
        <v>39</v>
      </c>
      <c r="F321" t="s">
        <v>40</v>
      </c>
      <c r="G321" t="s">
        <v>31</v>
      </c>
      <c r="H321">
        <v>3.4</v>
      </c>
      <c r="I321" t="s">
        <v>32</v>
      </c>
      <c r="J321" t="s">
        <v>33</v>
      </c>
      <c r="K321" t="s">
        <v>62</v>
      </c>
      <c r="M321">
        <v>1</v>
      </c>
      <c r="N321" t="s">
        <v>63</v>
      </c>
      <c r="O321" t="s">
        <v>57</v>
      </c>
      <c r="P321" t="b">
        <v>0</v>
      </c>
      <c r="Q321" t="b">
        <v>1</v>
      </c>
      <c r="R321" t="b">
        <v>0</v>
      </c>
      <c r="S321" t="b">
        <v>1</v>
      </c>
      <c r="T321" t="b">
        <v>0</v>
      </c>
      <c r="U321">
        <v>1.6</v>
      </c>
      <c r="V321">
        <v>7</v>
      </c>
      <c r="W321">
        <v>6</v>
      </c>
      <c r="X321">
        <v>3.1</v>
      </c>
      <c r="Y321">
        <v>28.19</v>
      </c>
      <c r="Z321">
        <v>1</v>
      </c>
      <c r="AA321" t="s">
        <v>64</v>
      </c>
    </row>
    <row r="322" spans="1:27" x14ac:dyDescent="0.3">
      <c r="A322" t="s">
        <v>413</v>
      </c>
      <c r="B322">
        <v>13</v>
      </c>
      <c r="C322" t="s">
        <v>28</v>
      </c>
      <c r="D322">
        <v>9.4</v>
      </c>
      <c r="E322" t="s">
        <v>29</v>
      </c>
      <c r="F322" t="s">
        <v>104</v>
      </c>
      <c r="G322" t="s">
        <v>31</v>
      </c>
      <c r="H322">
        <v>5.3</v>
      </c>
      <c r="I322" t="s">
        <v>51</v>
      </c>
      <c r="J322" t="s">
        <v>33</v>
      </c>
      <c r="K322" t="s">
        <v>62</v>
      </c>
      <c r="L322">
        <v>3.66</v>
      </c>
      <c r="N322" t="s">
        <v>105</v>
      </c>
      <c r="O322" t="s">
        <v>33</v>
      </c>
      <c r="P322" t="b">
        <v>1</v>
      </c>
      <c r="Q322" t="b">
        <v>1</v>
      </c>
      <c r="R322" t="b">
        <v>0</v>
      </c>
      <c r="S322" t="b">
        <v>1</v>
      </c>
      <c r="T322" t="b">
        <v>1</v>
      </c>
      <c r="U322">
        <v>0.8</v>
      </c>
      <c r="V322">
        <v>5.7</v>
      </c>
      <c r="W322">
        <v>7</v>
      </c>
      <c r="X322">
        <v>3.6</v>
      </c>
      <c r="Y322">
        <v>209.9</v>
      </c>
      <c r="Z322">
        <v>1</v>
      </c>
      <c r="AA322" t="s">
        <v>37</v>
      </c>
    </row>
    <row r="323" spans="1:27" x14ac:dyDescent="0.3">
      <c r="A323" t="s">
        <v>414</v>
      </c>
      <c r="B323">
        <v>20</v>
      </c>
      <c r="C323" t="s">
        <v>53</v>
      </c>
      <c r="D323">
        <v>5.2</v>
      </c>
      <c r="E323" t="s">
        <v>48</v>
      </c>
      <c r="F323" t="s">
        <v>128</v>
      </c>
      <c r="G323" t="s">
        <v>50</v>
      </c>
      <c r="H323">
        <v>5.3</v>
      </c>
      <c r="I323" t="s">
        <v>43</v>
      </c>
      <c r="J323" t="s">
        <v>45</v>
      </c>
      <c r="K323" t="s">
        <v>34</v>
      </c>
      <c r="L323">
        <v>2.76</v>
      </c>
      <c r="M323">
        <v>7</v>
      </c>
      <c r="N323" t="s">
        <v>66</v>
      </c>
      <c r="O323" t="s">
        <v>33</v>
      </c>
      <c r="P323" t="b">
        <v>0</v>
      </c>
      <c r="Q323" t="b">
        <v>0</v>
      </c>
      <c r="R323" t="b">
        <v>0</v>
      </c>
      <c r="S323" t="b">
        <v>0</v>
      </c>
      <c r="T323" t="b">
        <v>0</v>
      </c>
      <c r="U323">
        <v>1.2</v>
      </c>
      <c r="V323">
        <v>7.2</v>
      </c>
      <c r="W323">
        <v>4</v>
      </c>
      <c r="X323">
        <v>6.5</v>
      </c>
      <c r="Y323">
        <v>38.79</v>
      </c>
      <c r="Z323">
        <v>2</v>
      </c>
      <c r="AA323" t="s">
        <v>46</v>
      </c>
    </row>
    <row r="324" spans="1:27" x14ac:dyDescent="0.3">
      <c r="A324" t="s">
        <v>415</v>
      </c>
      <c r="B324">
        <v>16</v>
      </c>
      <c r="C324" t="s">
        <v>28</v>
      </c>
      <c r="D324">
        <v>8.3000000000000007</v>
      </c>
      <c r="E324" t="s">
        <v>54</v>
      </c>
      <c r="F324" t="s">
        <v>89</v>
      </c>
      <c r="G324" t="s">
        <v>50</v>
      </c>
      <c r="H324">
        <v>5.4</v>
      </c>
      <c r="I324" t="s">
        <v>51</v>
      </c>
      <c r="J324" t="s">
        <v>36</v>
      </c>
      <c r="K324" t="s">
        <v>51</v>
      </c>
      <c r="L324">
        <v>1.8</v>
      </c>
      <c r="N324" t="s">
        <v>69</v>
      </c>
      <c r="O324" t="s">
        <v>36</v>
      </c>
      <c r="P324" t="b">
        <v>1</v>
      </c>
      <c r="Q324" t="b">
        <v>1</v>
      </c>
      <c r="R324" t="b">
        <v>1</v>
      </c>
      <c r="S324" t="b">
        <v>1</v>
      </c>
      <c r="T324" t="b">
        <v>1</v>
      </c>
      <c r="U324">
        <v>3.1</v>
      </c>
      <c r="V324">
        <v>6.9</v>
      </c>
      <c r="W324">
        <v>3</v>
      </c>
      <c r="X324">
        <v>8.1</v>
      </c>
      <c r="Y324">
        <v>15.74</v>
      </c>
      <c r="Z324">
        <v>4</v>
      </c>
      <c r="AA324" t="s">
        <v>37</v>
      </c>
    </row>
    <row r="325" spans="1:27" x14ac:dyDescent="0.3">
      <c r="A325" t="s">
        <v>416</v>
      </c>
      <c r="B325">
        <v>30</v>
      </c>
      <c r="C325" t="s">
        <v>28</v>
      </c>
      <c r="D325">
        <v>4.4000000000000004</v>
      </c>
      <c r="E325" t="s">
        <v>82</v>
      </c>
      <c r="F325" t="s">
        <v>167</v>
      </c>
      <c r="G325" t="s">
        <v>50</v>
      </c>
      <c r="H325">
        <v>6.3</v>
      </c>
      <c r="I325" t="s">
        <v>43</v>
      </c>
      <c r="J325" t="s">
        <v>33</v>
      </c>
      <c r="K325" t="s">
        <v>62</v>
      </c>
      <c r="M325">
        <v>2</v>
      </c>
      <c r="N325" t="s">
        <v>35</v>
      </c>
      <c r="O325" t="s">
        <v>42</v>
      </c>
      <c r="P325" t="b">
        <v>0</v>
      </c>
      <c r="Q325" t="b">
        <v>0</v>
      </c>
      <c r="R325" t="b">
        <v>0</v>
      </c>
      <c r="S325" t="b">
        <v>0</v>
      </c>
      <c r="T325" t="b">
        <v>0</v>
      </c>
      <c r="U325">
        <v>1.6</v>
      </c>
      <c r="V325">
        <v>7.5</v>
      </c>
      <c r="W325">
        <v>2</v>
      </c>
      <c r="X325">
        <v>10.4</v>
      </c>
      <c r="Y325">
        <v>38.229999999999997</v>
      </c>
      <c r="Z325">
        <v>11</v>
      </c>
      <c r="AA325" t="s">
        <v>46</v>
      </c>
    </row>
    <row r="326" spans="1:27" x14ac:dyDescent="0.3">
      <c r="A326" t="s">
        <v>417</v>
      </c>
      <c r="B326">
        <v>20</v>
      </c>
      <c r="C326" t="s">
        <v>28</v>
      </c>
      <c r="D326">
        <v>10.3</v>
      </c>
      <c r="E326" t="s">
        <v>76</v>
      </c>
      <c r="F326" t="s">
        <v>77</v>
      </c>
      <c r="G326" t="s">
        <v>86</v>
      </c>
      <c r="H326">
        <v>5</v>
      </c>
      <c r="I326" t="s">
        <v>51</v>
      </c>
      <c r="J326" t="s">
        <v>36</v>
      </c>
      <c r="K326" t="s">
        <v>51</v>
      </c>
      <c r="L326">
        <v>1.1200000000000001</v>
      </c>
      <c r="M326">
        <v>4</v>
      </c>
      <c r="N326" t="s">
        <v>35</v>
      </c>
      <c r="O326" t="s">
        <v>42</v>
      </c>
      <c r="P326" t="b">
        <v>1</v>
      </c>
      <c r="Q326" t="b">
        <v>1</v>
      </c>
      <c r="R326" t="b">
        <v>0</v>
      </c>
      <c r="S326" t="b">
        <v>0</v>
      </c>
      <c r="T326" t="b">
        <v>1</v>
      </c>
      <c r="U326">
        <v>1.9</v>
      </c>
      <c r="V326">
        <v>4.2</v>
      </c>
      <c r="W326">
        <v>6</v>
      </c>
      <c r="X326">
        <v>4.5</v>
      </c>
      <c r="Y326">
        <v>420.51</v>
      </c>
      <c r="Z326">
        <v>7</v>
      </c>
      <c r="AA326" t="s">
        <v>37</v>
      </c>
    </row>
    <row r="327" spans="1:27" x14ac:dyDescent="0.3">
      <c r="A327" t="s">
        <v>418</v>
      </c>
      <c r="B327">
        <v>20</v>
      </c>
      <c r="C327" t="s">
        <v>28</v>
      </c>
      <c r="D327">
        <v>9.8000000000000007</v>
      </c>
      <c r="E327" t="s">
        <v>54</v>
      </c>
      <c r="F327" t="s">
        <v>89</v>
      </c>
      <c r="G327" t="s">
        <v>31</v>
      </c>
      <c r="H327">
        <v>3.6</v>
      </c>
      <c r="I327" t="s">
        <v>51</v>
      </c>
      <c r="J327" t="s">
        <v>36</v>
      </c>
      <c r="K327" t="s">
        <v>34</v>
      </c>
      <c r="L327">
        <v>3.74</v>
      </c>
      <c r="M327">
        <v>4</v>
      </c>
      <c r="N327" t="s">
        <v>44</v>
      </c>
      <c r="O327" t="s">
        <v>42</v>
      </c>
      <c r="P327" t="b">
        <v>1</v>
      </c>
      <c r="Q327" t="b">
        <v>1</v>
      </c>
      <c r="R327" t="b">
        <v>0</v>
      </c>
      <c r="S327" t="b">
        <v>0</v>
      </c>
      <c r="T327" t="b">
        <v>0</v>
      </c>
      <c r="U327">
        <v>0.6</v>
      </c>
      <c r="V327">
        <v>3.6</v>
      </c>
      <c r="W327">
        <v>8</v>
      </c>
      <c r="X327">
        <v>2.9</v>
      </c>
      <c r="Y327">
        <v>362.82</v>
      </c>
      <c r="Z327">
        <v>7</v>
      </c>
      <c r="AA327" t="s">
        <v>37</v>
      </c>
    </row>
    <row r="328" spans="1:27" x14ac:dyDescent="0.3">
      <c r="A328" t="s">
        <v>419</v>
      </c>
      <c r="B328">
        <v>14</v>
      </c>
      <c r="C328" t="s">
        <v>53</v>
      </c>
      <c r="D328">
        <v>12.2</v>
      </c>
      <c r="E328" t="s">
        <v>60</v>
      </c>
      <c r="F328" t="s">
        <v>102</v>
      </c>
      <c r="G328" t="s">
        <v>71</v>
      </c>
      <c r="H328">
        <v>4</v>
      </c>
      <c r="I328" t="s">
        <v>43</v>
      </c>
      <c r="J328" t="s">
        <v>33</v>
      </c>
      <c r="K328" t="s">
        <v>62</v>
      </c>
      <c r="L328">
        <v>3.98</v>
      </c>
      <c r="N328" t="s">
        <v>105</v>
      </c>
      <c r="O328" t="s">
        <v>45</v>
      </c>
      <c r="P328" t="b">
        <v>1</v>
      </c>
      <c r="Q328" t="b">
        <v>0</v>
      </c>
      <c r="R328" t="b">
        <v>0</v>
      </c>
      <c r="S328" t="b">
        <v>1</v>
      </c>
      <c r="T328" t="b">
        <v>1</v>
      </c>
      <c r="U328">
        <v>1.3</v>
      </c>
      <c r="V328">
        <v>2.4</v>
      </c>
      <c r="W328">
        <v>7</v>
      </c>
      <c r="X328">
        <v>0</v>
      </c>
      <c r="Y328">
        <v>98.66</v>
      </c>
      <c r="Z328">
        <v>2</v>
      </c>
      <c r="AA328" t="s">
        <v>58</v>
      </c>
    </row>
    <row r="329" spans="1:27" x14ac:dyDescent="0.3">
      <c r="A329" t="s">
        <v>420</v>
      </c>
      <c r="B329">
        <v>25</v>
      </c>
      <c r="C329" t="s">
        <v>28</v>
      </c>
      <c r="D329">
        <v>0.5</v>
      </c>
      <c r="E329" t="s">
        <v>82</v>
      </c>
      <c r="F329" t="s">
        <v>167</v>
      </c>
      <c r="G329" t="s">
        <v>50</v>
      </c>
      <c r="H329">
        <v>7.7</v>
      </c>
      <c r="I329" t="s">
        <v>41</v>
      </c>
      <c r="J329" t="s">
        <v>74</v>
      </c>
      <c r="K329" t="s">
        <v>43</v>
      </c>
      <c r="M329">
        <v>1</v>
      </c>
      <c r="N329" t="s">
        <v>66</v>
      </c>
      <c r="O329" t="s">
        <v>57</v>
      </c>
      <c r="P329" t="b">
        <v>0</v>
      </c>
      <c r="Q329" t="b">
        <v>0</v>
      </c>
      <c r="R329" t="b">
        <v>0</v>
      </c>
      <c r="S329" t="b">
        <v>0</v>
      </c>
      <c r="T329" t="b">
        <v>0</v>
      </c>
      <c r="U329">
        <v>0.5</v>
      </c>
      <c r="V329">
        <v>8</v>
      </c>
      <c r="W329">
        <v>1</v>
      </c>
      <c r="X329">
        <v>14.1</v>
      </c>
      <c r="Y329">
        <v>34.47</v>
      </c>
      <c r="Z329">
        <v>3</v>
      </c>
      <c r="AA329" t="s">
        <v>46</v>
      </c>
    </row>
    <row r="330" spans="1:27" x14ac:dyDescent="0.3">
      <c r="A330" t="s">
        <v>421</v>
      </c>
      <c r="B330">
        <v>20</v>
      </c>
      <c r="C330" t="s">
        <v>53</v>
      </c>
      <c r="D330">
        <v>5.5</v>
      </c>
      <c r="E330" t="s">
        <v>48</v>
      </c>
      <c r="F330" t="s">
        <v>68</v>
      </c>
      <c r="G330" t="s">
        <v>50</v>
      </c>
      <c r="H330">
        <v>6.3</v>
      </c>
      <c r="I330" t="s">
        <v>41</v>
      </c>
      <c r="J330" t="s">
        <v>33</v>
      </c>
      <c r="K330" t="s">
        <v>51</v>
      </c>
      <c r="L330">
        <v>3.78</v>
      </c>
      <c r="M330">
        <v>8</v>
      </c>
      <c r="N330" t="s">
        <v>66</v>
      </c>
      <c r="O330" t="s">
        <v>45</v>
      </c>
      <c r="P330" t="b">
        <v>0</v>
      </c>
      <c r="Q330" t="b">
        <v>0</v>
      </c>
      <c r="R330" t="b">
        <v>0</v>
      </c>
      <c r="S330" t="b">
        <v>1</v>
      </c>
      <c r="T330" t="b">
        <v>0</v>
      </c>
      <c r="U330">
        <v>2.5</v>
      </c>
      <c r="V330">
        <v>7.3</v>
      </c>
      <c r="W330">
        <v>3</v>
      </c>
      <c r="X330">
        <v>6</v>
      </c>
      <c r="Y330">
        <v>88.16</v>
      </c>
      <c r="Z330">
        <v>1</v>
      </c>
      <c r="AA330" t="s">
        <v>46</v>
      </c>
    </row>
    <row r="331" spans="1:27" x14ac:dyDescent="0.3">
      <c r="A331" t="s">
        <v>422</v>
      </c>
      <c r="B331">
        <v>24</v>
      </c>
      <c r="C331" t="s">
        <v>28</v>
      </c>
      <c r="D331">
        <v>6.8</v>
      </c>
      <c r="E331" t="s">
        <v>60</v>
      </c>
      <c r="F331" t="s">
        <v>102</v>
      </c>
      <c r="G331" t="s">
        <v>86</v>
      </c>
      <c r="H331">
        <v>3.6</v>
      </c>
      <c r="I331" t="s">
        <v>78</v>
      </c>
      <c r="J331" t="s">
        <v>74</v>
      </c>
      <c r="K331" t="s">
        <v>62</v>
      </c>
      <c r="M331">
        <v>3</v>
      </c>
      <c r="N331" t="s">
        <v>44</v>
      </c>
      <c r="O331" t="s">
        <v>33</v>
      </c>
      <c r="P331" t="b">
        <v>1</v>
      </c>
      <c r="Q331" t="b">
        <v>1</v>
      </c>
      <c r="R331" t="b">
        <v>0</v>
      </c>
      <c r="S331" t="b">
        <v>0</v>
      </c>
      <c r="T331" t="b">
        <v>0</v>
      </c>
      <c r="U331">
        <v>2.1</v>
      </c>
      <c r="V331">
        <v>4.9000000000000004</v>
      </c>
      <c r="W331">
        <v>6</v>
      </c>
      <c r="X331">
        <v>6.6</v>
      </c>
      <c r="Y331">
        <v>99.36</v>
      </c>
      <c r="Z331">
        <v>6</v>
      </c>
      <c r="AA331" t="s">
        <v>58</v>
      </c>
    </row>
    <row r="332" spans="1:27" x14ac:dyDescent="0.3">
      <c r="A332" t="s">
        <v>423</v>
      </c>
      <c r="B332">
        <v>27</v>
      </c>
      <c r="C332" t="s">
        <v>53</v>
      </c>
      <c r="D332">
        <v>0.6</v>
      </c>
      <c r="E332" t="s">
        <v>82</v>
      </c>
      <c r="F332" t="s">
        <v>134</v>
      </c>
      <c r="G332" t="s">
        <v>71</v>
      </c>
      <c r="H332">
        <v>7.1</v>
      </c>
      <c r="I332" t="s">
        <v>32</v>
      </c>
      <c r="J332" t="s">
        <v>36</v>
      </c>
      <c r="K332" t="s">
        <v>34</v>
      </c>
      <c r="M332">
        <v>9</v>
      </c>
      <c r="N332" t="s">
        <v>69</v>
      </c>
      <c r="O332" t="s">
        <v>42</v>
      </c>
      <c r="P332" t="b">
        <v>0</v>
      </c>
      <c r="Q332" t="b">
        <v>0</v>
      </c>
      <c r="R332" t="b">
        <v>0</v>
      </c>
      <c r="S332" t="b">
        <v>0</v>
      </c>
      <c r="T332" t="b">
        <v>0</v>
      </c>
      <c r="U332">
        <v>0.2</v>
      </c>
      <c r="V332">
        <v>8</v>
      </c>
      <c r="W332">
        <v>1</v>
      </c>
      <c r="X332">
        <v>13.6</v>
      </c>
      <c r="Y332">
        <v>43.71</v>
      </c>
      <c r="Z332">
        <v>12</v>
      </c>
      <c r="AA332" t="s">
        <v>46</v>
      </c>
    </row>
    <row r="333" spans="1:27" x14ac:dyDescent="0.3">
      <c r="A333" t="s">
        <v>424</v>
      </c>
      <c r="B333">
        <v>20</v>
      </c>
      <c r="C333" t="s">
        <v>53</v>
      </c>
      <c r="D333">
        <v>4.4000000000000004</v>
      </c>
      <c r="E333" t="s">
        <v>29</v>
      </c>
      <c r="F333" t="s">
        <v>118</v>
      </c>
      <c r="G333" t="s">
        <v>86</v>
      </c>
      <c r="H333">
        <v>6.2</v>
      </c>
      <c r="I333" t="s">
        <v>41</v>
      </c>
      <c r="J333" t="s">
        <v>45</v>
      </c>
      <c r="K333" t="s">
        <v>34</v>
      </c>
      <c r="L333">
        <v>1.76</v>
      </c>
      <c r="M333">
        <v>3</v>
      </c>
      <c r="N333" t="s">
        <v>63</v>
      </c>
      <c r="O333" t="s">
        <v>45</v>
      </c>
      <c r="P333" t="b">
        <v>0</v>
      </c>
      <c r="Q333" t="b">
        <v>0</v>
      </c>
      <c r="R333" t="b">
        <v>0</v>
      </c>
      <c r="S333" t="b">
        <v>0</v>
      </c>
      <c r="T333" t="b">
        <v>0</v>
      </c>
      <c r="U333">
        <v>1</v>
      </c>
      <c r="V333">
        <v>6.2</v>
      </c>
      <c r="W333">
        <v>2</v>
      </c>
      <c r="X333">
        <v>8.6</v>
      </c>
      <c r="Y333">
        <v>40.729999999999997</v>
      </c>
      <c r="Z333">
        <v>6</v>
      </c>
      <c r="AA333" t="s">
        <v>46</v>
      </c>
    </row>
    <row r="334" spans="1:27" x14ac:dyDescent="0.3">
      <c r="A334" t="s">
        <v>425</v>
      </c>
      <c r="B334">
        <v>15</v>
      </c>
      <c r="C334" t="s">
        <v>28</v>
      </c>
      <c r="D334">
        <v>6.6</v>
      </c>
      <c r="E334" t="s">
        <v>60</v>
      </c>
      <c r="F334" t="s">
        <v>96</v>
      </c>
      <c r="G334" t="s">
        <v>71</v>
      </c>
      <c r="H334">
        <v>5</v>
      </c>
      <c r="I334" t="s">
        <v>51</v>
      </c>
      <c r="J334" t="s">
        <v>36</v>
      </c>
      <c r="K334" t="s">
        <v>129</v>
      </c>
      <c r="L334">
        <v>3.68</v>
      </c>
      <c r="N334" t="s">
        <v>80</v>
      </c>
      <c r="O334" t="s">
        <v>42</v>
      </c>
      <c r="P334" t="b">
        <v>1</v>
      </c>
      <c r="Q334" t="b">
        <v>1</v>
      </c>
      <c r="R334" t="b">
        <v>0</v>
      </c>
      <c r="S334" t="b">
        <v>1</v>
      </c>
      <c r="T334" t="b">
        <v>0</v>
      </c>
      <c r="U334">
        <v>0.4</v>
      </c>
      <c r="V334">
        <v>7.4</v>
      </c>
      <c r="W334">
        <v>5</v>
      </c>
      <c r="X334">
        <v>6.2</v>
      </c>
      <c r="Y334">
        <v>31.87</v>
      </c>
      <c r="Z334">
        <v>2</v>
      </c>
      <c r="AA334" t="s">
        <v>58</v>
      </c>
    </row>
    <row r="335" spans="1:27" x14ac:dyDescent="0.3">
      <c r="A335" t="s">
        <v>426</v>
      </c>
      <c r="B335">
        <v>26</v>
      </c>
      <c r="C335" t="s">
        <v>28</v>
      </c>
      <c r="D335">
        <v>0.8</v>
      </c>
      <c r="E335" t="s">
        <v>29</v>
      </c>
      <c r="F335" t="s">
        <v>73</v>
      </c>
      <c r="G335" t="s">
        <v>50</v>
      </c>
      <c r="H335">
        <v>7.9</v>
      </c>
      <c r="I335" t="s">
        <v>43</v>
      </c>
      <c r="J335" t="s">
        <v>42</v>
      </c>
      <c r="K335" t="s">
        <v>62</v>
      </c>
      <c r="M335">
        <v>1</v>
      </c>
      <c r="N335" t="s">
        <v>66</v>
      </c>
      <c r="O335" t="s">
        <v>45</v>
      </c>
      <c r="P335" t="b">
        <v>0</v>
      </c>
      <c r="Q335" t="b">
        <v>0</v>
      </c>
      <c r="R335" t="b">
        <v>0</v>
      </c>
      <c r="S335" t="b">
        <v>0</v>
      </c>
      <c r="T335" t="b">
        <v>0</v>
      </c>
      <c r="U335">
        <v>0.4</v>
      </c>
      <c r="V335">
        <v>9.9</v>
      </c>
      <c r="W335">
        <v>1</v>
      </c>
      <c r="X335">
        <v>15.4</v>
      </c>
      <c r="Y335">
        <v>36.549999999999997</v>
      </c>
      <c r="Z335">
        <v>9</v>
      </c>
      <c r="AA335" t="s">
        <v>46</v>
      </c>
    </row>
    <row r="336" spans="1:27" x14ac:dyDescent="0.3">
      <c r="A336" t="s">
        <v>427</v>
      </c>
      <c r="B336">
        <v>18</v>
      </c>
      <c r="C336" t="s">
        <v>53</v>
      </c>
      <c r="D336">
        <v>6.5</v>
      </c>
      <c r="E336" t="s">
        <v>82</v>
      </c>
      <c r="F336" t="s">
        <v>167</v>
      </c>
      <c r="G336" t="s">
        <v>31</v>
      </c>
      <c r="H336">
        <v>5.3</v>
      </c>
      <c r="I336" t="s">
        <v>32</v>
      </c>
      <c r="J336" t="s">
        <v>36</v>
      </c>
      <c r="K336" t="s">
        <v>34</v>
      </c>
      <c r="L336">
        <v>1.71</v>
      </c>
      <c r="N336" t="s">
        <v>35</v>
      </c>
      <c r="O336" t="s">
        <v>42</v>
      </c>
      <c r="P336" t="b">
        <v>0</v>
      </c>
      <c r="Q336" t="b">
        <v>0</v>
      </c>
      <c r="R336" t="b">
        <v>0</v>
      </c>
      <c r="S336" t="b">
        <v>1</v>
      </c>
      <c r="T336" t="b">
        <v>0</v>
      </c>
      <c r="U336">
        <v>0.7</v>
      </c>
      <c r="V336">
        <v>7.8</v>
      </c>
      <c r="W336">
        <v>5</v>
      </c>
      <c r="X336">
        <v>9.1</v>
      </c>
      <c r="Y336">
        <v>143.91999999999999</v>
      </c>
      <c r="Z336">
        <v>4</v>
      </c>
      <c r="AA336" t="s">
        <v>46</v>
      </c>
    </row>
    <row r="337" spans="1:27" x14ac:dyDescent="0.3">
      <c r="A337" t="s">
        <v>428</v>
      </c>
      <c r="B337">
        <v>26</v>
      </c>
      <c r="C337" t="s">
        <v>28</v>
      </c>
      <c r="D337">
        <v>10.4</v>
      </c>
      <c r="E337" t="s">
        <v>54</v>
      </c>
      <c r="F337" t="s">
        <v>89</v>
      </c>
      <c r="G337" t="s">
        <v>86</v>
      </c>
      <c r="H337">
        <v>4.2</v>
      </c>
      <c r="I337" t="s">
        <v>41</v>
      </c>
      <c r="J337" t="s">
        <v>74</v>
      </c>
      <c r="K337" t="s">
        <v>51</v>
      </c>
      <c r="M337">
        <v>2</v>
      </c>
      <c r="N337" t="s">
        <v>35</v>
      </c>
      <c r="O337" t="s">
        <v>36</v>
      </c>
      <c r="P337" t="b">
        <v>0</v>
      </c>
      <c r="Q337" t="b">
        <v>0</v>
      </c>
      <c r="R337" t="b">
        <v>1</v>
      </c>
      <c r="S337" t="b">
        <v>1</v>
      </c>
      <c r="T337" t="b">
        <v>0</v>
      </c>
      <c r="U337">
        <v>2.2000000000000002</v>
      </c>
      <c r="V337">
        <v>6.5</v>
      </c>
      <c r="W337">
        <v>7</v>
      </c>
      <c r="X337">
        <v>2.6</v>
      </c>
      <c r="Y337">
        <v>65.47</v>
      </c>
      <c r="Z337">
        <v>14</v>
      </c>
      <c r="AA337" t="s">
        <v>58</v>
      </c>
    </row>
    <row r="338" spans="1:27" x14ac:dyDescent="0.3">
      <c r="A338" t="s">
        <v>429</v>
      </c>
      <c r="B338">
        <v>18</v>
      </c>
      <c r="C338" t="s">
        <v>28</v>
      </c>
      <c r="D338">
        <v>3.2</v>
      </c>
      <c r="E338" t="s">
        <v>60</v>
      </c>
      <c r="F338" t="s">
        <v>102</v>
      </c>
      <c r="G338" t="s">
        <v>50</v>
      </c>
      <c r="H338">
        <v>8.1999999999999993</v>
      </c>
      <c r="I338" t="s">
        <v>43</v>
      </c>
      <c r="J338" t="s">
        <v>36</v>
      </c>
      <c r="K338" t="s">
        <v>62</v>
      </c>
      <c r="L338">
        <v>2.4500000000000002</v>
      </c>
      <c r="N338" t="s">
        <v>66</v>
      </c>
      <c r="O338" t="s">
        <v>36</v>
      </c>
      <c r="P338" t="b">
        <v>0</v>
      </c>
      <c r="Q338" t="b">
        <v>0</v>
      </c>
      <c r="R338" t="b">
        <v>0</v>
      </c>
      <c r="S338" t="b">
        <v>0</v>
      </c>
      <c r="T338" t="b">
        <v>0</v>
      </c>
      <c r="U338">
        <v>0.8</v>
      </c>
      <c r="V338">
        <v>10.199999999999999</v>
      </c>
      <c r="W338">
        <v>1</v>
      </c>
      <c r="X338">
        <v>13.9</v>
      </c>
      <c r="Y338">
        <v>34.090000000000003</v>
      </c>
      <c r="Z338">
        <v>2</v>
      </c>
      <c r="AA338" t="s">
        <v>46</v>
      </c>
    </row>
    <row r="339" spans="1:27" x14ac:dyDescent="0.3">
      <c r="A339" t="s">
        <v>430</v>
      </c>
      <c r="B339">
        <v>23</v>
      </c>
      <c r="C339" t="s">
        <v>53</v>
      </c>
      <c r="D339">
        <v>7</v>
      </c>
      <c r="E339" t="s">
        <v>82</v>
      </c>
      <c r="F339" t="s">
        <v>83</v>
      </c>
      <c r="G339" t="s">
        <v>86</v>
      </c>
      <c r="H339">
        <v>3.3</v>
      </c>
      <c r="I339" t="s">
        <v>32</v>
      </c>
      <c r="J339" t="s">
        <v>45</v>
      </c>
      <c r="K339" t="s">
        <v>51</v>
      </c>
      <c r="M339">
        <v>4</v>
      </c>
      <c r="N339" t="s">
        <v>35</v>
      </c>
      <c r="O339" t="s">
        <v>36</v>
      </c>
      <c r="P339" t="b">
        <v>0</v>
      </c>
      <c r="Q339" t="b">
        <v>1</v>
      </c>
      <c r="R339" t="b">
        <v>0</v>
      </c>
      <c r="S339" t="b">
        <v>1</v>
      </c>
      <c r="T339" t="b">
        <v>1</v>
      </c>
      <c r="U339">
        <v>0</v>
      </c>
      <c r="V339">
        <v>6.1</v>
      </c>
      <c r="W339">
        <v>5</v>
      </c>
      <c r="X339">
        <v>8.8000000000000007</v>
      </c>
      <c r="Y339">
        <v>134.49</v>
      </c>
      <c r="Z339">
        <v>13</v>
      </c>
      <c r="AA339" t="s">
        <v>64</v>
      </c>
    </row>
    <row r="340" spans="1:27" x14ac:dyDescent="0.3">
      <c r="A340" t="s">
        <v>431</v>
      </c>
      <c r="B340">
        <v>19</v>
      </c>
      <c r="C340" t="s">
        <v>28</v>
      </c>
      <c r="D340">
        <v>2.6</v>
      </c>
      <c r="E340" t="s">
        <v>54</v>
      </c>
      <c r="F340" t="s">
        <v>55</v>
      </c>
      <c r="G340" t="s">
        <v>71</v>
      </c>
      <c r="H340">
        <v>8.6999999999999993</v>
      </c>
      <c r="I340" t="s">
        <v>43</v>
      </c>
      <c r="J340" t="s">
        <v>45</v>
      </c>
      <c r="K340" t="s">
        <v>43</v>
      </c>
      <c r="L340">
        <v>2.62</v>
      </c>
      <c r="M340">
        <v>7</v>
      </c>
      <c r="N340" t="s">
        <v>69</v>
      </c>
      <c r="O340" t="s">
        <v>42</v>
      </c>
      <c r="P340" t="b">
        <v>0</v>
      </c>
      <c r="Q340" t="b">
        <v>0</v>
      </c>
      <c r="R340" t="b">
        <v>0</v>
      </c>
      <c r="S340" t="b">
        <v>0</v>
      </c>
      <c r="T340" t="b">
        <v>0</v>
      </c>
      <c r="U340">
        <v>1.1000000000000001</v>
      </c>
      <c r="V340">
        <v>6.6</v>
      </c>
      <c r="W340">
        <v>2</v>
      </c>
      <c r="X340">
        <v>9.1</v>
      </c>
      <c r="Y340">
        <v>27.14</v>
      </c>
      <c r="Z340">
        <v>5</v>
      </c>
      <c r="AA340" t="s">
        <v>46</v>
      </c>
    </row>
    <row r="341" spans="1:27" x14ac:dyDescent="0.3">
      <c r="A341" t="s">
        <v>432</v>
      </c>
      <c r="B341">
        <v>32</v>
      </c>
      <c r="C341" t="s">
        <v>28</v>
      </c>
      <c r="D341">
        <v>7.4</v>
      </c>
      <c r="E341" t="s">
        <v>54</v>
      </c>
      <c r="F341" t="s">
        <v>89</v>
      </c>
      <c r="G341" t="s">
        <v>50</v>
      </c>
      <c r="H341">
        <v>4.7</v>
      </c>
      <c r="I341" t="s">
        <v>51</v>
      </c>
      <c r="J341" t="s">
        <v>36</v>
      </c>
      <c r="K341" t="s">
        <v>51</v>
      </c>
      <c r="M341">
        <v>3</v>
      </c>
      <c r="N341" t="s">
        <v>56</v>
      </c>
      <c r="O341" t="s">
        <v>45</v>
      </c>
      <c r="P341" t="b">
        <v>0</v>
      </c>
      <c r="Q341" t="b">
        <v>1</v>
      </c>
      <c r="R341" t="b">
        <v>0</v>
      </c>
      <c r="S341" t="b">
        <v>1</v>
      </c>
      <c r="T341" t="b">
        <v>0</v>
      </c>
      <c r="U341">
        <v>1.8</v>
      </c>
      <c r="V341">
        <v>7.3</v>
      </c>
      <c r="W341">
        <v>5</v>
      </c>
      <c r="X341">
        <v>4.0999999999999996</v>
      </c>
      <c r="Y341">
        <v>110.37</v>
      </c>
      <c r="Z341">
        <v>7</v>
      </c>
      <c r="AA341" t="s">
        <v>64</v>
      </c>
    </row>
    <row r="342" spans="1:27" x14ac:dyDescent="0.3">
      <c r="A342" t="s">
        <v>433</v>
      </c>
      <c r="B342">
        <v>24</v>
      </c>
      <c r="C342" t="s">
        <v>28</v>
      </c>
      <c r="D342">
        <v>4</v>
      </c>
      <c r="E342" t="s">
        <v>60</v>
      </c>
      <c r="F342" t="s">
        <v>61</v>
      </c>
      <c r="G342" t="s">
        <v>50</v>
      </c>
      <c r="H342">
        <v>6.7</v>
      </c>
      <c r="I342" t="s">
        <v>51</v>
      </c>
      <c r="J342" t="s">
        <v>42</v>
      </c>
      <c r="K342" t="s">
        <v>51</v>
      </c>
      <c r="M342">
        <v>5</v>
      </c>
      <c r="N342" t="s">
        <v>44</v>
      </c>
      <c r="O342" t="s">
        <v>57</v>
      </c>
      <c r="P342" t="b">
        <v>0</v>
      </c>
      <c r="Q342" t="b">
        <v>0</v>
      </c>
      <c r="R342" t="b">
        <v>0</v>
      </c>
      <c r="S342" t="b">
        <v>0</v>
      </c>
      <c r="T342" t="b">
        <v>0</v>
      </c>
      <c r="U342">
        <v>1.5</v>
      </c>
      <c r="V342">
        <v>9.1</v>
      </c>
      <c r="W342">
        <v>3</v>
      </c>
      <c r="X342">
        <v>12.6</v>
      </c>
      <c r="Y342">
        <v>1.34</v>
      </c>
      <c r="Z342">
        <v>12</v>
      </c>
      <c r="AA342" t="s">
        <v>46</v>
      </c>
    </row>
    <row r="343" spans="1:27" x14ac:dyDescent="0.3">
      <c r="A343" t="s">
        <v>434</v>
      </c>
      <c r="B343">
        <v>33</v>
      </c>
      <c r="C343" t="s">
        <v>28</v>
      </c>
      <c r="D343">
        <v>4.3</v>
      </c>
      <c r="E343" t="s">
        <v>76</v>
      </c>
      <c r="F343" t="s">
        <v>126</v>
      </c>
      <c r="G343" t="s">
        <v>86</v>
      </c>
      <c r="H343">
        <v>5.5</v>
      </c>
      <c r="I343" t="s">
        <v>41</v>
      </c>
      <c r="J343" t="s">
        <v>45</v>
      </c>
      <c r="K343" t="s">
        <v>62</v>
      </c>
      <c r="M343">
        <v>10</v>
      </c>
      <c r="N343" t="s">
        <v>63</v>
      </c>
      <c r="O343" t="s">
        <v>42</v>
      </c>
      <c r="P343" t="b">
        <v>0</v>
      </c>
      <c r="Q343" t="b">
        <v>0</v>
      </c>
      <c r="R343" t="b">
        <v>0</v>
      </c>
      <c r="S343" t="b">
        <v>0</v>
      </c>
      <c r="T343" t="b">
        <v>0</v>
      </c>
      <c r="U343">
        <v>0.2</v>
      </c>
      <c r="V343">
        <v>6.1</v>
      </c>
      <c r="W343">
        <v>3</v>
      </c>
      <c r="X343">
        <v>9.6</v>
      </c>
      <c r="Y343">
        <v>2.87</v>
      </c>
      <c r="Z343">
        <v>5</v>
      </c>
      <c r="AA343" t="s">
        <v>46</v>
      </c>
    </row>
    <row r="344" spans="1:27" x14ac:dyDescent="0.3">
      <c r="A344" t="s">
        <v>435</v>
      </c>
      <c r="B344">
        <v>26</v>
      </c>
      <c r="C344" t="s">
        <v>28</v>
      </c>
      <c r="D344">
        <v>10.7</v>
      </c>
      <c r="E344" t="s">
        <v>60</v>
      </c>
      <c r="F344" t="s">
        <v>200</v>
      </c>
      <c r="G344" t="s">
        <v>50</v>
      </c>
      <c r="H344">
        <v>5.6</v>
      </c>
      <c r="I344" t="s">
        <v>51</v>
      </c>
      <c r="J344" t="s">
        <v>33</v>
      </c>
      <c r="K344" t="s">
        <v>129</v>
      </c>
      <c r="M344">
        <v>7</v>
      </c>
      <c r="N344" t="s">
        <v>80</v>
      </c>
      <c r="O344" t="s">
        <v>33</v>
      </c>
      <c r="P344" t="b">
        <v>1</v>
      </c>
      <c r="Q344" t="b">
        <v>0</v>
      </c>
      <c r="R344" t="b">
        <v>1</v>
      </c>
      <c r="S344" t="b">
        <v>0</v>
      </c>
      <c r="T344" t="b">
        <v>0</v>
      </c>
      <c r="U344">
        <v>5.6</v>
      </c>
      <c r="V344">
        <v>4.3</v>
      </c>
      <c r="W344">
        <v>7</v>
      </c>
      <c r="X344">
        <v>0.6</v>
      </c>
      <c r="Y344">
        <v>129.72999999999999</v>
      </c>
      <c r="Z344">
        <v>5</v>
      </c>
      <c r="AA344" t="s">
        <v>37</v>
      </c>
    </row>
    <row r="345" spans="1:27" x14ac:dyDescent="0.3">
      <c r="A345" t="s">
        <v>436</v>
      </c>
      <c r="B345">
        <v>19</v>
      </c>
      <c r="C345" t="s">
        <v>28</v>
      </c>
      <c r="D345">
        <v>5.3</v>
      </c>
      <c r="E345" t="s">
        <v>48</v>
      </c>
      <c r="F345" t="s">
        <v>68</v>
      </c>
      <c r="G345" t="s">
        <v>50</v>
      </c>
      <c r="H345">
        <v>6.1</v>
      </c>
      <c r="I345" t="s">
        <v>43</v>
      </c>
      <c r="J345" t="s">
        <v>45</v>
      </c>
      <c r="K345" t="s">
        <v>51</v>
      </c>
      <c r="L345">
        <v>1.18</v>
      </c>
      <c r="M345">
        <v>10</v>
      </c>
      <c r="N345" t="s">
        <v>80</v>
      </c>
      <c r="O345" t="s">
        <v>36</v>
      </c>
      <c r="P345" t="b">
        <v>0</v>
      </c>
      <c r="Q345" t="b">
        <v>0</v>
      </c>
      <c r="R345" t="b">
        <v>0</v>
      </c>
      <c r="S345" t="b">
        <v>1</v>
      </c>
      <c r="T345" t="b">
        <v>0</v>
      </c>
      <c r="U345">
        <v>1.5</v>
      </c>
      <c r="V345">
        <v>6.3</v>
      </c>
      <c r="W345">
        <v>5</v>
      </c>
      <c r="X345">
        <v>6</v>
      </c>
      <c r="Y345">
        <v>116.49</v>
      </c>
      <c r="Z345">
        <v>6</v>
      </c>
      <c r="AA345" t="s">
        <v>46</v>
      </c>
    </row>
    <row r="346" spans="1:27" x14ac:dyDescent="0.3">
      <c r="A346" t="s">
        <v>437</v>
      </c>
      <c r="B346">
        <v>27</v>
      </c>
      <c r="C346" t="s">
        <v>53</v>
      </c>
      <c r="D346">
        <v>0.6</v>
      </c>
      <c r="E346" t="s">
        <v>54</v>
      </c>
      <c r="F346" t="s">
        <v>89</v>
      </c>
      <c r="G346" t="s">
        <v>86</v>
      </c>
      <c r="H346">
        <v>9</v>
      </c>
      <c r="I346" t="s">
        <v>41</v>
      </c>
      <c r="J346" t="s">
        <v>42</v>
      </c>
      <c r="K346" t="s">
        <v>84</v>
      </c>
      <c r="M346">
        <v>10</v>
      </c>
      <c r="N346" t="s">
        <v>69</v>
      </c>
      <c r="O346" t="s">
        <v>33</v>
      </c>
      <c r="P346" t="b">
        <v>0</v>
      </c>
      <c r="Q346" t="b">
        <v>0</v>
      </c>
      <c r="R346" t="b">
        <v>0</v>
      </c>
      <c r="S346" t="b">
        <v>0</v>
      </c>
      <c r="T346" t="b">
        <v>0</v>
      </c>
      <c r="U346">
        <v>0.2</v>
      </c>
      <c r="V346">
        <v>9.1</v>
      </c>
      <c r="W346">
        <v>1</v>
      </c>
      <c r="X346">
        <v>11.7</v>
      </c>
      <c r="Y346">
        <v>36.67</v>
      </c>
      <c r="Z346">
        <v>11</v>
      </c>
      <c r="AA346" t="s">
        <v>46</v>
      </c>
    </row>
    <row r="347" spans="1:27" x14ac:dyDescent="0.3">
      <c r="A347" t="s">
        <v>438</v>
      </c>
      <c r="B347">
        <v>25</v>
      </c>
      <c r="C347" t="s">
        <v>28</v>
      </c>
      <c r="D347">
        <v>5.0999999999999996</v>
      </c>
      <c r="E347" t="s">
        <v>48</v>
      </c>
      <c r="F347" t="s">
        <v>128</v>
      </c>
      <c r="G347" t="s">
        <v>50</v>
      </c>
      <c r="H347">
        <v>6</v>
      </c>
      <c r="I347" t="s">
        <v>32</v>
      </c>
      <c r="J347" t="s">
        <v>33</v>
      </c>
      <c r="K347" t="s">
        <v>34</v>
      </c>
      <c r="M347">
        <v>7</v>
      </c>
      <c r="N347" t="s">
        <v>105</v>
      </c>
      <c r="O347" t="s">
        <v>45</v>
      </c>
      <c r="P347" t="b">
        <v>0</v>
      </c>
      <c r="Q347" t="b">
        <v>0</v>
      </c>
      <c r="R347" t="b">
        <v>0</v>
      </c>
      <c r="S347" t="b">
        <v>1</v>
      </c>
      <c r="T347" t="b">
        <v>0</v>
      </c>
      <c r="U347">
        <v>0.7</v>
      </c>
      <c r="V347">
        <v>9</v>
      </c>
      <c r="W347">
        <v>3</v>
      </c>
      <c r="X347">
        <v>11.5</v>
      </c>
      <c r="Y347">
        <v>76.510000000000005</v>
      </c>
      <c r="Z347">
        <v>10</v>
      </c>
      <c r="AA347" t="s">
        <v>46</v>
      </c>
    </row>
    <row r="348" spans="1:27" x14ac:dyDescent="0.3">
      <c r="A348" t="s">
        <v>439</v>
      </c>
      <c r="B348">
        <v>17</v>
      </c>
      <c r="C348" t="s">
        <v>28</v>
      </c>
      <c r="D348">
        <v>4.2</v>
      </c>
      <c r="E348" t="s">
        <v>82</v>
      </c>
      <c r="F348" t="s">
        <v>167</v>
      </c>
      <c r="G348" t="s">
        <v>71</v>
      </c>
      <c r="H348">
        <v>6.2</v>
      </c>
      <c r="I348" t="s">
        <v>51</v>
      </c>
      <c r="J348" t="s">
        <v>33</v>
      </c>
      <c r="K348" t="s">
        <v>62</v>
      </c>
      <c r="L348">
        <v>3.36</v>
      </c>
      <c r="N348" t="s">
        <v>66</v>
      </c>
      <c r="O348" t="s">
        <v>33</v>
      </c>
      <c r="P348" t="b">
        <v>0</v>
      </c>
      <c r="Q348" t="b">
        <v>0</v>
      </c>
      <c r="R348" t="b">
        <v>0</v>
      </c>
      <c r="S348" t="b">
        <v>0</v>
      </c>
      <c r="T348" t="b">
        <v>0</v>
      </c>
      <c r="U348">
        <v>0.9</v>
      </c>
      <c r="V348">
        <v>6.7</v>
      </c>
      <c r="W348">
        <v>3</v>
      </c>
      <c r="X348">
        <v>7.6</v>
      </c>
      <c r="Y348">
        <v>10.39</v>
      </c>
      <c r="Z348">
        <v>3</v>
      </c>
      <c r="AA348" t="s">
        <v>46</v>
      </c>
    </row>
    <row r="349" spans="1:27" x14ac:dyDescent="0.3">
      <c r="A349" t="s">
        <v>440</v>
      </c>
      <c r="B349">
        <v>17</v>
      </c>
      <c r="C349" t="s">
        <v>53</v>
      </c>
      <c r="D349">
        <v>10.6</v>
      </c>
      <c r="E349" t="s">
        <v>82</v>
      </c>
      <c r="F349" t="s">
        <v>167</v>
      </c>
      <c r="G349" t="s">
        <v>71</v>
      </c>
      <c r="H349">
        <v>3.6</v>
      </c>
      <c r="I349" t="s">
        <v>41</v>
      </c>
      <c r="J349" t="s">
        <v>42</v>
      </c>
      <c r="K349" t="s">
        <v>51</v>
      </c>
      <c r="L349">
        <v>2.62</v>
      </c>
      <c r="N349" t="s">
        <v>105</v>
      </c>
      <c r="O349" t="s">
        <v>33</v>
      </c>
      <c r="P349" t="b">
        <v>0</v>
      </c>
      <c r="Q349" t="b">
        <v>0</v>
      </c>
      <c r="R349" t="b">
        <v>0</v>
      </c>
      <c r="S349" t="b">
        <v>1</v>
      </c>
      <c r="T349" t="b">
        <v>0</v>
      </c>
      <c r="U349">
        <v>1.5</v>
      </c>
      <c r="V349">
        <v>3.6</v>
      </c>
      <c r="W349">
        <v>6</v>
      </c>
      <c r="X349">
        <v>3.8</v>
      </c>
      <c r="Y349">
        <v>53.97</v>
      </c>
      <c r="Z349">
        <v>3</v>
      </c>
      <c r="AA349" t="s">
        <v>64</v>
      </c>
    </row>
    <row r="350" spans="1:27" x14ac:dyDescent="0.3">
      <c r="A350" t="s">
        <v>441</v>
      </c>
      <c r="B350">
        <v>23</v>
      </c>
      <c r="C350" t="s">
        <v>53</v>
      </c>
      <c r="D350">
        <v>4.4000000000000004</v>
      </c>
      <c r="E350" t="s">
        <v>48</v>
      </c>
      <c r="F350" t="s">
        <v>49</v>
      </c>
      <c r="G350" t="s">
        <v>50</v>
      </c>
      <c r="H350">
        <v>7</v>
      </c>
      <c r="I350" t="s">
        <v>32</v>
      </c>
      <c r="J350" t="s">
        <v>74</v>
      </c>
      <c r="K350" t="s">
        <v>34</v>
      </c>
      <c r="M350">
        <v>9</v>
      </c>
      <c r="N350" t="s">
        <v>44</v>
      </c>
      <c r="O350" t="s">
        <v>36</v>
      </c>
      <c r="P350" t="b">
        <v>0</v>
      </c>
      <c r="Q350" t="b">
        <v>0</v>
      </c>
      <c r="R350" t="b">
        <v>0</v>
      </c>
      <c r="S350" t="b">
        <v>0</v>
      </c>
      <c r="T350" t="b">
        <v>0</v>
      </c>
      <c r="U350">
        <v>1.1000000000000001</v>
      </c>
      <c r="V350">
        <v>9.6</v>
      </c>
      <c r="W350">
        <v>3</v>
      </c>
      <c r="X350">
        <v>9.6</v>
      </c>
      <c r="Y350">
        <v>22.6</v>
      </c>
      <c r="Z350">
        <v>12</v>
      </c>
      <c r="AA350" t="s">
        <v>46</v>
      </c>
    </row>
    <row r="351" spans="1:27" x14ac:dyDescent="0.3">
      <c r="A351" t="s">
        <v>442</v>
      </c>
      <c r="B351">
        <v>20</v>
      </c>
      <c r="C351" t="s">
        <v>28</v>
      </c>
      <c r="D351">
        <v>5.8</v>
      </c>
      <c r="E351" t="s">
        <v>82</v>
      </c>
      <c r="F351" t="s">
        <v>134</v>
      </c>
      <c r="G351" t="s">
        <v>31</v>
      </c>
      <c r="H351">
        <v>6.8</v>
      </c>
      <c r="I351" t="s">
        <v>41</v>
      </c>
      <c r="J351" t="s">
        <v>42</v>
      </c>
      <c r="K351" t="s">
        <v>62</v>
      </c>
      <c r="L351">
        <v>3.2</v>
      </c>
      <c r="M351">
        <v>2</v>
      </c>
      <c r="N351" t="s">
        <v>35</v>
      </c>
      <c r="O351" t="s">
        <v>57</v>
      </c>
      <c r="P351" t="b">
        <v>0</v>
      </c>
      <c r="Q351" t="b">
        <v>1</v>
      </c>
      <c r="R351" t="b">
        <v>0</v>
      </c>
      <c r="S351" t="b">
        <v>1</v>
      </c>
      <c r="T351" t="b">
        <v>0</v>
      </c>
      <c r="U351">
        <v>0.9</v>
      </c>
      <c r="V351">
        <v>7.2</v>
      </c>
      <c r="W351">
        <v>4</v>
      </c>
      <c r="X351">
        <v>10.7</v>
      </c>
      <c r="Y351">
        <v>131.01</v>
      </c>
      <c r="Z351">
        <v>9</v>
      </c>
      <c r="AA351" t="s">
        <v>64</v>
      </c>
    </row>
    <row r="352" spans="1:27" x14ac:dyDescent="0.3">
      <c r="A352" t="s">
        <v>443</v>
      </c>
      <c r="B352">
        <v>30</v>
      </c>
      <c r="C352" t="s">
        <v>28</v>
      </c>
      <c r="D352">
        <v>8.6999999999999993</v>
      </c>
      <c r="E352" t="s">
        <v>60</v>
      </c>
      <c r="F352" t="s">
        <v>200</v>
      </c>
      <c r="G352" t="s">
        <v>50</v>
      </c>
      <c r="H352">
        <v>4.5999999999999996</v>
      </c>
      <c r="I352" t="s">
        <v>41</v>
      </c>
      <c r="J352" t="s">
        <v>33</v>
      </c>
      <c r="K352" t="s">
        <v>34</v>
      </c>
      <c r="M352">
        <v>5</v>
      </c>
      <c r="N352" t="s">
        <v>69</v>
      </c>
      <c r="O352" t="s">
        <v>36</v>
      </c>
      <c r="P352" t="b">
        <v>1</v>
      </c>
      <c r="Q352" t="b">
        <v>1</v>
      </c>
      <c r="R352" t="b">
        <v>1</v>
      </c>
      <c r="S352" t="b">
        <v>0</v>
      </c>
      <c r="T352" t="b">
        <v>1</v>
      </c>
      <c r="U352">
        <v>2.4</v>
      </c>
      <c r="V352">
        <v>4.5</v>
      </c>
      <c r="W352">
        <v>5</v>
      </c>
      <c r="X352">
        <v>3.5</v>
      </c>
      <c r="Y352">
        <v>189.93</v>
      </c>
      <c r="Z352">
        <v>6</v>
      </c>
      <c r="AA352" t="s">
        <v>37</v>
      </c>
    </row>
    <row r="353" spans="1:27" x14ac:dyDescent="0.3">
      <c r="A353" t="s">
        <v>444</v>
      </c>
      <c r="B353">
        <v>17</v>
      </c>
      <c r="C353" t="s">
        <v>28</v>
      </c>
      <c r="D353">
        <v>4.7</v>
      </c>
      <c r="E353" t="s">
        <v>29</v>
      </c>
      <c r="F353" t="s">
        <v>104</v>
      </c>
      <c r="G353" t="s">
        <v>31</v>
      </c>
      <c r="H353">
        <v>5.9</v>
      </c>
      <c r="I353" t="s">
        <v>41</v>
      </c>
      <c r="J353" t="s">
        <v>45</v>
      </c>
      <c r="K353" t="s">
        <v>62</v>
      </c>
      <c r="L353">
        <v>1.47</v>
      </c>
      <c r="N353" t="s">
        <v>80</v>
      </c>
      <c r="O353" t="s">
        <v>33</v>
      </c>
      <c r="P353" t="b">
        <v>0</v>
      </c>
      <c r="Q353" t="b">
        <v>0</v>
      </c>
      <c r="R353" t="b">
        <v>0</v>
      </c>
      <c r="S353" t="b">
        <v>0</v>
      </c>
      <c r="T353" t="b">
        <v>0</v>
      </c>
      <c r="U353">
        <v>2</v>
      </c>
      <c r="V353">
        <v>8.8000000000000007</v>
      </c>
      <c r="W353">
        <v>3</v>
      </c>
      <c r="X353">
        <v>10.5</v>
      </c>
      <c r="Y353">
        <v>21.16</v>
      </c>
      <c r="Z353">
        <v>2</v>
      </c>
      <c r="AA353" t="s">
        <v>46</v>
      </c>
    </row>
    <row r="354" spans="1:27" x14ac:dyDescent="0.3">
      <c r="A354" t="s">
        <v>445</v>
      </c>
      <c r="B354">
        <v>19</v>
      </c>
      <c r="C354" t="s">
        <v>28</v>
      </c>
      <c r="D354">
        <v>2.1</v>
      </c>
      <c r="E354" t="s">
        <v>48</v>
      </c>
      <c r="F354" t="s">
        <v>214</v>
      </c>
      <c r="G354" t="s">
        <v>86</v>
      </c>
      <c r="H354">
        <v>7.8</v>
      </c>
      <c r="I354" t="s">
        <v>43</v>
      </c>
      <c r="J354" t="s">
        <v>42</v>
      </c>
      <c r="K354" t="s">
        <v>34</v>
      </c>
      <c r="L354">
        <v>2.4700000000000002</v>
      </c>
      <c r="M354">
        <v>9</v>
      </c>
      <c r="N354" t="s">
        <v>63</v>
      </c>
      <c r="O354" t="s">
        <v>33</v>
      </c>
      <c r="P354" t="b">
        <v>0</v>
      </c>
      <c r="Q354" t="b">
        <v>0</v>
      </c>
      <c r="R354" t="b">
        <v>0</v>
      </c>
      <c r="S354" t="b">
        <v>0</v>
      </c>
      <c r="T354" t="b">
        <v>0</v>
      </c>
      <c r="U354">
        <v>0.8</v>
      </c>
      <c r="V354">
        <v>8.8000000000000007</v>
      </c>
      <c r="W354">
        <v>1</v>
      </c>
      <c r="X354">
        <v>10</v>
      </c>
      <c r="Y354">
        <v>14.14</v>
      </c>
      <c r="Z354">
        <v>1</v>
      </c>
      <c r="AA354" t="s">
        <v>46</v>
      </c>
    </row>
    <row r="355" spans="1:27" x14ac:dyDescent="0.3">
      <c r="A355" t="s">
        <v>446</v>
      </c>
      <c r="B355">
        <v>20</v>
      </c>
      <c r="C355" t="s">
        <v>53</v>
      </c>
      <c r="D355">
        <v>6.3</v>
      </c>
      <c r="E355" t="s">
        <v>76</v>
      </c>
      <c r="F355" t="s">
        <v>77</v>
      </c>
      <c r="G355" t="s">
        <v>71</v>
      </c>
      <c r="H355">
        <v>6.6</v>
      </c>
      <c r="I355" t="s">
        <v>43</v>
      </c>
      <c r="J355" t="s">
        <v>42</v>
      </c>
      <c r="K355" t="s">
        <v>62</v>
      </c>
      <c r="L355">
        <v>3.3</v>
      </c>
      <c r="M355">
        <v>3</v>
      </c>
      <c r="N355" t="s">
        <v>69</v>
      </c>
      <c r="O355" t="s">
        <v>42</v>
      </c>
      <c r="P355" t="b">
        <v>0</v>
      </c>
      <c r="Q355" t="b">
        <v>1</v>
      </c>
      <c r="R355" t="b">
        <v>0</v>
      </c>
      <c r="S355" t="b">
        <v>1</v>
      </c>
      <c r="T355" t="b">
        <v>0</v>
      </c>
      <c r="U355">
        <v>1.8</v>
      </c>
      <c r="V355">
        <v>8.5</v>
      </c>
      <c r="W355">
        <v>3</v>
      </c>
      <c r="X355">
        <v>7.6</v>
      </c>
      <c r="Y355">
        <v>12.48</v>
      </c>
      <c r="Z355">
        <v>5</v>
      </c>
      <c r="AA355" t="s">
        <v>64</v>
      </c>
    </row>
    <row r="356" spans="1:27" x14ac:dyDescent="0.3">
      <c r="A356" t="s">
        <v>447</v>
      </c>
      <c r="B356">
        <v>15</v>
      </c>
      <c r="C356" t="s">
        <v>28</v>
      </c>
      <c r="D356">
        <v>6.2</v>
      </c>
      <c r="E356" t="s">
        <v>60</v>
      </c>
      <c r="F356" t="s">
        <v>61</v>
      </c>
      <c r="G356" t="s">
        <v>31</v>
      </c>
      <c r="H356">
        <v>6.6</v>
      </c>
      <c r="I356" t="s">
        <v>41</v>
      </c>
      <c r="J356" t="s">
        <v>42</v>
      </c>
      <c r="K356" t="s">
        <v>43</v>
      </c>
      <c r="L356">
        <v>1.34</v>
      </c>
      <c r="N356" t="s">
        <v>66</v>
      </c>
      <c r="O356" t="s">
        <v>45</v>
      </c>
      <c r="P356" t="b">
        <v>0</v>
      </c>
      <c r="Q356" t="b">
        <v>0</v>
      </c>
      <c r="R356" t="b">
        <v>0</v>
      </c>
      <c r="S356" t="b">
        <v>1</v>
      </c>
      <c r="T356" t="b">
        <v>0</v>
      </c>
      <c r="U356">
        <v>1.1000000000000001</v>
      </c>
      <c r="V356">
        <v>6.5</v>
      </c>
      <c r="W356">
        <v>3</v>
      </c>
      <c r="X356">
        <v>4.9000000000000004</v>
      </c>
      <c r="Y356">
        <v>132.44</v>
      </c>
      <c r="Z356">
        <v>4</v>
      </c>
      <c r="AA356" t="s">
        <v>46</v>
      </c>
    </row>
    <row r="357" spans="1:27" x14ac:dyDescent="0.3">
      <c r="A357" t="s">
        <v>448</v>
      </c>
      <c r="B357">
        <v>19</v>
      </c>
      <c r="C357" t="s">
        <v>53</v>
      </c>
      <c r="D357">
        <v>5</v>
      </c>
      <c r="E357" t="s">
        <v>60</v>
      </c>
      <c r="F357" t="s">
        <v>102</v>
      </c>
      <c r="G357" t="s">
        <v>31</v>
      </c>
      <c r="H357">
        <v>5.4</v>
      </c>
      <c r="I357" t="s">
        <v>51</v>
      </c>
      <c r="J357" t="s">
        <v>42</v>
      </c>
      <c r="K357" t="s">
        <v>62</v>
      </c>
      <c r="L357">
        <v>2.59</v>
      </c>
      <c r="M357">
        <v>9</v>
      </c>
      <c r="N357" t="s">
        <v>44</v>
      </c>
      <c r="O357" t="s">
        <v>45</v>
      </c>
      <c r="P357" t="b">
        <v>0</v>
      </c>
      <c r="Q357" t="b">
        <v>0</v>
      </c>
      <c r="R357" t="b">
        <v>0</v>
      </c>
      <c r="S357" t="b">
        <v>1</v>
      </c>
      <c r="T357" t="b">
        <v>0</v>
      </c>
      <c r="U357">
        <v>2</v>
      </c>
      <c r="V357">
        <v>8.4</v>
      </c>
      <c r="W357">
        <v>2</v>
      </c>
      <c r="X357">
        <v>8.6999999999999993</v>
      </c>
      <c r="Y357">
        <v>36.549999999999997</v>
      </c>
      <c r="Z357">
        <v>4</v>
      </c>
      <c r="AA357" t="s">
        <v>46</v>
      </c>
    </row>
    <row r="358" spans="1:27" x14ac:dyDescent="0.3">
      <c r="A358" t="s">
        <v>449</v>
      </c>
      <c r="B358">
        <v>19</v>
      </c>
      <c r="C358" t="s">
        <v>28</v>
      </c>
      <c r="D358">
        <v>5.5</v>
      </c>
      <c r="E358" t="s">
        <v>39</v>
      </c>
      <c r="F358" t="s">
        <v>40</v>
      </c>
      <c r="G358" t="s">
        <v>86</v>
      </c>
      <c r="H358">
        <v>5.2</v>
      </c>
      <c r="I358" t="s">
        <v>51</v>
      </c>
      <c r="J358" t="s">
        <v>42</v>
      </c>
      <c r="K358" t="s">
        <v>62</v>
      </c>
      <c r="L358">
        <v>3.78</v>
      </c>
      <c r="M358">
        <v>7</v>
      </c>
      <c r="N358" t="s">
        <v>44</v>
      </c>
      <c r="O358" t="s">
        <v>33</v>
      </c>
      <c r="P358" t="b">
        <v>0</v>
      </c>
      <c r="Q358" t="b">
        <v>1</v>
      </c>
      <c r="R358" t="b">
        <v>0</v>
      </c>
      <c r="S358" t="b">
        <v>1</v>
      </c>
      <c r="T358" t="b">
        <v>1</v>
      </c>
      <c r="U358">
        <v>1.6</v>
      </c>
      <c r="V358">
        <v>7.4</v>
      </c>
      <c r="W358">
        <v>4</v>
      </c>
      <c r="X358">
        <v>6.2</v>
      </c>
      <c r="Y358">
        <v>100.99</v>
      </c>
      <c r="Z358">
        <v>4</v>
      </c>
      <c r="AA358" t="s">
        <v>64</v>
      </c>
    </row>
    <row r="359" spans="1:27" x14ac:dyDescent="0.3">
      <c r="A359" t="s">
        <v>450</v>
      </c>
      <c r="B359">
        <v>21</v>
      </c>
      <c r="C359" t="s">
        <v>28</v>
      </c>
      <c r="D359">
        <v>1.7</v>
      </c>
      <c r="E359" t="s">
        <v>54</v>
      </c>
      <c r="F359" t="s">
        <v>98</v>
      </c>
      <c r="G359" t="s">
        <v>31</v>
      </c>
      <c r="H359">
        <v>7.9</v>
      </c>
      <c r="I359" t="s">
        <v>43</v>
      </c>
      <c r="J359" t="s">
        <v>45</v>
      </c>
      <c r="K359" t="s">
        <v>84</v>
      </c>
      <c r="L359">
        <v>1.28</v>
      </c>
      <c r="M359">
        <v>4</v>
      </c>
      <c r="N359" t="s">
        <v>105</v>
      </c>
      <c r="O359" t="s">
        <v>33</v>
      </c>
      <c r="P359" t="b">
        <v>0</v>
      </c>
      <c r="Q359" t="b">
        <v>0</v>
      </c>
      <c r="R359" t="b">
        <v>0</v>
      </c>
      <c r="S359" t="b">
        <v>0</v>
      </c>
      <c r="T359" t="b">
        <v>0</v>
      </c>
      <c r="U359">
        <v>0.2</v>
      </c>
      <c r="V359">
        <v>9.3000000000000007</v>
      </c>
      <c r="W359">
        <v>1</v>
      </c>
      <c r="X359">
        <v>10.9</v>
      </c>
      <c r="Y359">
        <v>11.94</v>
      </c>
      <c r="Z359">
        <v>1</v>
      </c>
      <c r="AA359" t="s">
        <v>46</v>
      </c>
    </row>
    <row r="360" spans="1:27" x14ac:dyDescent="0.3">
      <c r="A360" t="s">
        <v>451</v>
      </c>
      <c r="B360">
        <v>23</v>
      </c>
      <c r="C360" t="s">
        <v>53</v>
      </c>
      <c r="D360">
        <v>4.5999999999999996</v>
      </c>
      <c r="E360" t="s">
        <v>76</v>
      </c>
      <c r="F360" t="s">
        <v>110</v>
      </c>
      <c r="G360" t="s">
        <v>50</v>
      </c>
      <c r="H360">
        <v>5.9</v>
      </c>
      <c r="I360" t="s">
        <v>43</v>
      </c>
      <c r="J360" t="s">
        <v>36</v>
      </c>
      <c r="K360" t="s">
        <v>129</v>
      </c>
      <c r="M360">
        <v>2</v>
      </c>
      <c r="N360" t="s">
        <v>105</v>
      </c>
      <c r="O360" t="s">
        <v>33</v>
      </c>
      <c r="P360" t="b">
        <v>0</v>
      </c>
      <c r="Q360" t="b">
        <v>0</v>
      </c>
      <c r="R360" t="b">
        <v>0</v>
      </c>
      <c r="S360" t="b">
        <v>1</v>
      </c>
      <c r="T360" t="b">
        <v>0</v>
      </c>
      <c r="U360">
        <v>0.6</v>
      </c>
      <c r="V360">
        <v>7.2</v>
      </c>
      <c r="W360">
        <v>5</v>
      </c>
      <c r="X360">
        <v>11.8</v>
      </c>
      <c r="Y360">
        <v>90.9</v>
      </c>
      <c r="Z360">
        <v>7</v>
      </c>
      <c r="AA360" t="s">
        <v>46</v>
      </c>
    </row>
    <row r="361" spans="1:27" x14ac:dyDescent="0.3">
      <c r="A361" t="s">
        <v>452</v>
      </c>
      <c r="B361">
        <v>18</v>
      </c>
      <c r="C361" t="s">
        <v>28</v>
      </c>
      <c r="D361">
        <v>6.5</v>
      </c>
      <c r="E361" t="s">
        <v>54</v>
      </c>
      <c r="F361" t="s">
        <v>98</v>
      </c>
      <c r="G361" t="s">
        <v>71</v>
      </c>
      <c r="H361">
        <v>3.2</v>
      </c>
      <c r="I361" t="s">
        <v>32</v>
      </c>
      <c r="J361" t="s">
        <v>42</v>
      </c>
      <c r="K361" t="s">
        <v>129</v>
      </c>
      <c r="L361">
        <v>2.7</v>
      </c>
      <c r="N361" t="s">
        <v>63</v>
      </c>
      <c r="O361" t="s">
        <v>42</v>
      </c>
      <c r="P361" t="b">
        <v>1</v>
      </c>
      <c r="Q361" t="b">
        <v>0</v>
      </c>
      <c r="R361" t="b">
        <v>0</v>
      </c>
      <c r="S361" t="b">
        <v>0</v>
      </c>
      <c r="T361" t="b">
        <v>0</v>
      </c>
      <c r="U361">
        <v>0.9</v>
      </c>
      <c r="V361">
        <v>7.6</v>
      </c>
      <c r="W361">
        <v>4</v>
      </c>
      <c r="X361">
        <v>4.3</v>
      </c>
      <c r="Y361">
        <v>90.46</v>
      </c>
      <c r="Z361">
        <v>3</v>
      </c>
      <c r="AA361" t="s">
        <v>64</v>
      </c>
    </row>
    <row r="362" spans="1:27" x14ac:dyDescent="0.3">
      <c r="A362" t="s">
        <v>453</v>
      </c>
      <c r="B362">
        <v>19</v>
      </c>
      <c r="C362" t="s">
        <v>28</v>
      </c>
      <c r="D362">
        <v>6.6</v>
      </c>
      <c r="E362" t="s">
        <v>39</v>
      </c>
      <c r="F362" t="s">
        <v>40</v>
      </c>
      <c r="G362" t="s">
        <v>31</v>
      </c>
      <c r="H362">
        <v>5.8</v>
      </c>
      <c r="I362" t="s">
        <v>32</v>
      </c>
      <c r="J362" t="s">
        <v>33</v>
      </c>
      <c r="K362" t="s">
        <v>62</v>
      </c>
      <c r="L362">
        <v>3.91</v>
      </c>
      <c r="M362">
        <v>3</v>
      </c>
      <c r="N362" t="s">
        <v>105</v>
      </c>
      <c r="O362" t="s">
        <v>42</v>
      </c>
      <c r="P362" t="b">
        <v>1</v>
      </c>
      <c r="Q362" t="b">
        <v>0</v>
      </c>
      <c r="R362" t="b">
        <v>0</v>
      </c>
      <c r="S362" t="b">
        <v>1</v>
      </c>
      <c r="T362" t="b">
        <v>1</v>
      </c>
      <c r="U362">
        <v>0.2</v>
      </c>
      <c r="V362">
        <v>8.3000000000000007</v>
      </c>
      <c r="W362">
        <v>4</v>
      </c>
      <c r="X362">
        <v>5.3</v>
      </c>
      <c r="Y362">
        <v>111.93</v>
      </c>
      <c r="Z362">
        <v>7</v>
      </c>
      <c r="AA362" t="s">
        <v>64</v>
      </c>
    </row>
    <row r="363" spans="1:27" x14ac:dyDescent="0.3">
      <c r="A363" t="s">
        <v>454</v>
      </c>
      <c r="B363">
        <v>22</v>
      </c>
      <c r="C363" t="s">
        <v>28</v>
      </c>
      <c r="D363">
        <v>6.6</v>
      </c>
      <c r="E363" t="s">
        <v>39</v>
      </c>
      <c r="F363" t="s">
        <v>93</v>
      </c>
      <c r="G363" t="s">
        <v>86</v>
      </c>
      <c r="H363">
        <v>3.9</v>
      </c>
      <c r="I363" t="s">
        <v>51</v>
      </c>
      <c r="J363" t="s">
        <v>36</v>
      </c>
      <c r="K363" t="s">
        <v>51</v>
      </c>
      <c r="L363">
        <v>1.74</v>
      </c>
      <c r="M363">
        <v>9</v>
      </c>
      <c r="N363" t="s">
        <v>44</v>
      </c>
      <c r="O363" t="s">
        <v>42</v>
      </c>
      <c r="P363" t="b">
        <v>1</v>
      </c>
      <c r="Q363" t="b">
        <v>0</v>
      </c>
      <c r="R363" t="b">
        <v>0</v>
      </c>
      <c r="S363" t="b">
        <v>1</v>
      </c>
      <c r="T363" t="b">
        <v>1</v>
      </c>
      <c r="U363">
        <v>3.4</v>
      </c>
      <c r="V363">
        <v>7.6</v>
      </c>
      <c r="W363">
        <v>5</v>
      </c>
      <c r="X363">
        <v>6.2</v>
      </c>
      <c r="Y363">
        <v>22.27</v>
      </c>
      <c r="Z363">
        <v>10</v>
      </c>
      <c r="AA363" t="s">
        <v>64</v>
      </c>
    </row>
    <row r="364" spans="1:27" x14ac:dyDescent="0.3">
      <c r="A364" t="s">
        <v>455</v>
      </c>
      <c r="B364">
        <v>26</v>
      </c>
      <c r="C364" t="s">
        <v>28</v>
      </c>
      <c r="D364">
        <v>8.6999999999999993</v>
      </c>
      <c r="E364" t="s">
        <v>76</v>
      </c>
      <c r="F364" t="s">
        <v>110</v>
      </c>
      <c r="G364" t="s">
        <v>71</v>
      </c>
      <c r="H364">
        <v>3.1</v>
      </c>
      <c r="I364" t="s">
        <v>51</v>
      </c>
      <c r="J364" t="s">
        <v>45</v>
      </c>
      <c r="K364" t="s">
        <v>51</v>
      </c>
      <c r="M364">
        <v>3</v>
      </c>
      <c r="N364" t="s">
        <v>44</v>
      </c>
      <c r="O364" t="s">
        <v>33</v>
      </c>
      <c r="P364" t="b">
        <v>1</v>
      </c>
      <c r="Q364" t="b">
        <v>1</v>
      </c>
      <c r="R364" t="b">
        <v>0</v>
      </c>
      <c r="S364" t="b">
        <v>1</v>
      </c>
      <c r="T364" t="b">
        <v>1</v>
      </c>
      <c r="U364">
        <v>0.9</v>
      </c>
      <c r="V364">
        <v>7.2</v>
      </c>
      <c r="W364">
        <v>7</v>
      </c>
      <c r="X364">
        <v>1.6</v>
      </c>
      <c r="Y364">
        <v>423.75</v>
      </c>
      <c r="Z364">
        <v>12</v>
      </c>
      <c r="AA364" t="s">
        <v>37</v>
      </c>
    </row>
    <row r="365" spans="1:27" x14ac:dyDescent="0.3">
      <c r="A365" t="s">
        <v>456</v>
      </c>
      <c r="B365">
        <v>20</v>
      </c>
      <c r="C365" t="s">
        <v>28</v>
      </c>
      <c r="D365">
        <v>5.8</v>
      </c>
      <c r="E365" t="s">
        <v>60</v>
      </c>
      <c r="F365" t="s">
        <v>96</v>
      </c>
      <c r="G365" t="s">
        <v>71</v>
      </c>
      <c r="H365">
        <v>6.1</v>
      </c>
      <c r="I365" t="s">
        <v>51</v>
      </c>
      <c r="J365" t="s">
        <v>42</v>
      </c>
      <c r="K365" t="s">
        <v>62</v>
      </c>
      <c r="L365">
        <v>3.99</v>
      </c>
      <c r="M365">
        <v>9</v>
      </c>
      <c r="N365" t="s">
        <v>80</v>
      </c>
      <c r="O365" t="s">
        <v>45</v>
      </c>
      <c r="P365" t="b">
        <v>0</v>
      </c>
      <c r="Q365" t="b">
        <v>0</v>
      </c>
      <c r="R365" t="b">
        <v>0</v>
      </c>
      <c r="S365" t="b">
        <v>1</v>
      </c>
      <c r="T365" t="b">
        <v>1</v>
      </c>
      <c r="U365">
        <v>2.1</v>
      </c>
      <c r="V365">
        <v>8.1999999999999993</v>
      </c>
      <c r="W365">
        <v>4</v>
      </c>
      <c r="X365">
        <v>7.4</v>
      </c>
      <c r="Y365">
        <v>50.13</v>
      </c>
      <c r="Z365">
        <v>5</v>
      </c>
      <c r="AA365" t="s">
        <v>46</v>
      </c>
    </row>
    <row r="366" spans="1:27" x14ac:dyDescent="0.3">
      <c r="A366" t="s">
        <v>457</v>
      </c>
      <c r="B366">
        <v>17</v>
      </c>
      <c r="C366" t="s">
        <v>28</v>
      </c>
      <c r="D366">
        <v>9.9</v>
      </c>
      <c r="E366" t="s">
        <v>82</v>
      </c>
      <c r="F366" t="s">
        <v>83</v>
      </c>
      <c r="G366" t="s">
        <v>50</v>
      </c>
      <c r="H366">
        <v>4.7</v>
      </c>
      <c r="I366" t="s">
        <v>51</v>
      </c>
      <c r="J366" t="s">
        <v>36</v>
      </c>
      <c r="K366" t="s">
        <v>51</v>
      </c>
      <c r="L366">
        <v>1.4</v>
      </c>
      <c r="N366" t="s">
        <v>69</v>
      </c>
      <c r="O366" t="s">
        <v>33</v>
      </c>
      <c r="P366" t="b">
        <v>1</v>
      </c>
      <c r="Q366" t="b">
        <v>0</v>
      </c>
      <c r="R366" t="b">
        <v>0</v>
      </c>
      <c r="S366" t="b">
        <v>1</v>
      </c>
      <c r="T366" t="b">
        <v>1</v>
      </c>
      <c r="U366">
        <v>0.7</v>
      </c>
      <c r="V366">
        <v>6.4</v>
      </c>
      <c r="W366">
        <v>6</v>
      </c>
      <c r="X366">
        <v>3.2</v>
      </c>
      <c r="Y366">
        <v>162.18</v>
      </c>
      <c r="Z366">
        <v>4</v>
      </c>
      <c r="AA366" t="s">
        <v>58</v>
      </c>
    </row>
    <row r="367" spans="1:27" x14ac:dyDescent="0.3">
      <c r="A367" t="s">
        <v>458</v>
      </c>
      <c r="B367">
        <v>15</v>
      </c>
      <c r="C367" t="s">
        <v>28</v>
      </c>
      <c r="D367">
        <v>10.4</v>
      </c>
      <c r="E367" t="s">
        <v>82</v>
      </c>
      <c r="F367" t="s">
        <v>167</v>
      </c>
      <c r="G367" t="s">
        <v>50</v>
      </c>
      <c r="H367">
        <v>3.1</v>
      </c>
      <c r="I367" t="s">
        <v>32</v>
      </c>
      <c r="J367" t="s">
        <v>45</v>
      </c>
      <c r="K367" t="s">
        <v>34</v>
      </c>
      <c r="L367">
        <v>3.03</v>
      </c>
      <c r="N367" t="s">
        <v>80</v>
      </c>
      <c r="O367" t="s">
        <v>57</v>
      </c>
      <c r="P367" t="b">
        <v>1</v>
      </c>
      <c r="Q367" t="b">
        <v>0</v>
      </c>
      <c r="R367" t="b">
        <v>0</v>
      </c>
      <c r="S367" t="b">
        <v>1</v>
      </c>
      <c r="T367" t="b">
        <v>1</v>
      </c>
      <c r="U367">
        <v>2.5</v>
      </c>
      <c r="V367">
        <v>4.9000000000000004</v>
      </c>
      <c r="W367">
        <v>7</v>
      </c>
      <c r="X367">
        <v>3</v>
      </c>
      <c r="Y367">
        <v>157.76</v>
      </c>
      <c r="Z367">
        <v>2</v>
      </c>
      <c r="AA367" t="s">
        <v>58</v>
      </c>
    </row>
    <row r="368" spans="1:27" x14ac:dyDescent="0.3">
      <c r="A368" t="s">
        <v>459</v>
      </c>
      <c r="B368">
        <v>22</v>
      </c>
      <c r="C368" t="s">
        <v>53</v>
      </c>
      <c r="D368">
        <v>3.9</v>
      </c>
      <c r="E368" t="s">
        <v>48</v>
      </c>
      <c r="F368" t="s">
        <v>49</v>
      </c>
      <c r="G368" t="s">
        <v>86</v>
      </c>
      <c r="H368">
        <v>6.7</v>
      </c>
      <c r="I368" t="s">
        <v>51</v>
      </c>
      <c r="J368" t="s">
        <v>33</v>
      </c>
      <c r="K368" t="s">
        <v>62</v>
      </c>
      <c r="L368">
        <v>2.0499999999999998</v>
      </c>
      <c r="M368">
        <v>1</v>
      </c>
      <c r="N368" t="s">
        <v>35</v>
      </c>
      <c r="O368" t="s">
        <v>33</v>
      </c>
      <c r="P368" t="b">
        <v>0</v>
      </c>
      <c r="Q368" t="b">
        <v>0</v>
      </c>
      <c r="R368" t="b">
        <v>0</v>
      </c>
      <c r="S368" t="b">
        <v>0</v>
      </c>
      <c r="T368" t="b">
        <v>0</v>
      </c>
      <c r="U368">
        <v>1.1000000000000001</v>
      </c>
      <c r="V368">
        <v>7.6</v>
      </c>
      <c r="W368">
        <v>1</v>
      </c>
      <c r="X368">
        <v>7.5</v>
      </c>
      <c r="Y368">
        <v>7.34</v>
      </c>
      <c r="Z368">
        <v>1</v>
      </c>
      <c r="AA368" t="s">
        <v>46</v>
      </c>
    </row>
    <row r="369" spans="1:27" x14ac:dyDescent="0.3">
      <c r="A369" t="s">
        <v>460</v>
      </c>
      <c r="B369">
        <v>14</v>
      </c>
      <c r="C369" t="s">
        <v>53</v>
      </c>
      <c r="D369">
        <v>9.4</v>
      </c>
      <c r="E369" t="s">
        <v>39</v>
      </c>
      <c r="F369" t="s">
        <v>40</v>
      </c>
      <c r="G369" t="s">
        <v>50</v>
      </c>
      <c r="H369">
        <v>4</v>
      </c>
      <c r="I369" t="s">
        <v>51</v>
      </c>
      <c r="J369" t="s">
        <v>45</v>
      </c>
      <c r="K369" t="s">
        <v>129</v>
      </c>
      <c r="L369">
        <v>3.48</v>
      </c>
      <c r="N369" t="s">
        <v>63</v>
      </c>
      <c r="O369" t="s">
        <v>42</v>
      </c>
      <c r="P369" t="b">
        <v>1</v>
      </c>
      <c r="Q369" t="b">
        <v>1</v>
      </c>
      <c r="R369" t="b">
        <v>0</v>
      </c>
      <c r="S369" t="b">
        <v>1</v>
      </c>
      <c r="T369" t="b">
        <v>1</v>
      </c>
      <c r="U369">
        <v>3.3</v>
      </c>
      <c r="V369">
        <v>6.2</v>
      </c>
      <c r="W369">
        <v>5</v>
      </c>
      <c r="X369">
        <v>4.8</v>
      </c>
      <c r="Y369">
        <v>497.21</v>
      </c>
      <c r="Z369">
        <v>2</v>
      </c>
      <c r="AA369" t="s">
        <v>37</v>
      </c>
    </row>
    <row r="370" spans="1:27" x14ac:dyDescent="0.3">
      <c r="A370" t="s">
        <v>461</v>
      </c>
      <c r="B370">
        <v>19</v>
      </c>
      <c r="C370" t="s">
        <v>28</v>
      </c>
      <c r="D370">
        <v>4.7</v>
      </c>
      <c r="E370" t="s">
        <v>54</v>
      </c>
      <c r="F370" t="s">
        <v>55</v>
      </c>
      <c r="G370" t="s">
        <v>31</v>
      </c>
      <c r="H370">
        <v>6.3</v>
      </c>
      <c r="I370" t="s">
        <v>43</v>
      </c>
      <c r="J370" t="s">
        <v>36</v>
      </c>
      <c r="K370" t="s">
        <v>62</v>
      </c>
      <c r="L370">
        <v>2.5</v>
      </c>
      <c r="M370">
        <v>3</v>
      </c>
      <c r="N370" t="s">
        <v>80</v>
      </c>
      <c r="O370" t="s">
        <v>33</v>
      </c>
      <c r="P370" t="b">
        <v>0</v>
      </c>
      <c r="Q370" t="b">
        <v>0</v>
      </c>
      <c r="R370" t="b">
        <v>0</v>
      </c>
      <c r="S370" t="b">
        <v>1</v>
      </c>
      <c r="T370" t="b">
        <v>0</v>
      </c>
      <c r="U370">
        <v>0.1</v>
      </c>
      <c r="V370">
        <v>8.1</v>
      </c>
      <c r="W370">
        <v>2</v>
      </c>
      <c r="X370">
        <v>8.6999999999999993</v>
      </c>
      <c r="Y370">
        <v>123.43</v>
      </c>
      <c r="Z370">
        <v>5</v>
      </c>
      <c r="AA370" t="s">
        <v>46</v>
      </c>
    </row>
    <row r="371" spans="1:27" x14ac:dyDescent="0.3">
      <c r="A371" t="s">
        <v>462</v>
      </c>
      <c r="B371">
        <v>21</v>
      </c>
      <c r="C371" t="s">
        <v>53</v>
      </c>
      <c r="D371">
        <v>8.4</v>
      </c>
      <c r="E371" t="s">
        <v>60</v>
      </c>
      <c r="F371" t="s">
        <v>102</v>
      </c>
      <c r="G371" t="s">
        <v>86</v>
      </c>
      <c r="H371">
        <v>4.8</v>
      </c>
      <c r="I371" t="s">
        <v>51</v>
      </c>
      <c r="J371" t="s">
        <v>42</v>
      </c>
      <c r="K371" t="s">
        <v>84</v>
      </c>
      <c r="L371">
        <v>3.34</v>
      </c>
      <c r="M371">
        <v>9</v>
      </c>
      <c r="N371" t="s">
        <v>105</v>
      </c>
      <c r="O371" t="s">
        <v>45</v>
      </c>
      <c r="P371" t="b">
        <v>1</v>
      </c>
      <c r="Q371" t="b">
        <v>0</v>
      </c>
      <c r="R371" t="b">
        <v>0</v>
      </c>
      <c r="S371" t="b">
        <v>1</v>
      </c>
      <c r="T371" t="b">
        <v>0</v>
      </c>
      <c r="U371">
        <v>3.1</v>
      </c>
      <c r="V371">
        <v>7.5</v>
      </c>
      <c r="W371">
        <v>4</v>
      </c>
      <c r="X371">
        <v>6.3</v>
      </c>
      <c r="Y371">
        <v>21.6</v>
      </c>
      <c r="Z371">
        <v>2</v>
      </c>
      <c r="AA371" t="s">
        <v>64</v>
      </c>
    </row>
    <row r="372" spans="1:27" x14ac:dyDescent="0.3">
      <c r="A372" t="s">
        <v>463</v>
      </c>
      <c r="B372">
        <v>20</v>
      </c>
      <c r="C372" t="s">
        <v>53</v>
      </c>
      <c r="D372">
        <v>2.1</v>
      </c>
      <c r="E372" t="s">
        <v>82</v>
      </c>
      <c r="F372" t="s">
        <v>83</v>
      </c>
      <c r="G372" t="s">
        <v>31</v>
      </c>
      <c r="H372">
        <v>8.5</v>
      </c>
      <c r="I372" t="s">
        <v>43</v>
      </c>
      <c r="J372" t="s">
        <v>36</v>
      </c>
      <c r="K372" t="s">
        <v>43</v>
      </c>
      <c r="L372">
        <v>1.85</v>
      </c>
      <c r="M372">
        <v>8</v>
      </c>
      <c r="N372" t="s">
        <v>121</v>
      </c>
      <c r="O372" t="s">
        <v>57</v>
      </c>
      <c r="P372" t="b">
        <v>0</v>
      </c>
      <c r="Q372" t="b">
        <v>0</v>
      </c>
      <c r="R372" t="b">
        <v>0</v>
      </c>
      <c r="S372" t="b">
        <v>0</v>
      </c>
      <c r="T372" t="b">
        <v>0</v>
      </c>
      <c r="U372">
        <v>0.4</v>
      </c>
      <c r="V372">
        <v>9.3000000000000007</v>
      </c>
      <c r="W372">
        <v>1</v>
      </c>
      <c r="X372">
        <v>13</v>
      </c>
      <c r="Y372">
        <v>5.6</v>
      </c>
      <c r="Z372">
        <v>2</v>
      </c>
      <c r="AA372" t="s">
        <v>46</v>
      </c>
    </row>
    <row r="373" spans="1:27" x14ac:dyDescent="0.3">
      <c r="A373" t="s">
        <v>464</v>
      </c>
      <c r="B373">
        <v>18</v>
      </c>
      <c r="C373" t="s">
        <v>53</v>
      </c>
      <c r="D373">
        <v>4.0999999999999996</v>
      </c>
      <c r="E373" t="s">
        <v>60</v>
      </c>
      <c r="F373" t="s">
        <v>102</v>
      </c>
      <c r="G373" t="s">
        <v>31</v>
      </c>
      <c r="H373">
        <v>6.6</v>
      </c>
      <c r="I373" t="s">
        <v>51</v>
      </c>
      <c r="J373" t="s">
        <v>45</v>
      </c>
      <c r="K373" t="s">
        <v>51</v>
      </c>
      <c r="L373">
        <v>3.98</v>
      </c>
      <c r="N373" t="s">
        <v>105</v>
      </c>
      <c r="O373" t="s">
        <v>45</v>
      </c>
      <c r="P373" t="b">
        <v>0</v>
      </c>
      <c r="Q373" t="b">
        <v>0</v>
      </c>
      <c r="R373" t="b">
        <v>0</v>
      </c>
      <c r="S373" t="b">
        <v>0</v>
      </c>
      <c r="T373" t="b">
        <v>0</v>
      </c>
      <c r="U373">
        <v>1</v>
      </c>
      <c r="V373">
        <v>9.6</v>
      </c>
      <c r="W373">
        <v>3</v>
      </c>
      <c r="X373">
        <v>12.5</v>
      </c>
      <c r="Y373">
        <v>9.84</v>
      </c>
      <c r="Z373">
        <v>3</v>
      </c>
      <c r="AA373" t="s">
        <v>46</v>
      </c>
    </row>
    <row r="374" spans="1:27" x14ac:dyDescent="0.3">
      <c r="A374" t="s">
        <v>465</v>
      </c>
      <c r="B374">
        <v>21</v>
      </c>
      <c r="C374" t="s">
        <v>28</v>
      </c>
      <c r="D374">
        <v>10.9</v>
      </c>
      <c r="E374" t="s">
        <v>39</v>
      </c>
      <c r="F374" t="s">
        <v>120</v>
      </c>
      <c r="G374" t="s">
        <v>50</v>
      </c>
      <c r="H374">
        <v>4.2</v>
      </c>
      <c r="I374" t="s">
        <v>51</v>
      </c>
      <c r="J374" t="s">
        <v>42</v>
      </c>
      <c r="K374" t="s">
        <v>51</v>
      </c>
      <c r="L374">
        <v>3.19</v>
      </c>
      <c r="M374">
        <v>4</v>
      </c>
      <c r="N374" t="s">
        <v>66</v>
      </c>
      <c r="O374" t="s">
        <v>33</v>
      </c>
      <c r="P374" t="b">
        <v>1</v>
      </c>
      <c r="Q374" t="b">
        <v>0</v>
      </c>
      <c r="R374" t="b">
        <v>1</v>
      </c>
      <c r="S374" t="b">
        <v>1</v>
      </c>
      <c r="T374" t="b">
        <v>1</v>
      </c>
      <c r="U374">
        <v>4.3</v>
      </c>
      <c r="V374">
        <v>5.2</v>
      </c>
      <c r="W374">
        <v>7</v>
      </c>
      <c r="X374">
        <v>1.6</v>
      </c>
      <c r="Y374">
        <v>259.23</v>
      </c>
      <c r="Z374">
        <v>1</v>
      </c>
      <c r="AA374" t="s">
        <v>37</v>
      </c>
    </row>
    <row r="375" spans="1:27" x14ac:dyDescent="0.3">
      <c r="A375" t="s">
        <v>466</v>
      </c>
      <c r="B375">
        <v>21</v>
      </c>
      <c r="C375" t="s">
        <v>53</v>
      </c>
      <c r="D375">
        <v>6.8</v>
      </c>
      <c r="E375" t="s">
        <v>60</v>
      </c>
      <c r="F375" t="s">
        <v>200</v>
      </c>
      <c r="G375" t="s">
        <v>71</v>
      </c>
      <c r="H375">
        <v>3.6</v>
      </c>
      <c r="I375" t="s">
        <v>41</v>
      </c>
      <c r="J375" t="s">
        <v>33</v>
      </c>
      <c r="K375" t="s">
        <v>51</v>
      </c>
      <c r="L375">
        <v>1.49</v>
      </c>
      <c r="M375">
        <v>8</v>
      </c>
      <c r="N375" t="s">
        <v>69</v>
      </c>
      <c r="O375" t="s">
        <v>42</v>
      </c>
      <c r="P375" t="b">
        <v>1</v>
      </c>
      <c r="Q375" t="b">
        <v>1</v>
      </c>
      <c r="R375" t="b">
        <v>0</v>
      </c>
      <c r="S375" t="b">
        <v>1</v>
      </c>
      <c r="T375" t="b">
        <v>0</v>
      </c>
      <c r="U375">
        <v>0.9</v>
      </c>
      <c r="V375">
        <v>4.7</v>
      </c>
      <c r="W375">
        <v>5</v>
      </c>
      <c r="X375">
        <v>5.7</v>
      </c>
      <c r="Y375">
        <v>113.4</v>
      </c>
      <c r="Z375">
        <v>1</v>
      </c>
      <c r="AA375" t="s">
        <v>58</v>
      </c>
    </row>
    <row r="376" spans="1:27" x14ac:dyDescent="0.3">
      <c r="A376" t="s">
        <v>467</v>
      </c>
      <c r="B376">
        <v>15</v>
      </c>
      <c r="C376" t="s">
        <v>28</v>
      </c>
      <c r="D376">
        <v>2.9</v>
      </c>
      <c r="E376" t="s">
        <v>82</v>
      </c>
      <c r="F376" t="s">
        <v>83</v>
      </c>
      <c r="G376" t="s">
        <v>86</v>
      </c>
      <c r="H376">
        <v>8.5</v>
      </c>
      <c r="I376" t="s">
        <v>41</v>
      </c>
      <c r="J376" t="s">
        <v>36</v>
      </c>
      <c r="K376" t="s">
        <v>43</v>
      </c>
      <c r="L376">
        <v>3.68</v>
      </c>
      <c r="N376" t="s">
        <v>121</v>
      </c>
      <c r="O376" t="s">
        <v>36</v>
      </c>
      <c r="P376" t="b">
        <v>0</v>
      </c>
      <c r="Q376" t="b">
        <v>0</v>
      </c>
      <c r="R376" t="b">
        <v>0</v>
      </c>
      <c r="S376" t="b">
        <v>0</v>
      </c>
      <c r="T376" t="b">
        <v>0</v>
      </c>
      <c r="U376">
        <v>0.6</v>
      </c>
      <c r="V376">
        <v>9</v>
      </c>
      <c r="W376">
        <v>2</v>
      </c>
      <c r="X376">
        <v>13.3</v>
      </c>
      <c r="Y376">
        <v>34.24</v>
      </c>
      <c r="Z376">
        <v>5</v>
      </c>
      <c r="AA376" t="s">
        <v>46</v>
      </c>
    </row>
    <row r="377" spans="1:27" x14ac:dyDescent="0.3">
      <c r="A377" t="s">
        <v>468</v>
      </c>
      <c r="B377">
        <v>23</v>
      </c>
      <c r="C377" t="s">
        <v>28</v>
      </c>
      <c r="D377">
        <v>7.4</v>
      </c>
      <c r="E377" t="s">
        <v>29</v>
      </c>
      <c r="F377" t="s">
        <v>104</v>
      </c>
      <c r="G377" t="s">
        <v>86</v>
      </c>
      <c r="H377">
        <v>4.3</v>
      </c>
      <c r="I377" t="s">
        <v>78</v>
      </c>
      <c r="J377" t="s">
        <v>45</v>
      </c>
      <c r="K377" t="s">
        <v>34</v>
      </c>
      <c r="M377">
        <v>8</v>
      </c>
      <c r="N377" t="s">
        <v>35</v>
      </c>
      <c r="O377" t="s">
        <v>42</v>
      </c>
      <c r="P377" t="b">
        <v>1</v>
      </c>
      <c r="Q377" t="b">
        <v>0</v>
      </c>
      <c r="R377" t="b">
        <v>0</v>
      </c>
      <c r="S377" t="b">
        <v>0</v>
      </c>
      <c r="T377" t="b">
        <v>1</v>
      </c>
      <c r="U377">
        <v>3.7</v>
      </c>
      <c r="V377">
        <v>5.9</v>
      </c>
      <c r="W377">
        <v>2</v>
      </c>
      <c r="X377">
        <v>6.5</v>
      </c>
      <c r="Y377">
        <v>65.5</v>
      </c>
      <c r="Z377">
        <v>2</v>
      </c>
      <c r="AA377" t="s">
        <v>64</v>
      </c>
    </row>
    <row r="378" spans="1:27" x14ac:dyDescent="0.3">
      <c r="A378" t="s">
        <v>469</v>
      </c>
      <c r="B378">
        <v>22</v>
      </c>
      <c r="C378" t="s">
        <v>28</v>
      </c>
      <c r="D378">
        <v>6.4</v>
      </c>
      <c r="E378" t="s">
        <v>29</v>
      </c>
      <c r="F378" t="s">
        <v>73</v>
      </c>
      <c r="G378" t="s">
        <v>71</v>
      </c>
      <c r="H378">
        <v>6.5</v>
      </c>
      <c r="I378" t="s">
        <v>43</v>
      </c>
      <c r="J378" t="s">
        <v>45</v>
      </c>
      <c r="K378" t="s">
        <v>84</v>
      </c>
      <c r="L378">
        <v>3.49</v>
      </c>
      <c r="M378">
        <v>2</v>
      </c>
      <c r="N378" t="s">
        <v>80</v>
      </c>
      <c r="O378" t="s">
        <v>42</v>
      </c>
      <c r="P378" t="b">
        <v>0</v>
      </c>
      <c r="Q378" t="b">
        <v>1</v>
      </c>
      <c r="R378" t="b">
        <v>0</v>
      </c>
      <c r="S378" t="b">
        <v>0</v>
      </c>
      <c r="T378" t="b">
        <v>1</v>
      </c>
      <c r="U378">
        <v>0.1</v>
      </c>
      <c r="V378">
        <v>7.2</v>
      </c>
      <c r="W378">
        <v>3</v>
      </c>
      <c r="X378">
        <v>5.3</v>
      </c>
      <c r="Y378">
        <v>138.19</v>
      </c>
      <c r="Z378">
        <v>2</v>
      </c>
      <c r="AA378" t="s">
        <v>64</v>
      </c>
    </row>
    <row r="379" spans="1:27" x14ac:dyDescent="0.3">
      <c r="A379" t="s">
        <v>470</v>
      </c>
      <c r="B379">
        <v>18</v>
      </c>
      <c r="C379" t="s">
        <v>28</v>
      </c>
      <c r="D379">
        <v>6.4</v>
      </c>
      <c r="E379" t="s">
        <v>54</v>
      </c>
      <c r="F379" t="s">
        <v>89</v>
      </c>
      <c r="G379" t="s">
        <v>31</v>
      </c>
      <c r="H379">
        <v>6</v>
      </c>
      <c r="I379" t="s">
        <v>51</v>
      </c>
      <c r="J379" t="s">
        <v>74</v>
      </c>
      <c r="K379" t="s">
        <v>62</v>
      </c>
      <c r="L379">
        <v>2.09</v>
      </c>
      <c r="N379" t="s">
        <v>69</v>
      </c>
      <c r="O379" t="s">
        <v>45</v>
      </c>
      <c r="P379" t="b">
        <v>0</v>
      </c>
      <c r="Q379" t="b">
        <v>0</v>
      </c>
      <c r="R379" t="b">
        <v>0</v>
      </c>
      <c r="S379" t="b">
        <v>0</v>
      </c>
      <c r="T379" t="b">
        <v>0</v>
      </c>
      <c r="U379">
        <v>2.1</v>
      </c>
      <c r="V379">
        <v>8.1</v>
      </c>
      <c r="W379">
        <v>3</v>
      </c>
      <c r="X379">
        <v>7.5</v>
      </c>
      <c r="Y379">
        <v>122.38</v>
      </c>
      <c r="Z379">
        <v>4</v>
      </c>
      <c r="AA379" t="s">
        <v>46</v>
      </c>
    </row>
    <row r="380" spans="1:27" x14ac:dyDescent="0.3">
      <c r="A380" t="s">
        <v>471</v>
      </c>
      <c r="B380">
        <v>19</v>
      </c>
      <c r="C380" t="s">
        <v>53</v>
      </c>
      <c r="D380">
        <v>5.9</v>
      </c>
      <c r="E380" t="s">
        <v>54</v>
      </c>
      <c r="F380" t="s">
        <v>55</v>
      </c>
      <c r="G380" t="s">
        <v>86</v>
      </c>
      <c r="H380">
        <v>6.3</v>
      </c>
      <c r="I380" t="s">
        <v>41</v>
      </c>
      <c r="J380" t="s">
        <v>42</v>
      </c>
      <c r="K380" t="s">
        <v>62</v>
      </c>
      <c r="L380">
        <v>3.28</v>
      </c>
      <c r="M380">
        <v>10</v>
      </c>
      <c r="N380" t="s">
        <v>66</v>
      </c>
      <c r="O380" t="s">
        <v>57</v>
      </c>
      <c r="P380" t="b">
        <v>0</v>
      </c>
      <c r="Q380" t="b">
        <v>0</v>
      </c>
      <c r="R380" t="b">
        <v>0</v>
      </c>
      <c r="S380" t="b">
        <v>0</v>
      </c>
      <c r="T380" t="b">
        <v>1</v>
      </c>
      <c r="U380">
        <v>0.5</v>
      </c>
      <c r="V380">
        <v>8.8000000000000007</v>
      </c>
      <c r="W380">
        <v>3</v>
      </c>
      <c r="X380">
        <v>10.199999999999999</v>
      </c>
      <c r="Y380">
        <v>89.49</v>
      </c>
      <c r="Z380">
        <v>4</v>
      </c>
      <c r="AA380" t="s">
        <v>46</v>
      </c>
    </row>
    <row r="381" spans="1:27" x14ac:dyDescent="0.3">
      <c r="A381" t="s">
        <v>472</v>
      </c>
      <c r="B381">
        <v>18</v>
      </c>
      <c r="C381" t="s">
        <v>28</v>
      </c>
      <c r="D381">
        <v>6.5</v>
      </c>
      <c r="E381" t="s">
        <v>82</v>
      </c>
      <c r="F381" t="s">
        <v>83</v>
      </c>
      <c r="G381" t="s">
        <v>86</v>
      </c>
      <c r="H381">
        <v>4.5999999999999996</v>
      </c>
      <c r="I381" t="s">
        <v>51</v>
      </c>
      <c r="J381" t="s">
        <v>74</v>
      </c>
      <c r="K381" t="s">
        <v>129</v>
      </c>
      <c r="L381">
        <v>3.7</v>
      </c>
      <c r="N381" t="s">
        <v>63</v>
      </c>
      <c r="O381" t="s">
        <v>33</v>
      </c>
      <c r="P381" t="b">
        <v>0</v>
      </c>
      <c r="Q381" t="b">
        <v>1</v>
      </c>
      <c r="R381" t="b">
        <v>0</v>
      </c>
      <c r="S381" t="b">
        <v>1</v>
      </c>
      <c r="T381" t="b">
        <v>0</v>
      </c>
      <c r="U381">
        <v>3.3</v>
      </c>
      <c r="V381">
        <v>8</v>
      </c>
      <c r="W381">
        <v>3</v>
      </c>
      <c r="X381">
        <v>8.6999999999999993</v>
      </c>
      <c r="Y381">
        <v>117.74</v>
      </c>
      <c r="Z381">
        <v>8</v>
      </c>
      <c r="AA381" t="s">
        <v>64</v>
      </c>
    </row>
    <row r="382" spans="1:27" x14ac:dyDescent="0.3">
      <c r="A382" t="s">
        <v>473</v>
      </c>
      <c r="B382">
        <v>17</v>
      </c>
      <c r="C382" t="s">
        <v>28</v>
      </c>
      <c r="D382">
        <v>5.2</v>
      </c>
      <c r="E382" t="s">
        <v>48</v>
      </c>
      <c r="F382" t="s">
        <v>49</v>
      </c>
      <c r="G382" t="s">
        <v>50</v>
      </c>
      <c r="H382">
        <v>6.4</v>
      </c>
      <c r="I382" t="s">
        <v>41</v>
      </c>
      <c r="J382" t="s">
        <v>45</v>
      </c>
      <c r="K382" t="s">
        <v>84</v>
      </c>
      <c r="L382">
        <v>2.2200000000000002</v>
      </c>
      <c r="N382" t="s">
        <v>63</v>
      </c>
      <c r="O382" t="s">
        <v>33</v>
      </c>
      <c r="P382" t="b">
        <v>0</v>
      </c>
      <c r="Q382" t="b">
        <v>0</v>
      </c>
      <c r="R382" t="b">
        <v>0</v>
      </c>
      <c r="S382" t="b">
        <v>1</v>
      </c>
      <c r="T382" t="b">
        <v>0</v>
      </c>
      <c r="U382">
        <v>0.9</v>
      </c>
      <c r="V382">
        <v>7.8</v>
      </c>
      <c r="W382">
        <v>2</v>
      </c>
      <c r="X382">
        <v>9.1</v>
      </c>
      <c r="Y382">
        <v>115.04</v>
      </c>
      <c r="Z382">
        <v>4</v>
      </c>
      <c r="AA382" t="s">
        <v>46</v>
      </c>
    </row>
    <row r="383" spans="1:27" x14ac:dyDescent="0.3">
      <c r="A383" t="s">
        <v>474</v>
      </c>
      <c r="B383">
        <v>17</v>
      </c>
      <c r="C383" t="s">
        <v>53</v>
      </c>
      <c r="D383">
        <v>8.9</v>
      </c>
      <c r="E383" t="s">
        <v>60</v>
      </c>
      <c r="F383" t="s">
        <v>96</v>
      </c>
      <c r="G383" t="s">
        <v>86</v>
      </c>
      <c r="H383">
        <v>5.2</v>
      </c>
      <c r="I383" t="s">
        <v>78</v>
      </c>
      <c r="J383" t="s">
        <v>74</v>
      </c>
      <c r="K383" t="s">
        <v>34</v>
      </c>
      <c r="L383">
        <v>2.4300000000000002</v>
      </c>
      <c r="N383" t="s">
        <v>44</v>
      </c>
      <c r="O383" t="s">
        <v>57</v>
      </c>
      <c r="P383" t="b">
        <v>1</v>
      </c>
      <c r="Q383" t="b">
        <v>1</v>
      </c>
      <c r="R383" t="b">
        <v>1</v>
      </c>
      <c r="S383" t="b">
        <v>1</v>
      </c>
      <c r="T383" t="b">
        <v>0</v>
      </c>
      <c r="U383">
        <v>0.9</v>
      </c>
      <c r="V383">
        <v>4.7</v>
      </c>
      <c r="W383">
        <v>5</v>
      </c>
      <c r="X383">
        <v>4.5999999999999996</v>
      </c>
      <c r="Y383">
        <v>206.91</v>
      </c>
      <c r="Z383">
        <v>6</v>
      </c>
      <c r="AA383" t="s">
        <v>37</v>
      </c>
    </row>
    <row r="384" spans="1:27" x14ac:dyDescent="0.3">
      <c r="A384" t="s">
        <v>475</v>
      </c>
      <c r="B384">
        <v>18</v>
      </c>
      <c r="C384" t="s">
        <v>28</v>
      </c>
      <c r="D384">
        <v>7.1</v>
      </c>
      <c r="E384" t="s">
        <v>82</v>
      </c>
      <c r="F384" t="s">
        <v>134</v>
      </c>
      <c r="G384" t="s">
        <v>86</v>
      </c>
      <c r="H384">
        <v>4.3</v>
      </c>
      <c r="I384" t="s">
        <v>51</v>
      </c>
      <c r="J384" t="s">
        <v>45</v>
      </c>
      <c r="K384" t="s">
        <v>34</v>
      </c>
      <c r="L384">
        <v>3.79</v>
      </c>
      <c r="N384" t="s">
        <v>44</v>
      </c>
      <c r="O384" t="s">
        <v>57</v>
      </c>
      <c r="P384" t="b">
        <v>1</v>
      </c>
      <c r="Q384" t="b">
        <v>0</v>
      </c>
      <c r="R384" t="b">
        <v>0</v>
      </c>
      <c r="S384" t="b">
        <v>1</v>
      </c>
      <c r="T384" t="b">
        <v>1</v>
      </c>
      <c r="U384">
        <v>0.7</v>
      </c>
      <c r="V384">
        <v>8.1</v>
      </c>
      <c r="W384">
        <v>5</v>
      </c>
      <c r="X384">
        <v>7.2</v>
      </c>
      <c r="Y384">
        <v>70.709999999999994</v>
      </c>
      <c r="Z384">
        <v>6</v>
      </c>
      <c r="AA384" t="s">
        <v>64</v>
      </c>
    </row>
    <row r="385" spans="1:27" x14ac:dyDescent="0.3">
      <c r="A385" t="s">
        <v>476</v>
      </c>
      <c r="B385">
        <v>21</v>
      </c>
      <c r="C385" t="s">
        <v>53</v>
      </c>
      <c r="D385">
        <v>6.1</v>
      </c>
      <c r="E385" t="s">
        <v>29</v>
      </c>
      <c r="F385" t="s">
        <v>118</v>
      </c>
      <c r="G385" t="s">
        <v>31</v>
      </c>
      <c r="H385">
        <v>5.6</v>
      </c>
      <c r="I385" t="s">
        <v>51</v>
      </c>
      <c r="J385" t="s">
        <v>74</v>
      </c>
      <c r="K385" t="s">
        <v>43</v>
      </c>
      <c r="L385">
        <v>2.35</v>
      </c>
      <c r="M385">
        <v>8</v>
      </c>
      <c r="N385" t="s">
        <v>66</v>
      </c>
      <c r="O385" t="s">
        <v>57</v>
      </c>
      <c r="P385" t="b">
        <v>0</v>
      </c>
      <c r="Q385" t="b">
        <v>1</v>
      </c>
      <c r="R385" t="b">
        <v>0</v>
      </c>
      <c r="S385" t="b">
        <v>0</v>
      </c>
      <c r="T385" t="b">
        <v>1</v>
      </c>
      <c r="U385">
        <v>0.9</v>
      </c>
      <c r="V385">
        <v>8.1999999999999993</v>
      </c>
      <c r="W385">
        <v>4</v>
      </c>
      <c r="X385">
        <v>10.7</v>
      </c>
      <c r="Y385">
        <v>143.21</v>
      </c>
      <c r="Z385">
        <v>6</v>
      </c>
      <c r="AA385" t="s">
        <v>64</v>
      </c>
    </row>
    <row r="386" spans="1:27" x14ac:dyDescent="0.3">
      <c r="A386" t="s">
        <v>477</v>
      </c>
      <c r="B386">
        <v>18</v>
      </c>
      <c r="C386" t="s">
        <v>28</v>
      </c>
      <c r="D386">
        <v>4.5</v>
      </c>
      <c r="E386" t="s">
        <v>76</v>
      </c>
      <c r="F386" t="s">
        <v>110</v>
      </c>
      <c r="G386" t="s">
        <v>31</v>
      </c>
      <c r="H386">
        <v>5</v>
      </c>
      <c r="I386" t="s">
        <v>41</v>
      </c>
      <c r="J386" t="s">
        <v>74</v>
      </c>
      <c r="K386" t="s">
        <v>62</v>
      </c>
      <c r="L386">
        <v>2.29</v>
      </c>
      <c r="N386" t="s">
        <v>80</v>
      </c>
      <c r="O386" t="s">
        <v>45</v>
      </c>
      <c r="P386" t="b">
        <v>0</v>
      </c>
      <c r="Q386" t="b">
        <v>0</v>
      </c>
      <c r="R386" t="b">
        <v>0</v>
      </c>
      <c r="S386" t="b">
        <v>0</v>
      </c>
      <c r="T386" t="b">
        <v>0</v>
      </c>
      <c r="U386">
        <v>3.4</v>
      </c>
      <c r="V386">
        <v>9.5</v>
      </c>
      <c r="W386">
        <v>1</v>
      </c>
      <c r="X386">
        <v>11.2</v>
      </c>
      <c r="Y386">
        <v>2.0699999999999998</v>
      </c>
      <c r="Z386">
        <v>6</v>
      </c>
      <c r="AA386" t="s">
        <v>46</v>
      </c>
    </row>
    <row r="387" spans="1:27" x14ac:dyDescent="0.3">
      <c r="A387" t="s">
        <v>478</v>
      </c>
      <c r="B387">
        <v>19</v>
      </c>
      <c r="C387" t="s">
        <v>53</v>
      </c>
      <c r="D387">
        <v>6.6</v>
      </c>
      <c r="E387" t="s">
        <v>29</v>
      </c>
      <c r="F387" t="s">
        <v>30</v>
      </c>
      <c r="G387" t="s">
        <v>71</v>
      </c>
      <c r="H387">
        <v>4</v>
      </c>
      <c r="I387" t="s">
        <v>51</v>
      </c>
      <c r="J387" t="s">
        <v>36</v>
      </c>
      <c r="K387" t="s">
        <v>129</v>
      </c>
      <c r="L387">
        <v>3.2</v>
      </c>
      <c r="M387">
        <v>6</v>
      </c>
      <c r="N387" t="s">
        <v>66</v>
      </c>
      <c r="O387" t="s">
        <v>57</v>
      </c>
      <c r="P387" t="b">
        <v>1</v>
      </c>
      <c r="Q387" t="b">
        <v>1</v>
      </c>
      <c r="R387" t="b">
        <v>0</v>
      </c>
      <c r="S387" t="b">
        <v>0</v>
      </c>
      <c r="T387" t="b">
        <v>1</v>
      </c>
      <c r="U387">
        <v>1</v>
      </c>
      <c r="V387">
        <v>8.1</v>
      </c>
      <c r="W387">
        <v>5</v>
      </c>
      <c r="X387">
        <v>7.8</v>
      </c>
      <c r="Y387">
        <v>68.84</v>
      </c>
      <c r="Z387">
        <v>7</v>
      </c>
      <c r="AA387" t="s">
        <v>58</v>
      </c>
    </row>
    <row r="388" spans="1:27" x14ac:dyDescent="0.3">
      <c r="A388" t="s">
        <v>479</v>
      </c>
      <c r="B388">
        <v>19</v>
      </c>
      <c r="C388" t="s">
        <v>53</v>
      </c>
      <c r="D388">
        <v>6.8</v>
      </c>
      <c r="E388" t="s">
        <v>60</v>
      </c>
      <c r="F388" t="s">
        <v>61</v>
      </c>
      <c r="G388" t="s">
        <v>86</v>
      </c>
      <c r="H388">
        <v>5</v>
      </c>
      <c r="I388" t="s">
        <v>32</v>
      </c>
      <c r="J388" t="s">
        <v>42</v>
      </c>
      <c r="K388" t="s">
        <v>129</v>
      </c>
      <c r="L388">
        <v>1.87</v>
      </c>
      <c r="M388">
        <v>7</v>
      </c>
      <c r="N388" t="s">
        <v>63</v>
      </c>
      <c r="O388" t="s">
        <v>42</v>
      </c>
      <c r="P388" t="b">
        <v>1</v>
      </c>
      <c r="Q388" t="b">
        <v>1</v>
      </c>
      <c r="R388" t="b">
        <v>0</v>
      </c>
      <c r="S388" t="b">
        <v>0</v>
      </c>
      <c r="T388" t="b">
        <v>1</v>
      </c>
      <c r="U388">
        <v>1.1000000000000001</v>
      </c>
      <c r="V388">
        <v>5.2</v>
      </c>
      <c r="W388">
        <v>4</v>
      </c>
      <c r="X388">
        <v>7.6</v>
      </c>
      <c r="Y388">
        <v>20.72</v>
      </c>
      <c r="Z388">
        <v>3</v>
      </c>
      <c r="AA388" t="s">
        <v>58</v>
      </c>
    </row>
    <row r="389" spans="1:27" x14ac:dyDescent="0.3">
      <c r="A389" t="s">
        <v>480</v>
      </c>
      <c r="B389">
        <v>18</v>
      </c>
      <c r="C389" t="s">
        <v>28</v>
      </c>
      <c r="D389">
        <v>5.2</v>
      </c>
      <c r="E389" t="s">
        <v>39</v>
      </c>
      <c r="F389" t="s">
        <v>40</v>
      </c>
      <c r="G389" t="s">
        <v>86</v>
      </c>
      <c r="H389">
        <v>5.7</v>
      </c>
      <c r="I389" t="s">
        <v>41</v>
      </c>
      <c r="J389" t="s">
        <v>36</v>
      </c>
      <c r="K389" t="s">
        <v>43</v>
      </c>
      <c r="L389">
        <v>3.09</v>
      </c>
      <c r="N389" t="s">
        <v>44</v>
      </c>
      <c r="O389" t="s">
        <v>33</v>
      </c>
      <c r="P389" t="b">
        <v>0</v>
      </c>
      <c r="Q389" t="b">
        <v>0</v>
      </c>
      <c r="R389" t="b">
        <v>0</v>
      </c>
      <c r="S389" t="b">
        <v>0</v>
      </c>
      <c r="T389" t="b">
        <v>0</v>
      </c>
      <c r="U389">
        <v>0</v>
      </c>
      <c r="V389">
        <v>7.6</v>
      </c>
      <c r="W389">
        <v>4</v>
      </c>
      <c r="X389">
        <v>11.4</v>
      </c>
      <c r="Y389">
        <v>67.5</v>
      </c>
      <c r="Z389">
        <v>5</v>
      </c>
      <c r="AA389" t="s">
        <v>46</v>
      </c>
    </row>
    <row r="390" spans="1:27" x14ac:dyDescent="0.3">
      <c r="A390" t="s">
        <v>481</v>
      </c>
      <c r="B390">
        <v>19</v>
      </c>
      <c r="C390" t="s">
        <v>53</v>
      </c>
      <c r="D390">
        <v>5.2</v>
      </c>
      <c r="E390" t="s">
        <v>39</v>
      </c>
      <c r="F390" t="s">
        <v>40</v>
      </c>
      <c r="G390" t="s">
        <v>71</v>
      </c>
      <c r="H390">
        <v>5.0999999999999996</v>
      </c>
      <c r="I390" t="s">
        <v>32</v>
      </c>
      <c r="J390" t="s">
        <v>45</v>
      </c>
      <c r="K390" t="s">
        <v>129</v>
      </c>
      <c r="L390">
        <v>1.45</v>
      </c>
      <c r="M390">
        <v>6</v>
      </c>
      <c r="N390" t="s">
        <v>66</v>
      </c>
      <c r="O390" t="s">
        <v>33</v>
      </c>
      <c r="P390" t="b">
        <v>0</v>
      </c>
      <c r="Q390" t="b">
        <v>0</v>
      </c>
      <c r="R390" t="b">
        <v>0</v>
      </c>
      <c r="S390" t="b">
        <v>1</v>
      </c>
      <c r="T390" t="b">
        <v>0</v>
      </c>
      <c r="U390">
        <v>1.7</v>
      </c>
      <c r="V390">
        <v>6.9</v>
      </c>
      <c r="W390">
        <v>2</v>
      </c>
      <c r="X390">
        <v>10.8</v>
      </c>
      <c r="Y390">
        <v>148.41</v>
      </c>
      <c r="Z390">
        <v>9</v>
      </c>
      <c r="AA390" t="s">
        <v>46</v>
      </c>
    </row>
    <row r="391" spans="1:27" x14ac:dyDescent="0.3">
      <c r="A391" t="s">
        <v>482</v>
      </c>
      <c r="B391">
        <v>22</v>
      </c>
      <c r="C391" t="s">
        <v>53</v>
      </c>
      <c r="D391">
        <v>3.8</v>
      </c>
      <c r="E391" t="s">
        <v>48</v>
      </c>
      <c r="F391" t="s">
        <v>49</v>
      </c>
      <c r="G391" t="s">
        <v>71</v>
      </c>
      <c r="H391">
        <v>6</v>
      </c>
      <c r="I391" t="s">
        <v>41</v>
      </c>
      <c r="J391" t="s">
        <v>33</v>
      </c>
      <c r="K391" t="s">
        <v>34</v>
      </c>
      <c r="L391">
        <v>3.83</v>
      </c>
      <c r="M391">
        <v>4</v>
      </c>
      <c r="N391" t="s">
        <v>63</v>
      </c>
      <c r="O391" t="s">
        <v>42</v>
      </c>
      <c r="P391" t="b">
        <v>0</v>
      </c>
      <c r="Q391" t="b">
        <v>0</v>
      </c>
      <c r="R391" t="b">
        <v>0</v>
      </c>
      <c r="S391" t="b">
        <v>0</v>
      </c>
      <c r="T391" t="b">
        <v>0</v>
      </c>
      <c r="U391">
        <v>1</v>
      </c>
      <c r="V391">
        <v>6.7</v>
      </c>
      <c r="W391">
        <v>1</v>
      </c>
      <c r="X391">
        <v>10.6</v>
      </c>
      <c r="Y391">
        <v>48.79</v>
      </c>
      <c r="Z391">
        <v>8</v>
      </c>
      <c r="AA391" t="s">
        <v>46</v>
      </c>
    </row>
    <row r="392" spans="1:27" x14ac:dyDescent="0.3">
      <c r="A392" t="s">
        <v>483</v>
      </c>
      <c r="B392">
        <v>14</v>
      </c>
      <c r="C392" t="s">
        <v>53</v>
      </c>
      <c r="D392">
        <v>5.8</v>
      </c>
      <c r="E392" t="s">
        <v>82</v>
      </c>
      <c r="F392" t="s">
        <v>83</v>
      </c>
      <c r="G392" t="s">
        <v>31</v>
      </c>
      <c r="H392">
        <v>5.9</v>
      </c>
      <c r="I392" t="s">
        <v>51</v>
      </c>
      <c r="J392" t="s">
        <v>45</v>
      </c>
      <c r="K392" t="s">
        <v>62</v>
      </c>
      <c r="L392">
        <v>2.4</v>
      </c>
      <c r="N392" t="s">
        <v>80</v>
      </c>
      <c r="O392" t="s">
        <v>33</v>
      </c>
      <c r="P392" t="b">
        <v>0</v>
      </c>
      <c r="Q392" t="b">
        <v>0</v>
      </c>
      <c r="R392" t="b">
        <v>0</v>
      </c>
      <c r="S392" t="b">
        <v>0</v>
      </c>
      <c r="T392" t="b">
        <v>1</v>
      </c>
      <c r="U392">
        <v>2.7</v>
      </c>
      <c r="V392">
        <v>8.5</v>
      </c>
      <c r="W392">
        <v>5</v>
      </c>
      <c r="X392">
        <v>9.4</v>
      </c>
      <c r="Y392">
        <v>86.15</v>
      </c>
      <c r="Z392">
        <v>4</v>
      </c>
      <c r="AA392" t="s">
        <v>46</v>
      </c>
    </row>
    <row r="393" spans="1:27" x14ac:dyDescent="0.3">
      <c r="A393" t="s">
        <v>484</v>
      </c>
      <c r="B393">
        <v>26</v>
      </c>
      <c r="C393" t="s">
        <v>28</v>
      </c>
      <c r="D393">
        <v>7.4</v>
      </c>
      <c r="E393" t="s">
        <v>39</v>
      </c>
      <c r="F393" t="s">
        <v>120</v>
      </c>
      <c r="G393" t="s">
        <v>86</v>
      </c>
      <c r="H393">
        <v>4.0999999999999996</v>
      </c>
      <c r="I393" t="s">
        <v>51</v>
      </c>
      <c r="J393" t="s">
        <v>33</v>
      </c>
      <c r="K393" t="s">
        <v>34</v>
      </c>
      <c r="M393">
        <v>7</v>
      </c>
      <c r="N393" t="s">
        <v>69</v>
      </c>
      <c r="O393" t="s">
        <v>57</v>
      </c>
      <c r="P393" t="b">
        <v>1</v>
      </c>
      <c r="Q393" t="b">
        <v>1</v>
      </c>
      <c r="R393" t="b">
        <v>0</v>
      </c>
      <c r="S393" t="b">
        <v>1</v>
      </c>
      <c r="T393" t="b">
        <v>1</v>
      </c>
      <c r="U393">
        <v>1.8</v>
      </c>
      <c r="V393">
        <v>8.4</v>
      </c>
      <c r="W393">
        <v>3</v>
      </c>
      <c r="X393">
        <v>8.5</v>
      </c>
      <c r="Y393">
        <v>61.67</v>
      </c>
      <c r="Z393">
        <v>16</v>
      </c>
      <c r="AA393" t="s">
        <v>58</v>
      </c>
    </row>
    <row r="394" spans="1:27" x14ac:dyDescent="0.3">
      <c r="A394" t="s">
        <v>485</v>
      </c>
      <c r="B394">
        <v>19</v>
      </c>
      <c r="C394" t="s">
        <v>28</v>
      </c>
      <c r="D394">
        <v>9.3000000000000007</v>
      </c>
      <c r="E394" t="s">
        <v>48</v>
      </c>
      <c r="F394" t="s">
        <v>214</v>
      </c>
      <c r="G394" t="s">
        <v>50</v>
      </c>
      <c r="H394">
        <v>3</v>
      </c>
      <c r="I394" t="s">
        <v>51</v>
      </c>
      <c r="J394" t="s">
        <v>74</v>
      </c>
      <c r="K394" t="s">
        <v>51</v>
      </c>
      <c r="L394">
        <v>1.42</v>
      </c>
      <c r="M394">
        <v>8</v>
      </c>
      <c r="N394" t="s">
        <v>105</v>
      </c>
      <c r="O394" t="s">
        <v>33</v>
      </c>
      <c r="P394" t="b">
        <v>0</v>
      </c>
      <c r="Q394" t="b">
        <v>0</v>
      </c>
      <c r="R394" t="b">
        <v>0</v>
      </c>
      <c r="S394" t="b">
        <v>1</v>
      </c>
      <c r="T394" t="b">
        <v>1</v>
      </c>
      <c r="U394">
        <v>4.5</v>
      </c>
      <c r="V394">
        <v>7.2</v>
      </c>
      <c r="W394">
        <v>5</v>
      </c>
      <c r="X394">
        <v>2.4</v>
      </c>
      <c r="Y394">
        <v>232.19</v>
      </c>
      <c r="Z394">
        <v>8</v>
      </c>
      <c r="AA394" t="s">
        <v>64</v>
      </c>
    </row>
    <row r="395" spans="1:27" x14ac:dyDescent="0.3">
      <c r="A395" t="s">
        <v>486</v>
      </c>
      <c r="B395">
        <v>19</v>
      </c>
      <c r="C395" t="s">
        <v>53</v>
      </c>
      <c r="D395">
        <v>5.9</v>
      </c>
      <c r="E395" t="s">
        <v>60</v>
      </c>
      <c r="F395" t="s">
        <v>102</v>
      </c>
      <c r="G395" t="s">
        <v>50</v>
      </c>
      <c r="H395">
        <v>6.4</v>
      </c>
      <c r="I395" t="s">
        <v>41</v>
      </c>
      <c r="J395" t="s">
        <v>42</v>
      </c>
      <c r="K395" t="s">
        <v>34</v>
      </c>
      <c r="L395">
        <v>2.4700000000000002</v>
      </c>
      <c r="M395">
        <v>7</v>
      </c>
      <c r="N395" t="s">
        <v>80</v>
      </c>
      <c r="O395" t="s">
        <v>45</v>
      </c>
      <c r="P395" t="b">
        <v>0</v>
      </c>
      <c r="Q395" t="b">
        <v>1</v>
      </c>
      <c r="R395" t="b">
        <v>0</v>
      </c>
      <c r="S395" t="b">
        <v>1</v>
      </c>
      <c r="T395" t="b">
        <v>0</v>
      </c>
      <c r="U395">
        <v>0.9</v>
      </c>
      <c r="V395">
        <v>5.3</v>
      </c>
      <c r="W395">
        <v>5</v>
      </c>
      <c r="X395">
        <v>6.5</v>
      </c>
      <c r="Y395">
        <v>120.38</v>
      </c>
      <c r="Z395">
        <v>7</v>
      </c>
      <c r="AA395" t="s">
        <v>64</v>
      </c>
    </row>
    <row r="396" spans="1:27" x14ac:dyDescent="0.3">
      <c r="A396" t="s">
        <v>487</v>
      </c>
      <c r="B396">
        <v>26</v>
      </c>
      <c r="C396" t="s">
        <v>53</v>
      </c>
      <c r="D396">
        <v>13.9</v>
      </c>
      <c r="E396" t="s">
        <v>29</v>
      </c>
      <c r="F396" t="s">
        <v>30</v>
      </c>
      <c r="G396" t="s">
        <v>71</v>
      </c>
      <c r="H396">
        <v>4.5</v>
      </c>
      <c r="I396" t="s">
        <v>51</v>
      </c>
      <c r="J396" t="s">
        <v>45</v>
      </c>
      <c r="K396" t="s">
        <v>51</v>
      </c>
      <c r="M396">
        <v>5</v>
      </c>
      <c r="N396" t="s">
        <v>44</v>
      </c>
      <c r="O396" t="s">
        <v>33</v>
      </c>
      <c r="P396" t="b">
        <v>1</v>
      </c>
      <c r="Q396" t="b">
        <v>1</v>
      </c>
      <c r="R396" t="b">
        <v>0</v>
      </c>
      <c r="S396" t="b">
        <v>1</v>
      </c>
      <c r="T396" t="b">
        <v>0</v>
      </c>
      <c r="U396">
        <v>2.9</v>
      </c>
      <c r="V396">
        <v>4.9000000000000004</v>
      </c>
      <c r="W396">
        <v>10</v>
      </c>
      <c r="X396">
        <v>0</v>
      </c>
      <c r="Y396">
        <v>247.18</v>
      </c>
      <c r="Z396">
        <v>13</v>
      </c>
      <c r="AA396" t="s">
        <v>37</v>
      </c>
    </row>
    <row r="397" spans="1:27" x14ac:dyDescent="0.3">
      <c r="A397" t="s">
        <v>488</v>
      </c>
      <c r="B397">
        <v>19</v>
      </c>
      <c r="C397" t="s">
        <v>28</v>
      </c>
      <c r="D397">
        <v>5.8</v>
      </c>
      <c r="E397" t="s">
        <v>29</v>
      </c>
      <c r="F397" t="s">
        <v>73</v>
      </c>
      <c r="G397" t="s">
        <v>86</v>
      </c>
      <c r="H397">
        <v>5.7</v>
      </c>
      <c r="I397" t="s">
        <v>41</v>
      </c>
      <c r="J397" t="s">
        <v>74</v>
      </c>
      <c r="K397" t="s">
        <v>62</v>
      </c>
      <c r="L397">
        <v>2.61</v>
      </c>
      <c r="M397">
        <v>5</v>
      </c>
      <c r="N397" t="s">
        <v>35</v>
      </c>
      <c r="O397" t="s">
        <v>33</v>
      </c>
      <c r="P397" t="b">
        <v>0</v>
      </c>
      <c r="Q397" t="b">
        <v>1</v>
      </c>
      <c r="R397" t="b">
        <v>0</v>
      </c>
      <c r="S397" t="b">
        <v>1</v>
      </c>
      <c r="T397" t="b">
        <v>1</v>
      </c>
      <c r="U397">
        <v>0.5</v>
      </c>
      <c r="V397">
        <v>6.5</v>
      </c>
      <c r="W397">
        <v>4</v>
      </c>
      <c r="X397">
        <v>5</v>
      </c>
      <c r="Y397">
        <v>96.56</v>
      </c>
      <c r="Z397">
        <v>5</v>
      </c>
      <c r="AA397" t="s">
        <v>64</v>
      </c>
    </row>
    <row r="398" spans="1:27" x14ac:dyDescent="0.3">
      <c r="A398" t="s">
        <v>489</v>
      </c>
      <c r="B398">
        <v>13</v>
      </c>
      <c r="C398" t="s">
        <v>28</v>
      </c>
      <c r="D398">
        <v>6.4</v>
      </c>
      <c r="E398" t="s">
        <v>76</v>
      </c>
      <c r="F398" t="s">
        <v>110</v>
      </c>
      <c r="G398" t="s">
        <v>50</v>
      </c>
      <c r="H398">
        <v>5.5</v>
      </c>
      <c r="I398" t="s">
        <v>43</v>
      </c>
      <c r="J398" t="s">
        <v>33</v>
      </c>
      <c r="K398" t="s">
        <v>62</v>
      </c>
      <c r="L398">
        <v>3.75</v>
      </c>
      <c r="N398" t="s">
        <v>44</v>
      </c>
      <c r="O398" t="s">
        <v>45</v>
      </c>
      <c r="P398" t="b">
        <v>0</v>
      </c>
      <c r="Q398" t="b">
        <v>1</v>
      </c>
      <c r="R398" t="b">
        <v>0</v>
      </c>
      <c r="S398" t="b">
        <v>0</v>
      </c>
      <c r="T398" t="b">
        <v>1</v>
      </c>
      <c r="U398">
        <v>0.3</v>
      </c>
      <c r="V398">
        <v>5.3</v>
      </c>
      <c r="W398">
        <v>4</v>
      </c>
      <c r="X398">
        <v>5.0999999999999996</v>
      </c>
      <c r="Y398">
        <v>65.67</v>
      </c>
      <c r="Z398">
        <v>2</v>
      </c>
      <c r="AA398" t="s">
        <v>64</v>
      </c>
    </row>
    <row r="399" spans="1:27" x14ac:dyDescent="0.3">
      <c r="A399" t="s">
        <v>490</v>
      </c>
      <c r="B399">
        <v>21</v>
      </c>
      <c r="C399" t="s">
        <v>28</v>
      </c>
      <c r="D399">
        <v>12.6</v>
      </c>
      <c r="E399" t="s">
        <v>82</v>
      </c>
      <c r="F399" t="s">
        <v>83</v>
      </c>
      <c r="G399" t="s">
        <v>86</v>
      </c>
      <c r="H399">
        <v>5.7</v>
      </c>
      <c r="I399" t="s">
        <v>32</v>
      </c>
      <c r="J399" t="s">
        <v>42</v>
      </c>
      <c r="K399" t="s">
        <v>34</v>
      </c>
      <c r="L399">
        <v>3.67</v>
      </c>
      <c r="M399">
        <v>1</v>
      </c>
      <c r="N399" t="s">
        <v>35</v>
      </c>
      <c r="O399" t="s">
        <v>42</v>
      </c>
      <c r="P399" t="b">
        <v>1</v>
      </c>
      <c r="Q399" t="b">
        <v>0</v>
      </c>
      <c r="R399" t="b">
        <v>0</v>
      </c>
      <c r="S399" t="b">
        <v>1</v>
      </c>
      <c r="T399" t="b">
        <v>1</v>
      </c>
      <c r="U399">
        <v>1.9</v>
      </c>
      <c r="V399">
        <v>4.0999999999999996</v>
      </c>
      <c r="W399">
        <v>9</v>
      </c>
      <c r="X399">
        <v>0</v>
      </c>
      <c r="Y399">
        <v>242.51</v>
      </c>
      <c r="Z399">
        <v>10</v>
      </c>
      <c r="AA399" t="s">
        <v>58</v>
      </c>
    </row>
    <row r="400" spans="1:27" x14ac:dyDescent="0.3">
      <c r="A400" t="s">
        <v>491</v>
      </c>
      <c r="B400">
        <v>23</v>
      </c>
      <c r="C400" t="s">
        <v>28</v>
      </c>
      <c r="D400">
        <v>8.9</v>
      </c>
      <c r="E400" t="s">
        <v>82</v>
      </c>
      <c r="F400" t="s">
        <v>83</v>
      </c>
      <c r="G400" t="s">
        <v>50</v>
      </c>
      <c r="H400">
        <v>3.5</v>
      </c>
      <c r="I400" t="s">
        <v>51</v>
      </c>
      <c r="J400" t="s">
        <v>74</v>
      </c>
      <c r="K400" t="s">
        <v>51</v>
      </c>
      <c r="M400">
        <v>1</v>
      </c>
      <c r="N400" t="s">
        <v>35</v>
      </c>
      <c r="O400" t="s">
        <v>36</v>
      </c>
      <c r="P400" t="b">
        <v>0</v>
      </c>
      <c r="Q400" t="b">
        <v>0</v>
      </c>
      <c r="R400" t="b">
        <v>1</v>
      </c>
      <c r="S400" t="b">
        <v>0</v>
      </c>
      <c r="T400" t="b">
        <v>1</v>
      </c>
      <c r="U400">
        <v>0</v>
      </c>
      <c r="V400">
        <v>6.7</v>
      </c>
      <c r="W400">
        <v>5</v>
      </c>
      <c r="X400">
        <v>6.7</v>
      </c>
      <c r="Y400">
        <v>277.77999999999997</v>
      </c>
      <c r="Z400">
        <v>3</v>
      </c>
      <c r="AA400" t="s">
        <v>58</v>
      </c>
    </row>
    <row r="401" spans="1:27" x14ac:dyDescent="0.3">
      <c r="A401" t="s">
        <v>492</v>
      </c>
      <c r="B401">
        <v>26</v>
      </c>
      <c r="C401" t="s">
        <v>53</v>
      </c>
      <c r="D401">
        <v>8.1999999999999993</v>
      </c>
      <c r="E401" t="s">
        <v>82</v>
      </c>
      <c r="F401" t="s">
        <v>167</v>
      </c>
      <c r="G401" t="s">
        <v>71</v>
      </c>
      <c r="H401">
        <v>3.9</v>
      </c>
      <c r="I401" t="s">
        <v>51</v>
      </c>
      <c r="J401" t="s">
        <v>45</v>
      </c>
      <c r="K401" t="s">
        <v>62</v>
      </c>
      <c r="M401">
        <v>1</v>
      </c>
      <c r="N401" t="s">
        <v>66</v>
      </c>
      <c r="O401" t="s">
        <v>42</v>
      </c>
      <c r="P401" t="b">
        <v>1</v>
      </c>
      <c r="Q401" t="b">
        <v>0</v>
      </c>
      <c r="R401" t="b">
        <v>0</v>
      </c>
      <c r="S401" t="b">
        <v>0</v>
      </c>
      <c r="T401" t="b">
        <v>1</v>
      </c>
      <c r="U401">
        <v>2.9</v>
      </c>
      <c r="V401">
        <v>5.2</v>
      </c>
      <c r="W401">
        <v>5</v>
      </c>
      <c r="X401">
        <v>5.5</v>
      </c>
      <c r="Y401">
        <v>44.07</v>
      </c>
      <c r="Z401">
        <v>10</v>
      </c>
      <c r="AA401" t="s">
        <v>64</v>
      </c>
    </row>
    <row r="402" spans="1:27" x14ac:dyDescent="0.3">
      <c r="A402" t="s">
        <v>493</v>
      </c>
      <c r="B402">
        <v>20</v>
      </c>
      <c r="C402" t="s">
        <v>28</v>
      </c>
      <c r="D402">
        <v>7.7</v>
      </c>
      <c r="E402" t="s">
        <v>39</v>
      </c>
      <c r="F402" t="s">
        <v>93</v>
      </c>
      <c r="G402" t="s">
        <v>86</v>
      </c>
      <c r="H402">
        <v>4.7</v>
      </c>
      <c r="I402" t="s">
        <v>32</v>
      </c>
      <c r="J402" t="s">
        <v>74</v>
      </c>
      <c r="K402" t="s">
        <v>129</v>
      </c>
      <c r="L402">
        <v>2.46</v>
      </c>
      <c r="M402">
        <v>7</v>
      </c>
      <c r="N402" t="s">
        <v>80</v>
      </c>
      <c r="O402" t="s">
        <v>45</v>
      </c>
      <c r="P402" t="b">
        <v>0</v>
      </c>
      <c r="Q402" t="b">
        <v>1</v>
      </c>
      <c r="R402" t="b">
        <v>1</v>
      </c>
      <c r="S402" t="b">
        <v>1</v>
      </c>
      <c r="T402" t="b">
        <v>0</v>
      </c>
      <c r="U402">
        <v>2.5</v>
      </c>
      <c r="V402">
        <v>4.9000000000000004</v>
      </c>
      <c r="W402">
        <v>3</v>
      </c>
      <c r="X402">
        <v>3</v>
      </c>
      <c r="Y402">
        <v>65.22</v>
      </c>
      <c r="Z402">
        <v>2</v>
      </c>
      <c r="AA402" t="s">
        <v>58</v>
      </c>
    </row>
    <row r="403" spans="1:27" x14ac:dyDescent="0.3">
      <c r="A403" t="s">
        <v>494</v>
      </c>
      <c r="B403">
        <v>21</v>
      </c>
      <c r="C403" t="s">
        <v>53</v>
      </c>
      <c r="D403">
        <v>1.2</v>
      </c>
      <c r="E403" t="s">
        <v>39</v>
      </c>
      <c r="F403" t="s">
        <v>40</v>
      </c>
      <c r="G403" t="s">
        <v>86</v>
      </c>
      <c r="H403">
        <v>7.2</v>
      </c>
      <c r="I403" t="s">
        <v>43</v>
      </c>
      <c r="J403" t="s">
        <v>36</v>
      </c>
      <c r="K403" t="s">
        <v>84</v>
      </c>
      <c r="L403">
        <v>3.52</v>
      </c>
      <c r="M403">
        <v>5</v>
      </c>
      <c r="N403" t="s">
        <v>66</v>
      </c>
      <c r="O403" t="s">
        <v>42</v>
      </c>
      <c r="P403" t="b">
        <v>0</v>
      </c>
      <c r="Q403" t="b">
        <v>0</v>
      </c>
      <c r="R403" t="b">
        <v>0</v>
      </c>
      <c r="S403" t="b">
        <v>0</v>
      </c>
      <c r="T403" t="b">
        <v>0</v>
      </c>
      <c r="U403">
        <v>0.3</v>
      </c>
      <c r="V403">
        <v>11.2</v>
      </c>
      <c r="W403">
        <v>1</v>
      </c>
      <c r="X403">
        <v>15.2</v>
      </c>
      <c r="Y403">
        <v>41.12</v>
      </c>
      <c r="Z403">
        <v>10</v>
      </c>
      <c r="AA403" t="s">
        <v>46</v>
      </c>
    </row>
    <row r="404" spans="1:27" x14ac:dyDescent="0.3">
      <c r="A404" t="s">
        <v>495</v>
      </c>
      <c r="B404">
        <v>19</v>
      </c>
      <c r="C404" t="s">
        <v>28</v>
      </c>
      <c r="D404">
        <v>4.5999999999999996</v>
      </c>
      <c r="E404" t="s">
        <v>82</v>
      </c>
      <c r="F404" t="s">
        <v>167</v>
      </c>
      <c r="G404" t="s">
        <v>71</v>
      </c>
      <c r="H404">
        <v>5.9</v>
      </c>
      <c r="I404" t="s">
        <v>41</v>
      </c>
      <c r="J404" t="s">
        <v>74</v>
      </c>
      <c r="K404" t="s">
        <v>43</v>
      </c>
      <c r="L404">
        <v>2.3199999999999998</v>
      </c>
      <c r="M404">
        <v>9</v>
      </c>
      <c r="N404" t="s">
        <v>69</v>
      </c>
      <c r="O404" t="s">
        <v>36</v>
      </c>
      <c r="P404" t="b">
        <v>0</v>
      </c>
      <c r="Q404" t="b">
        <v>0</v>
      </c>
      <c r="R404" t="b">
        <v>0</v>
      </c>
      <c r="S404" t="b">
        <v>1</v>
      </c>
      <c r="T404" t="b">
        <v>0</v>
      </c>
      <c r="U404">
        <v>2.4</v>
      </c>
      <c r="V404">
        <v>6.3</v>
      </c>
      <c r="W404">
        <v>3</v>
      </c>
      <c r="X404">
        <v>7.6</v>
      </c>
      <c r="Y404">
        <v>18.38</v>
      </c>
      <c r="Z404">
        <v>6</v>
      </c>
      <c r="AA404" t="s">
        <v>46</v>
      </c>
    </row>
    <row r="405" spans="1:27" x14ac:dyDescent="0.3">
      <c r="A405" t="s">
        <v>496</v>
      </c>
      <c r="B405">
        <v>23</v>
      </c>
      <c r="C405" t="s">
        <v>28</v>
      </c>
      <c r="D405">
        <v>6.4</v>
      </c>
      <c r="E405" t="s">
        <v>76</v>
      </c>
      <c r="F405" t="s">
        <v>110</v>
      </c>
      <c r="G405" t="s">
        <v>31</v>
      </c>
      <c r="H405">
        <v>6.7</v>
      </c>
      <c r="I405" t="s">
        <v>51</v>
      </c>
      <c r="J405" t="s">
        <v>33</v>
      </c>
      <c r="K405" t="s">
        <v>51</v>
      </c>
      <c r="M405">
        <v>4</v>
      </c>
      <c r="N405" t="s">
        <v>44</v>
      </c>
      <c r="O405" t="s">
        <v>33</v>
      </c>
      <c r="P405" t="b">
        <v>0</v>
      </c>
      <c r="Q405" t="b">
        <v>0</v>
      </c>
      <c r="R405" t="b">
        <v>0</v>
      </c>
      <c r="S405" t="b">
        <v>1</v>
      </c>
      <c r="T405" t="b">
        <v>1</v>
      </c>
      <c r="U405">
        <v>2.7</v>
      </c>
      <c r="V405">
        <v>5.5</v>
      </c>
      <c r="W405">
        <v>3</v>
      </c>
      <c r="X405">
        <v>7.9</v>
      </c>
      <c r="Y405">
        <v>22.81</v>
      </c>
      <c r="Z405">
        <v>7</v>
      </c>
      <c r="AA405" t="s">
        <v>46</v>
      </c>
    </row>
    <row r="406" spans="1:27" x14ac:dyDescent="0.3">
      <c r="A406" t="s">
        <v>497</v>
      </c>
      <c r="B406">
        <v>15</v>
      </c>
      <c r="C406" t="s">
        <v>28</v>
      </c>
      <c r="D406">
        <v>10</v>
      </c>
      <c r="E406" t="s">
        <v>60</v>
      </c>
      <c r="F406" t="s">
        <v>200</v>
      </c>
      <c r="G406" t="s">
        <v>31</v>
      </c>
      <c r="H406">
        <v>3.8</v>
      </c>
      <c r="I406" t="s">
        <v>32</v>
      </c>
      <c r="J406" t="s">
        <v>45</v>
      </c>
      <c r="K406" t="s">
        <v>62</v>
      </c>
      <c r="L406">
        <v>1.3</v>
      </c>
      <c r="N406" t="s">
        <v>35</v>
      </c>
      <c r="O406" t="s">
        <v>42</v>
      </c>
      <c r="P406" t="b">
        <v>1</v>
      </c>
      <c r="Q406" t="b">
        <v>1</v>
      </c>
      <c r="R406" t="b">
        <v>0</v>
      </c>
      <c r="S406" t="b">
        <v>1</v>
      </c>
      <c r="T406" t="b">
        <v>1</v>
      </c>
      <c r="U406">
        <v>3.2</v>
      </c>
      <c r="V406">
        <v>5.7</v>
      </c>
      <c r="W406">
        <v>5</v>
      </c>
      <c r="X406">
        <v>5.9</v>
      </c>
      <c r="Y406">
        <v>226.85</v>
      </c>
      <c r="Z406">
        <v>5</v>
      </c>
      <c r="AA406" t="s">
        <v>37</v>
      </c>
    </row>
    <row r="407" spans="1:27" x14ac:dyDescent="0.3">
      <c r="A407" t="s">
        <v>498</v>
      </c>
      <c r="B407">
        <v>20</v>
      </c>
      <c r="C407" t="s">
        <v>28</v>
      </c>
      <c r="D407">
        <v>13.3</v>
      </c>
      <c r="E407" t="s">
        <v>76</v>
      </c>
      <c r="F407" t="s">
        <v>77</v>
      </c>
      <c r="G407" t="s">
        <v>71</v>
      </c>
      <c r="H407">
        <v>5</v>
      </c>
      <c r="I407" t="s">
        <v>51</v>
      </c>
      <c r="J407" t="s">
        <v>36</v>
      </c>
      <c r="K407" t="s">
        <v>51</v>
      </c>
      <c r="L407">
        <v>1.1100000000000001</v>
      </c>
      <c r="M407">
        <v>2</v>
      </c>
      <c r="N407" t="s">
        <v>44</v>
      </c>
      <c r="O407" t="s">
        <v>57</v>
      </c>
      <c r="P407" t="b">
        <v>1</v>
      </c>
      <c r="Q407" t="b">
        <v>0</v>
      </c>
      <c r="R407" t="b">
        <v>0</v>
      </c>
      <c r="S407" t="b">
        <v>1</v>
      </c>
      <c r="T407" t="b">
        <v>1</v>
      </c>
      <c r="U407">
        <v>2.8</v>
      </c>
      <c r="V407">
        <v>3.8</v>
      </c>
      <c r="W407">
        <v>8</v>
      </c>
      <c r="X407">
        <v>0.6</v>
      </c>
      <c r="Y407">
        <v>434.02</v>
      </c>
      <c r="Z407">
        <v>4</v>
      </c>
      <c r="AA407" t="s">
        <v>58</v>
      </c>
    </row>
    <row r="408" spans="1:27" x14ac:dyDescent="0.3">
      <c r="A408" t="s">
        <v>499</v>
      </c>
      <c r="B408">
        <v>18</v>
      </c>
      <c r="C408" t="s">
        <v>28</v>
      </c>
      <c r="D408">
        <v>10.4</v>
      </c>
      <c r="E408" t="s">
        <v>54</v>
      </c>
      <c r="F408" t="s">
        <v>89</v>
      </c>
      <c r="G408" t="s">
        <v>86</v>
      </c>
      <c r="H408">
        <v>4.7</v>
      </c>
      <c r="I408" t="s">
        <v>32</v>
      </c>
      <c r="J408" t="s">
        <v>45</v>
      </c>
      <c r="K408" t="s">
        <v>34</v>
      </c>
      <c r="L408">
        <v>3.15</v>
      </c>
      <c r="N408" t="s">
        <v>35</v>
      </c>
      <c r="O408" t="s">
        <v>36</v>
      </c>
      <c r="P408" t="b">
        <v>1</v>
      </c>
      <c r="Q408" t="b">
        <v>0</v>
      </c>
      <c r="R408" t="b">
        <v>1</v>
      </c>
      <c r="S408" t="b">
        <v>1</v>
      </c>
      <c r="T408" t="b">
        <v>1</v>
      </c>
      <c r="U408">
        <v>0.3</v>
      </c>
      <c r="V408">
        <v>6</v>
      </c>
      <c r="W408">
        <v>8</v>
      </c>
      <c r="X408">
        <v>0.1</v>
      </c>
      <c r="Y408">
        <v>246.69</v>
      </c>
      <c r="Z408">
        <v>8</v>
      </c>
      <c r="AA408" t="s">
        <v>37</v>
      </c>
    </row>
    <row r="409" spans="1:27" x14ac:dyDescent="0.3">
      <c r="A409" t="s">
        <v>500</v>
      </c>
      <c r="B409">
        <v>31</v>
      </c>
      <c r="C409" t="s">
        <v>53</v>
      </c>
      <c r="D409">
        <v>3.6</v>
      </c>
      <c r="E409" t="s">
        <v>39</v>
      </c>
      <c r="F409" t="s">
        <v>93</v>
      </c>
      <c r="G409" t="s">
        <v>86</v>
      </c>
      <c r="H409">
        <v>6.3</v>
      </c>
      <c r="I409" t="s">
        <v>43</v>
      </c>
      <c r="J409" t="s">
        <v>42</v>
      </c>
      <c r="K409" t="s">
        <v>62</v>
      </c>
      <c r="M409">
        <v>2</v>
      </c>
      <c r="N409" t="s">
        <v>105</v>
      </c>
      <c r="O409" t="s">
        <v>36</v>
      </c>
      <c r="P409" t="b">
        <v>0</v>
      </c>
      <c r="Q409" t="b">
        <v>0</v>
      </c>
      <c r="R409" t="b">
        <v>0</v>
      </c>
      <c r="S409" t="b">
        <v>0</v>
      </c>
      <c r="T409" t="b">
        <v>0</v>
      </c>
      <c r="U409">
        <v>0.3</v>
      </c>
      <c r="V409">
        <v>8.1999999999999993</v>
      </c>
      <c r="W409">
        <v>1</v>
      </c>
      <c r="X409">
        <v>12.4</v>
      </c>
      <c r="Y409">
        <v>23.15</v>
      </c>
      <c r="Z409">
        <v>5</v>
      </c>
      <c r="AA409" t="s">
        <v>46</v>
      </c>
    </row>
    <row r="410" spans="1:27" x14ac:dyDescent="0.3">
      <c r="A410" t="s">
        <v>501</v>
      </c>
      <c r="B410">
        <v>17</v>
      </c>
      <c r="C410" t="s">
        <v>53</v>
      </c>
      <c r="D410">
        <v>1.6</v>
      </c>
      <c r="E410" t="s">
        <v>60</v>
      </c>
      <c r="F410" t="s">
        <v>102</v>
      </c>
      <c r="G410" t="s">
        <v>71</v>
      </c>
      <c r="H410">
        <v>8.3000000000000007</v>
      </c>
      <c r="I410" t="s">
        <v>43</v>
      </c>
      <c r="J410" t="s">
        <v>42</v>
      </c>
      <c r="K410" t="s">
        <v>84</v>
      </c>
      <c r="L410">
        <v>1.48</v>
      </c>
      <c r="N410" t="s">
        <v>35</v>
      </c>
      <c r="O410" t="s">
        <v>57</v>
      </c>
      <c r="P410" t="b">
        <v>0</v>
      </c>
      <c r="Q410" t="b">
        <v>0</v>
      </c>
      <c r="R410" t="b">
        <v>0</v>
      </c>
      <c r="S410" t="b">
        <v>0</v>
      </c>
      <c r="T410" t="b">
        <v>0</v>
      </c>
      <c r="U410">
        <v>0.1</v>
      </c>
      <c r="V410">
        <v>7.1</v>
      </c>
      <c r="W410">
        <v>1</v>
      </c>
      <c r="X410">
        <v>11.9</v>
      </c>
      <c r="Y410">
        <v>7.58</v>
      </c>
      <c r="Z410">
        <v>6</v>
      </c>
      <c r="AA410" t="s">
        <v>46</v>
      </c>
    </row>
    <row r="411" spans="1:27" x14ac:dyDescent="0.3">
      <c r="A411" t="s">
        <v>502</v>
      </c>
      <c r="B411">
        <v>35</v>
      </c>
      <c r="C411" t="s">
        <v>53</v>
      </c>
      <c r="D411">
        <v>3.1</v>
      </c>
      <c r="E411" t="s">
        <v>60</v>
      </c>
      <c r="F411" t="s">
        <v>96</v>
      </c>
      <c r="G411" t="s">
        <v>86</v>
      </c>
      <c r="H411">
        <v>7.1</v>
      </c>
      <c r="I411" t="s">
        <v>41</v>
      </c>
      <c r="J411" t="s">
        <v>33</v>
      </c>
      <c r="K411" t="s">
        <v>62</v>
      </c>
      <c r="M411">
        <v>8</v>
      </c>
      <c r="N411" t="s">
        <v>121</v>
      </c>
      <c r="O411" t="s">
        <v>42</v>
      </c>
      <c r="P411" t="b">
        <v>0</v>
      </c>
      <c r="Q411" t="b">
        <v>0</v>
      </c>
      <c r="R411" t="b">
        <v>0</v>
      </c>
      <c r="S411" t="b">
        <v>0</v>
      </c>
      <c r="T411" t="b">
        <v>0</v>
      </c>
      <c r="U411">
        <v>1.1000000000000001</v>
      </c>
      <c r="V411">
        <v>7.1</v>
      </c>
      <c r="W411">
        <v>2</v>
      </c>
      <c r="X411">
        <v>9.1</v>
      </c>
      <c r="Y411">
        <v>45.22</v>
      </c>
      <c r="Z411">
        <v>15</v>
      </c>
      <c r="AA411" t="s">
        <v>46</v>
      </c>
    </row>
    <row r="412" spans="1:27" x14ac:dyDescent="0.3">
      <c r="A412" t="s">
        <v>503</v>
      </c>
      <c r="B412">
        <v>22</v>
      </c>
      <c r="C412" t="s">
        <v>53</v>
      </c>
      <c r="D412">
        <v>6</v>
      </c>
      <c r="E412" t="s">
        <v>54</v>
      </c>
      <c r="F412" t="s">
        <v>98</v>
      </c>
      <c r="G412" t="s">
        <v>71</v>
      </c>
      <c r="H412">
        <v>6.4</v>
      </c>
      <c r="I412" t="s">
        <v>51</v>
      </c>
      <c r="J412" t="s">
        <v>42</v>
      </c>
      <c r="K412" t="s">
        <v>51</v>
      </c>
      <c r="L412">
        <v>2.99</v>
      </c>
      <c r="M412">
        <v>9</v>
      </c>
      <c r="N412" t="s">
        <v>66</v>
      </c>
      <c r="O412" t="s">
        <v>33</v>
      </c>
      <c r="P412" t="b">
        <v>0</v>
      </c>
      <c r="Q412" t="b">
        <v>1</v>
      </c>
      <c r="R412" t="b">
        <v>0</v>
      </c>
      <c r="S412" t="b">
        <v>1</v>
      </c>
      <c r="T412" t="b">
        <v>0</v>
      </c>
      <c r="U412">
        <v>2.5</v>
      </c>
      <c r="V412">
        <v>6.1</v>
      </c>
      <c r="W412">
        <v>3</v>
      </c>
      <c r="X412">
        <v>5.5</v>
      </c>
      <c r="Y412">
        <v>109.8</v>
      </c>
      <c r="Z412">
        <v>8</v>
      </c>
      <c r="AA412" t="s">
        <v>64</v>
      </c>
    </row>
    <row r="413" spans="1:27" x14ac:dyDescent="0.3">
      <c r="A413" t="s">
        <v>504</v>
      </c>
      <c r="B413">
        <v>25</v>
      </c>
      <c r="C413" t="s">
        <v>53</v>
      </c>
      <c r="D413">
        <v>10.3</v>
      </c>
      <c r="E413" t="s">
        <v>60</v>
      </c>
      <c r="F413" t="s">
        <v>61</v>
      </c>
      <c r="G413" t="s">
        <v>71</v>
      </c>
      <c r="H413">
        <v>4.8</v>
      </c>
      <c r="I413" t="s">
        <v>51</v>
      </c>
      <c r="J413" t="s">
        <v>36</v>
      </c>
      <c r="K413" t="s">
        <v>62</v>
      </c>
      <c r="M413">
        <v>3</v>
      </c>
      <c r="N413" t="s">
        <v>69</v>
      </c>
      <c r="O413" t="s">
        <v>36</v>
      </c>
      <c r="P413" t="b">
        <v>1</v>
      </c>
      <c r="Q413" t="b">
        <v>1</v>
      </c>
      <c r="R413" t="b">
        <v>1</v>
      </c>
      <c r="S413" t="b">
        <v>0</v>
      </c>
      <c r="T413" t="b">
        <v>1</v>
      </c>
      <c r="U413">
        <v>0.7</v>
      </c>
      <c r="V413">
        <v>3.5</v>
      </c>
      <c r="W413">
        <v>6</v>
      </c>
      <c r="X413">
        <v>5.8</v>
      </c>
      <c r="Y413">
        <v>348.04</v>
      </c>
      <c r="Z413">
        <v>7</v>
      </c>
      <c r="AA413" t="s">
        <v>37</v>
      </c>
    </row>
    <row r="414" spans="1:27" x14ac:dyDescent="0.3">
      <c r="A414" t="s">
        <v>505</v>
      </c>
      <c r="B414">
        <v>16</v>
      </c>
      <c r="C414" t="s">
        <v>28</v>
      </c>
      <c r="D414">
        <v>4.8</v>
      </c>
      <c r="E414" t="s">
        <v>48</v>
      </c>
      <c r="F414" t="s">
        <v>68</v>
      </c>
      <c r="G414" t="s">
        <v>31</v>
      </c>
      <c r="H414">
        <v>6.8</v>
      </c>
      <c r="I414" t="s">
        <v>41</v>
      </c>
      <c r="J414" t="s">
        <v>33</v>
      </c>
      <c r="K414" t="s">
        <v>34</v>
      </c>
      <c r="L414">
        <v>2.17</v>
      </c>
      <c r="N414" t="s">
        <v>66</v>
      </c>
      <c r="O414" t="s">
        <v>57</v>
      </c>
      <c r="P414" t="b">
        <v>0</v>
      </c>
      <c r="Q414" t="b">
        <v>0</v>
      </c>
      <c r="R414" t="b">
        <v>0</v>
      </c>
      <c r="S414" t="b">
        <v>0</v>
      </c>
      <c r="T414" t="b">
        <v>0</v>
      </c>
      <c r="U414">
        <v>2</v>
      </c>
      <c r="V414">
        <v>6.5</v>
      </c>
      <c r="W414">
        <v>5</v>
      </c>
      <c r="X414">
        <v>11.4</v>
      </c>
      <c r="Y414">
        <v>101.85</v>
      </c>
      <c r="Z414">
        <v>4</v>
      </c>
      <c r="AA414" t="s">
        <v>46</v>
      </c>
    </row>
    <row r="415" spans="1:27" x14ac:dyDescent="0.3">
      <c r="A415" t="s">
        <v>506</v>
      </c>
      <c r="B415">
        <v>19</v>
      </c>
      <c r="C415" t="s">
        <v>53</v>
      </c>
      <c r="D415">
        <v>4.5999999999999996</v>
      </c>
      <c r="E415" t="s">
        <v>48</v>
      </c>
      <c r="F415" t="s">
        <v>49</v>
      </c>
      <c r="G415" t="s">
        <v>31</v>
      </c>
      <c r="H415">
        <v>6.5</v>
      </c>
      <c r="I415" t="s">
        <v>43</v>
      </c>
      <c r="J415" t="s">
        <v>36</v>
      </c>
      <c r="K415" t="s">
        <v>62</v>
      </c>
      <c r="L415">
        <v>2.46</v>
      </c>
      <c r="M415">
        <v>1</v>
      </c>
      <c r="N415" t="s">
        <v>35</v>
      </c>
      <c r="O415" t="s">
        <v>45</v>
      </c>
      <c r="P415" t="b">
        <v>0</v>
      </c>
      <c r="Q415" t="b">
        <v>0</v>
      </c>
      <c r="R415" t="b">
        <v>0</v>
      </c>
      <c r="S415" t="b">
        <v>1</v>
      </c>
      <c r="T415" t="b">
        <v>0</v>
      </c>
      <c r="U415">
        <v>1.8</v>
      </c>
      <c r="V415">
        <v>8.5</v>
      </c>
      <c r="W415">
        <v>5</v>
      </c>
      <c r="X415">
        <v>9.5</v>
      </c>
      <c r="Y415">
        <v>83.38</v>
      </c>
      <c r="Z415">
        <v>5</v>
      </c>
      <c r="AA415" t="s">
        <v>46</v>
      </c>
    </row>
    <row r="416" spans="1:27" x14ac:dyDescent="0.3">
      <c r="A416" t="s">
        <v>507</v>
      </c>
      <c r="B416">
        <v>18</v>
      </c>
      <c r="C416" t="s">
        <v>53</v>
      </c>
      <c r="D416">
        <v>7.3</v>
      </c>
      <c r="E416" t="s">
        <v>29</v>
      </c>
      <c r="F416" t="s">
        <v>30</v>
      </c>
      <c r="G416" t="s">
        <v>86</v>
      </c>
      <c r="H416">
        <v>5.8</v>
      </c>
      <c r="I416" t="s">
        <v>51</v>
      </c>
      <c r="J416" t="s">
        <v>74</v>
      </c>
      <c r="K416" t="s">
        <v>43</v>
      </c>
      <c r="L416">
        <v>2.13</v>
      </c>
      <c r="N416" t="s">
        <v>35</v>
      </c>
      <c r="O416" t="s">
        <v>42</v>
      </c>
      <c r="P416" t="b">
        <v>0</v>
      </c>
      <c r="Q416" t="b">
        <v>1</v>
      </c>
      <c r="R416" t="b">
        <v>0</v>
      </c>
      <c r="S416" t="b">
        <v>0</v>
      </c>
      <c r="T416" t="b">
        <v>1</v>
      </c>
      <c r="U416">
        <v>3.6</v>
      </c>
      <c r="V416">
        <v>6.6</v>
      </c>
      <c r="W416">
        <v>4</v>
      </c>
      <c r="X416">
        <v>7.4</v>
      </c>
      <c r="Y416">
        <v>31.02</v>
      </c>
      <c r="Z416">
        <v>5</v>
      </c>
      <c r="AA416" t="s">
        <v>64</v>
      </c>
    </row>
    <row r="417" spans="1:27" x14ac:dyDescent="0.3">
      <c r="A417" t="s">
        <v>508</v>
      </c>
      <c r="B417">
        <v>17</v>
      </c>
      <c r="C417" t="s">
        <v>28</v>
      </c>
      <c r="D417">
        <v>7.5</v>
      </c>
      <c r="E417" t="s">
        <v>48</v>
      </c>
      <c r="F417" t="s">
        <v>128</v>
      </c>
      <c r="G417" t="s">
        <v>31</v>
      </c>
      <c r="H417">
        <v>5</v>
      </c>
      <c r="I417" t="s">
        <v>51</v>
      </c>
      <c r="J417" t="s">
        <v>42</v>
      </c>
      <c r="K417" t="s">
        <v>51</v>
      </c>
      <c r="L417">
        <v>1.24</v>
      </c>
      <c r="N417" t="s">
        <v>80</v>
      </c>
      <c r="O417" t="s">
        <v>42</v>
      </c>
      <c r="P417" t="b">
        <v>0</v>
      </c>
      <c r="Q417" t="b">
        <v>1</v>
      </c>
      <c r="R417" t="b">
        <v>0</v>
      </c>
      <c r="S417" t="b">
        <v>1</v>
      </c>
      <c r="T417" t="b">
        <v>0</v>
      </c>
      <c r="U417">
        <v>1.1000000000000001</v>
      </c>
      <c r="V417">
        <v>6.9</v>
      </c>
      <c r="W417">
        <v>2</v>
      </c>
      <c r="X417">
        <v>6.7</v>
      </c>
      <c r="Y417">
        <v>135.83000000000001</v>
      </c>
      <c r="Z417">
        <v>2</v>
      </c>
      <c r="AA417" t="s">
        <v>64</v>
      </c>
    </row>
    <row r="418" spans="1:27" x14ac:dyDescent="0.3">
      <c r="A418" t="s">
        <v>509</v>
      </c>
      <c r="B418">
        <v>17</v>
      </c>
      <c r="C418" t="s">
        <v>28</v>
      </c>
      <c r="D418">
        <v>6.2</v>
      </c>
      <c r="E418" t="s">
        <v>39</v>
      </c>
      <c r="F418" t="s">
        <v>93</v>
      </c>
      <c r="G418" t="s">
        <v>50</v>
      </c>
      <c r="H418">
        <v>5.5</v>
      </c>
      <c r="I418" t="s">
        <v>43</v>
      </c>
      <c r="J418" t="s">
        <v>36</v>
      </c>
      <c r="K418" t="s">
        <v>34</v>
      </c>
      <c r="L418">
        <v>1.68</v>
      </c>
      <c r="N418" t="s">
        <v>105</v>
      </c>
      <c r="O418" t="s">
        <v>36</v>
      </c>
      <c r="P418" t="b">
        <v>0</v>
      </c>
      <c r="Q418" t="b">
        <v>0</v>
      </c>
      <c r="R418" t="b">
        <v>0</v>
      </c>
      <c r="S418" t="b">
        <v>0</v>
      </c>
      <c r="T418" t="b">
        <v>1</v>
      </c>
      <c r="U418">
        <v>1.7</v>
      </c>
      <c r="V418">
        <v>7.6</v>
      </c>
      <c r="W418">
        <v>4</v>
      </c>
      <c r="X418">
        <v>9</v>
      </c>
      <c r="Y418">
        <v>145.5</v>
      </c>
      <c r="Z418">
        <v>3</v>
      </c>
      <c r="AA418" t="s">
        <v>46</v>
      </c>
    </row>
    <row r="419" spans="1:27" x14ac:dyDescent="0.3">
      <c r="A419" t="s">
        <v>510</v>
      </c>
      <c r="B419">
        <v>16</v>
      </c>
      <c r="C419" t="s">
        <v>28</v>
      </c>
      <c r="D419">
        <v>8.3000000000000007</v>
      </c>
      <c r="E419" t="s">
        <v>39</v>
      </c>
      <c r="F419" t="s">
        <v>40</v>
      </c>
      <c r="G419" t="s">
        <v>71</v>
      </c>
      <c r="H419">
        <v>5.5</v>
      </c>
      <c r="I419" t="s">
        <v>51</v>
      </c>
      <c r="J419" t="s">
        <v>33</v>
      </c>
      <c r="K419" t="s">
        <v>51</v>
      </c>
      <c r="L419">
        <v>2.2400000000000002</v>
      </c>
      <c r="N419" t="s">
        <v>35</v>
      </c>
      <c r="O419" t="s">
        <v>45</v>
      </c>
      <c r="P419" t="b">
        <v>0</v>
      </c>
      <c r="Q419" t="b">
        <v>1</v>
      </c>
      <c r="R419" t="b">
        <v>1</v>
      </c>
      <c r="S419" t="b">
        <v>1</v>
      </c>
      <c r="T419" t="b">
        <v>1</v>
      </c>
      <c r="U419">
        <v>2</v>
      </c>
      <c r="V419">
        <v>6.9</v>
      </c>
      <c r="W419">
        <v>4</v>
      </c>
      <c r="X419">
        <v>8</v>
      </c>
      <c r="Y419">
        <v>14.14</v>
      </c>
      <c r="Z419">
        <v>1</v>
      </c>
      <c r="AA419" t="s">
        <v>58</v>
      </c>
    </row>
    <row r="420" spans="1:27" x14ac:dyDescent="0.3">
      <c r="A420" t="s">
        <v>511</v>
      </c>
      <c r="B420">
        <v>31</v>
      </c>
      <c r="C420" t="s">
        <v>53</v>
      </c>
      <c r="D420">
        <v>7.7</v>
      </c>
      <c r="E420" t="s">
        <v>54</v>
      </c>
      <c r="F420" t="s">
        <v>89</v>
      </c>
      <c r="G420" t="s">
        <v>50</v>
      </c>
      <c r="H420">
        <v>3.4</v>
      </c>
      <c r="I420" t="s">
        <v>51</v>
      </c>
      <c r="J420" t="s">
        <v>42</v>
      </c>
      <c r="K420" t="s">
        <v>34</v>
      </c>
      <c r="M420">
        <v>8</v>
      </c>
      <c r="N420" t="s">
        <v>35</v>
      </c>
      <c r="O420" t="s">
        <v>33</v>
      </c>
      <c r="P420" t="b">
        <v>1</v>
      </c>
      <c r="Q420" t="b">
        <v>1</v>
      </c>
      <c r="R420" t="b">
        <v>1</v>
      </c>
      <c r="S420" t="b">
        <v>1</v>
      </c>
      <c r="T420" t="b">
        <v>0</v>
      </c>
      <c r="U420">
        <v>2.8</v>
      </c>
      <c r="V420">
        <v>6.4</v>
      </c>
      <c r="W420">
        <v>5</v>
      </c>
      <c r="X420">
        <v>3.2</v>
      </c>
      <c r="Y420">
        <v>38.14</v>
      </c>
      <c r="Z420">
        <v>1</v>
      </c>
      <c r="AA420" t="s">
        <v>37</v>
      </c>
    </row>
    <row r="421" spans="1:27" x14ac:dyDescent="0.3">
      <c r="A421" t="s">
        <v>512</v>
      </c>
      <c r="B421">
        <v>16</v>
      </c>
      <c r="C421" t="s">
        <v>28</v>
      </c>
      <c r="D421">
        <v>4</v>
      </c>
      <c r="E421" t="s">
        <v>76</v>
      </c>
      <c r="F421" t="s">
        <v>110</v>
      </c>
      <c r="G421" t="s">
        <v>50</v>
      </c>
      <c r="H421">
        <v>6.4</v>
      </c>
      <c r="I421" t="s">
        <v>43</v>
      </c>
      <c r="J421" t="s">
        <v>36</v>
      </c>
      <c r="K421" t="s">
        <v>84</v>
      </c>
      <c r="L421">
        <v>2.79</v>
      </c>
      <c r="N421" t="s">
        <v>69</v>
      </c>
      <c r="O421" t="s">
        <v>45</v>
      </c>
      <c r="P421" t="b">
        <v>0</v>
      </c>
      <c r="Q421" t="b">
        <v>0</v>
      </c>
      <c r="R421" t="b">
        <v>0</v>
      </c>
      <c r="S421" t="b">
        <v>0</v>
      </c>
      <c r="T421" t="b">
        <v>0</v>
      </c>
      <c r="U421">
        <v>1.7</v>
      </c>
      <c r="V421">
        <v>6.5</v>
      </c>
      <c r="W421">
        <v>3</v>
      </c>
      <c r="X421">
        <v>10</v>
      </c>
      <c r="Y421">
        <v>37.75</v>
      </c>
      <c r="Z421">
        <v>5</v>
      </c>
      <c r="AA421" t="s">
        <v>46</v>
      </c>
    </row>
    <row r="422" spans="1:27" x14ac:dyDescent="0.3">
      <c r="A422" t="s">
        <v>513</v>
      </c>
      <c r="B422">
        <v>19</v>
      </c>
      <c r="C422" t="s">
        <v>28</v>
      </c>
      <c r="D422">
        <v>1.3</v>
      </c>
      <c r="E422" t="s">
        <v>82</v>
      </c>
      <c r="F422" t="s">
        <v>134</v>
      </c>
      <c r="G422" t="s">
        <v>31</v>
      </c>
      <c r="H422">
        <v>8.1999999999999993</v>
      </c>
      <c r="I422" t="s">
        <v>41</v>
      </c>
      <c r="J422" t="s">
        <v>36</v>
      </c>
      <c r="K422" t="s">
        <v>84</v>
      </c>
      <c r="L422">
        <v>2.8</v>
      </c>
      <c r="M422">
        <v>2</v>
      </c>
      <c r="N422" t="s">
        <v>56</v>
      </c>
      <c r="O422" t="s">
        <v>45</v>
      </c>
      <c r="P422" t="b">
        <v>0</v>
      </c>
      <c r="Q422" t="b">
        <v>0</v>
      </c>
      <c r="R422" t="b">
        <v>0</v>
      </c>
      <c r="S422" t="b">
        <v>0</v>
      </c>
      <c r="T422" t="b">
        <v>0</v>
      </c>
      <c r="U422">
        <v>0.1</v>
      </c>
      <c r="V422">
        <v>9.4</v>
      </c>
      <c r="W422">
        <v>1</v>
      </c>
      <c r="X422">
        <v>15.9</v>
      </c>
      <c r="Y422">
        <v>18.98</v>
      </c>
      <c r="Z422">
        <v>5</v>
      </c>
      <c r="AA422" t="s">
        <v>46</v>
      </c>
    </row>
    <row r="423" spans="1:27" x14ac:dyDescent="0.3">
      <c r="A423" t="s">
        <v>514</v>
      </c>
      <c r="B423">
        <v>23</v>
      </c>
      <c r="C423" t="s">
        <v>28</v>
      </c>
      <c r="D423">
        <v>8.6</v>
      </c>
      <c r="E423" t="s">
        <v>29</v>
      </c>
      <c r="F423" t="s">
        <v>118</v>
      </c>
      <c r="G423" t="s">
        <v>50</v>
      </c>
      <c r="H423">
        <v>5.7</v>
      </c>
      <c r="I423" t="s">
        <v>51</v>
      </c>
      <c r="J423" t="s">
        <v>36</v>
      </c>
      <c r="K423" t="s">
        <v>62</v>
      </c>
      <c r="M423">
        <v>5</v>
      </c>
      <c r="N423" t="s">
        <v>63</v>
      </c>
      <c r="O423" t="s">
        <v>36</v>
      </c>
      <c r="P423" t="b">
        <v>1</v>
      </c>
      <c r="Q423" t="b">
        <v>0</v>
      </c>
      <c r="R423" t="b">
        <v>1</v>
      </c>
      <c r="S423" t="b">
        <v>1</v>
      </c>
      <c r="T423" t="b">
        <v>0</v>
      </c>
      <c r="U423">
        <v>4.9000000000000004</v>
      </c>
      <c r="V423">
        <v>7.2</v>
      </c>
      <c r="W423">
        <v>5</v>
      </c>
      <c r="X423">
        <v>3.4</v>
      </c>
      <c r="Y423">
        <v>96.61</v>
      </c>
      <c r="Z423">
        <v>9</v>
      </c>
      <c r="AA423" t="s">
        <v>37</v>
      </c>
    </row>
    <row r="424" spans="1:27" x14ac:dyDescent="0.3">
      <c r="A424" t="s">
        <v>515</v>
      </c>
      <c r="B424">
        <v>21</v>
      </c>
      <c r="C424" t="s">
        <v>152</v>
      </c>
      <c r="D424">
        <v>5.2</v>
      </c>
      <c r="E424" t="s">
        <v>76</v>
      </c>
      <c r="F424" t="s">
        <v>110</v>
      </c>
      <c r="G424" t="s">
        <v>86</v>
      </c>
      <c r="H424">
        <v>6.9</v>
      </c>
      <c r="I424" t="s">
        <v>41</v>
      </c>
      <c r="J424" t="s">
        <v>74</v>
      </c>
      <c r="K424" t="s">
        <v>34</v>
      </c>
      <c r="L424">
        <v>1.46</v>
      </c>
      <c r="M424">
        <v>6</v>
      </c>
      <c r="N424" t="s">
        <v>80</v>
      </c>
      <c r="O424" t="s">
        <v>36</v>
      </c>
      <c r="P424" t="b">
        <v>0</v>
      </c>
      <c r="Q424" t="b">
        <v>0</v>
      </c>
      <c r="R424" t="b">
        <v>0</v>
      </c>
      <c r="S424" t="b">
        <v>1</v>
      </c>
      <c r="T424" t="b">
        <v>0</v>
      </c>
      <c r="U424">
        <v>0.3</v>
      </c>
      <c r="V424">
        <v>7</v>
      </c>
      <c r="W424">
        <v>3</v>
      </c>
      <c r="X424">
        <v>8.6999999999999993</v>
      </c>
      <c r="Y424">
        <v>144.76</v>
      </c>
      <c r="Z424">
        <v>2</v>
      </c>
      <c r="AA424" t="s">
        <v>46</v>
      </c>
    </row>
    <row r="425" spans="1:27" x14ac:dyDescent="0.3">
      <c r="A425" t="s">
        <v>516</v>
      </c>
      <c r="B425">
        <v>16</v>
      </c>
      <c r="C425" t="s">
        <v>53</v>
      </c>
      <c r="D425">
        <v>4.7</v>
      </c>
      <c r="E425" t="s">
        <v>39</v>
      </c>
      <c r="F425" t="s">
        <v>120</v>
      </c>
      <c r="G425" t="s">
        <v>50</v>
      </c>
      <c r="H425">
        <v>5.7</v>
      </c>
      <c r="I425" t="s">
        <v>41</v>
      </c>
      <c r="J425" t="s">
        <v>42</v>
      </c>
      <c r="K425" t="s">
        <v>51</v>
      </c>
      <c r="L425">
        <v>1.93</v>
      </c>
      <c r="N425" t="s">
        <v>44</v>
      </c>
      <c r="O425" t="s">
        <v>42</v>
      </c>
      <c r="P425" t="b">
        <v>0</v>
      </c>
      <c r="Q425" t="b">
        <v>0</v>
      </c>
      <c r="R425" t="b">
        <v>0</v>
      </c>
      <c r="S425" t="b">
        <v>1</v>
      </c>
      <c r="T425" t="b">
        <v>0</v>
      </c>
      <c r="U425">
        <v>0.9</v>
      </c>
      <c r="V425">
        <v>9.3000000000000007</v>
      </c>
      <c r="W425">
        <v>3</v>
      </c>
      <c r="X425">
        <v>10.1</v>
      </c>
      <c r="Y425">
        <v>36.450000000000003</v>
      </c>
      <c r="Z425">
        <v>1</v>
      </c>
      <c r="AA425" t="s">
        <v>46</v>
      </c>
    </row>
    <row r="426" spans="1:27" x14ac:dyDescent="0.3">
      <c r="A426" t="s">
        <v>517</v>
      </c>
      <c r="B426">
        <v>20</v>
      </c>
      <c r="C426" t="s">
        <v>28</v>
      </c>
      <c r="D426">
        <v>7.3</v>
      </c>
      <c r="E426" t="s">
        <v>76</v>
      </c>
      <c r="F426" t="s">
        <v>126</v>
      </c>
      <c r="G426" t="s">
        <v>50</v>
      </c>
      <c r="H426">
        <v>3.1</v>
      </c>
      <c r="I426" t="s">
        <v>32</v>
      </c>
      <c r="J426" t="s">
        <v>33</v>
      </c>
      <c r="K426" t="s">
        <v>51</v>
      </c>
      <c r="L426">
        <v>3.71</v>
      </c>
      <c r="M426">
        <v>6</v>
      </c>
      <c r="N426" t="s">
        <v>44</v>
      </c>
      <c r="O426" t="s">
        <v>57</v>
      </c>
      <c r="P426" t="b">
        <v>0</v>
      </c>
      <c r="Q426" t="b">
        <v>1</v>
      </c>
      <c r="R426" t="b">
        <v>0</v>
      </c>
      <c r="S426" t="b">
        <v>1</v>
      </c>
      <c r="T426" t="b">
        <v>0</v>
      </c>
      <c r="U426">
        <v>0.7</v>
      </c>
      <c r="V426">
        <v>5.5</v>
      </c>
      <c r="W426">
        <v>4</v>
      </c>
      <c r="X426">
        <v>4.9000000000000004</v>
      </c>
      <c r="Y426">
        <v>30.38</v>
      </c>
      <c r="Z426">
        <v>2</v>
      </c>
      <c r="AA426" t="s">
        <v>64</v>
      </c>
    </row>
    <row r="427" spans="1:27" x14ac:dyDescent="0.3">
      <c r="A427" t="s">
        <v>518</v>
      </c>
      <c r="B427">
        <v>17</v>
      </c>
      <c r="C427" t="s">
        <v>53</v>
      </c>
      <c r="D427">
        <v>10.199999999999999</v>
      </c>
      <c r="E427" t="s">
        <v>39</v>
      </c>
      <c r="F427" t="s">
        <v>93</v>
      </c>
      <c r="G427" t="s">
        <v>86</v>
      </c>
      <c r="H427">
        <v>5.3</v>
      </c>
      <c r="I427" t="s">
        <v>43</v>
      </c>
      <c r="J427" t="s">
        <v>33</v>
      </c>
      <c r="K427" t="s">
        <v>51</v>
      </c>
      <c r="L427">
        <v>3.91</v>
      </c>
      <c r="N427" t="s">
        <v>80</v>
      </c>
      <c r="O427" t="s">
        <v>42</v>
      </c>
      <c r="P427" t="b">
        <v>0</v>
      </c>
      <c r="Q427" t="b">
        <v>1</v>
      </c>
      <c r="R427" t="b">
        <v>1</v>
      </c>
      <c r="S427" t="b">
        <v>0</v>
      </c>
      <c r="T427" t="b">
        <v>0</v>
      </c>
      <c r="U427">
        <v>3</v>
      </c>
      <c r="V427">
        <v>3.6</v>
      </c>
      <c r="W427">
        <v>5</v>
      </c>
      <c r="X427">
        <v>2.2999999999999998</v>
      </c>
      <c r="Y427">
        <v>263.64</v>
      </c>
      <c r="Z427">
        <v>1</v>
      </c>
      <c r="AA427" t="s">
        <v>37</v>
      </c>
    </row>
    <row r="428" spans="1:27" x14ac:dyDescent="0.3">
      <c r="A428" t="s">
        <v>519</v>
      </c>
      <c r="B428">
        <v>29</v>
      </c>
      <c r="C428" t="s">
        <v>28</v>
      </c>
      <c r="D428">
        <v>4.2</v>
      </c>
      <c r="E428" t="s">
        <v>48</v>
      </c>
      <c r="F428" t="s">
        <v>68</v>
      </c>
      <c r="G428" t="s">
        <v>71</v>
      </c>
      <c r="H428">
        <v>6.6</v>
      </c>
      <c r="I428" t="s">
        <v>43</v>
      </c>
      <c r="J428" t="s">
        <v>45</v>
      </c>
      <c r="K428" t="s">
        <v>43</v>
      </c>
      <c r="M428">
        <v>3</v>
      </c>
      <c r="N428" t="s">
        <v>105</v>
      </c>
      <c r="O428" t="s">
        <v>36</v>
      </c>
      <c r="P428" t="b">
        <v>0</v>
      </c>
      <c r="Q428" t="b">
        <v>0</v>
      </c>
      <c r="R428" t="b">
        <v>0</v>
      </c>
      <c r="S428" t="b">
        <v>0</v>
      </c>
      <c r="T428" t="b">
        <v>0</v>
      </c>
      <c r="U428">
        <v>0.7</v>
      </c>
      <c r="V428">
        <v>8.6</v>
      </c>
      <c r="W428">
        <v>1</v>
      </c>
      <c r="X428">
        <v>7.5</v>
      </c>
      <c r="Y428">
        <v>28.17</v>
      </c>
      <c r="Z428">
        <v>8</v>
      </c>
      <c r="AA428" t="s">
        <v>46</v>
      </c>
    </row>
    <row r="429" spans="1:27" x14ac:dyDescent="0.3">
      <c r="A429" t="s">
        <v>520</v>
      </c>
      <c r="B429">
        <v>22</v>
      </c>
      <c r="C429" t="s">
        <v>28</v>
      </c>
      <c r="D429">
        <v>2.5</v>
      </c>
      <c r="E429" t="s">
        <v>39</v>
      </c>
      <c r="F429" t="s">
        <v>93</v>
      </c>
      <c r="G429" t="s">
        <v>31</v>
      </c>
      <c r="H429">
        <v>7.4</v>
      </c>
      <c r="I429" t="s">
        <v>43</v>
      </c>
      <c r="J429" t="s">
        <v>36</v>
      </c>
      <c r="K429" t="s">
        <v>84</v>
      </c>
      <c r="L429">
        <v>1.17</v>
      </c>
      <c r="M429">
        <v>1</v>
      </c>
      <c r="N429" t="s">
        <v>69</v>
      </c>
      <c r="O429" t="s">
        <v>45</v>
      </c>
      <c r="P429" t="b">
        <v>0</v>
      </c>
      <c r="Q429" t="b">
        <v>0</v>
      </c>
      <c r="R429" t="b">
        <v>0</v>
      </c>
      <c r="S429" t="b">
        <v>0</v>
      </c>
      <c r="T429" t="b">
        <v>0</v>
      </c>
      <c r="U429">
        <v>2</v>
      </c>
      <c r="V429">
        <v>10.4</v>
      </c>
      <c r="W429">
        <v>3</v>
      </c>
      <c r="X429">
        <v>12.8</v>
      </c>
      <c r="Y429">
        <v>40.43</v>
      </c>
      <c r="Z429">
        <v>12</v>
      </c>
      <c r="AA429" t="s">
        <v>46</v>
      </c>
    </row>
    <row r="430" spans="1:27" x14ac:dyDescent="0.3">
      <c r="A430" t="s">
        <v>521</v>
      </c>
      <c r="B430">
        <v>26</v>
      </c>
      <c r="C430" t="s">
        <v>53</v>
      </c>
      <c r="D430">
        <v>5.0999999999999996</v>
      </c>
      <c r="E430" t="s">
        <v>76</v>
      </c>
      <c r="F430" t="s">
        <v>110</v>
      </c>
      <c r="G430" t="s">
        <v>86</v>
      </c>
      <c r="H430">
        <v>5.9</v>
      </c>
      <c r="I430" t="s">
        <v>32</v>
      </c>
      <c r="J430" t="s">
        <v>74</v>
      </c>
      <c r="K430" t="s">
        <v>62</v>
      </c>
      <c r="M430">
        <v>6</v>
      </c>
      <c r="N430" t="s">
        <v>66</v>
      </c>
      <c r="O430" t="s">
        <v>57</v>
      </c>
      <c r="P430" t="b">
        <v>0</v>
      </c>
      <c r="Q430" t="b">
        <v>0</v>
      </c>
      <c r="R430" t="b">
        <v>0</v>
      </c>
      <c r="S430" t="b">
        <v>1</v>
      </c>
      <c r="T430" t="b">
        <v>0</v>
      </c>
      <c r="U430">
        <v>0.4</v>
      </c>
      <c r="V430">
        <v>6.9</v>
      </c>
      <c r="W430">
        <v>2</v>
      </c>
      <c r="X430">
        <v>7.1</v>
      </c>
      <c r="Y430">
        <v>33.99</v>
      </c>
      <c r="Z430">
        <v>8</v>
      </c>
      <c r="AA430" t="s">
        <v>46</v>
      </c>
    </row>
    <row r="431" spans="1:27" x14ac:dyDescent="0.3">
      <c r="A431" t="s">
        <v>522</v>
      </c>
      <c r="B431">
        <v>29</v>
      </c>
      <c r="C431" t="s">
        <v>28</v>
      </c>
      <c r="D431">
        <v>6</v>
      </c>
      <c r="E431" t="s">
        <v>29</v>
      </c>
      <c r="F431" t="s">
        <v>73</v>
      </c>
      <c r="G431" t="s">
        <v>31</v>
      </c>
      <c r="H431">
        <v>6.5</v>
      </c>
      <c r="I431" t="s">
        <v>43</v>
      </c>
      <c r="J431" t="s">
        <v>36</v>
      </c>
      <c r="K431" t="s">
        <v>34</v>
      </c>
      <c r="M431">
        <v>1</v>
      </c>
      <c r="N431" t="s">
        <v>69</v>
      </c>
      <c r="O431" t="s">
        <v>45</v>
      </c>
      <c r="P431" t="b">
        <v>0</v>
      </c>
      <c r="Q431" t="b">
        <v>0</v>
      </c>
      <c r="R431" t="b">
        <v>0</v>
      </c>
      <c r="S431" t="b">
        <v>1</v>
      </c>
      <c r="T431" t="b">
        <v>0</v>
      </c>
      <c r="U431">
        <v>0.5</v>
      </c>
      <c r="V431">
        <v>6</v>
      </c>
      <c r="W431">
        <v>1</v>
      </c>
      <c r="X431">
        <v>5.8</v>
      </c>
      <c r="Y431">
        <v>109.61</v>
      </c>
      <c r="Z431">
        <v>16</v>
      </c>
      <c r="AA431" t="s">
        <v>46</v>
      </c>
    </row>
    <row r="432" spans="1:27" x14ac:dyDescent="0.3">
      <c r="A432" t="s">
        <v>523</v>
      </c>
      <c r="B432">
        <v>22</v>
      </c>
      <c r="C432" t="s">
        <v>28</v>
      </c>
      <c r="D432">
        <v>5</v>
      </c>
      <c r="E432" t="s">
        <v>29</v>
      </c>
      <c r="F432" t="s">
        <v>73</v>
      </c>
      <c r="G432" t="s">
        <v>71</v>
      </c>
      <c r="H432">
        <v>5.8</v>
      </c>
      <c r="I432" t="s">
        <v>41</v>
      </c>
      <c r="J432" t="s">
        <v>36</v>
      </c>
      <c r="K432" t="s">
        <v>62</v>
      </c>
      <c r="L432">
        <v>3.16</v>
      </c>
      <c r="M432">
        <v>4</v>
      </c>
      <c r="N432" t="s">
        <v>80</v>
      </c>
      <c r="O432" t="s">
        <v>42</v>
      </c>
      <c r="P432" t="b">
        <v>0</v>
      </c>
      <c r="Q432" t="b">
        <v>0</v>
      </c>
      <c r="R432" t="b">
        <v>0</v>
      </c>
      <c r="S432" t="b">
        <v>0</v>
      </c>
      <c r="T432" t="b">
        <v>0</v>
      </c>
      <c r="U432">
        <v>0.1</v>
      </c>
      <c r="V432">
        <v>6</v>
      </c>
      <c r="W432">
        <v>4</v>
      </c>
      <c r="X432">
        <v>9</v>
      </c>
      <c r="Y432">
        <v>89.73</v>
      </c>
      <c r="Z432">
        <v>5</v>
      </c>
      <c r="AA432" t="s">
        <v>46</v>
      </c>
    </row>
    <row r="433" spans="1:27" x14ac:dyDescent="0.3">
      <c r="A433" t="s">
        <v>524</v>
      </c>
      <c r="B433">
        <v>20</v>
      </c>
      <c r="C433" t="s">
        <v>53</v>
      </c>
      <c r="D433">
        <v>3.9</v>
      </c>
      <c r="E433" t="s">
        <v>29</v>
      </c>
      <c r="F433" t="s">
        <v>104</v>
      </c>
      <c r="G433" t="s">
        <v>71</v>
      </c>
      <c r="H433">
        <v>5.3</v>
      </c>
      <c r="I433" t="s">
        <v>43</v>
      </c>
      <c r="J433" t="s">
        <v>42</v>
      </c>
      <c r="K433" t="s">
        <v>62</v>
      </c>
      <c r="L433">
        <v>3.17</v>
      </c>
      <c r="M433">
        <v>7</v>
      </c>
      <c r="N433" t="s">
        <v>105</v>
      </c>
      <c r="O433" t="s">
        <v>45</v>
      </c>
      <c r="P433" t="b">
        <v>0</v>
      </c>
      <c r="Q433" t="b">
        <v>0</v>
      </c>
      <c r="R433" t="b">
        <v>0</v>
      </c>
      <c r="S433" t="b">
        <v>0</v>
      </c>
      <c r="T433" t="b">
        <v>0</v>
      </c>
      <c r="U433">
        <v>0.4</v>
      </c>
      <c r="V433">
        <v>7.4</v>
      </c>
      <c r="W433">
        <v>2</v>
      </c>
      <c r="X433">
        <v>10.8</v>
      </c>
      <c r="Y433">
        <v>49.48</v>
      </c>
      <c r="Z433">
        <v>7</v>
      </c>
      <c r="AA433" t="s">
        <v>46</v>
      </c>
    </row>
    <row r="434" spans="1:27" x14ac:dyDescent="0.3">
      <c r="A434" t="s">
        <v>525</v>
      </c>
      <c r="B434">
        <v>20</v>
      </c>
      <c r="C434" t="s">
        <v>28</v>
      </c>
      <c r="D434">
        <v>4.5</v>
      </c>
      <c r="E434" t="s">
        <v>48</v>
      </c>
      <c r="F434" t="s">
        <v>49</v>
      </c>
      <c r="G434" t="s">
        <v>31</v>
      </c>
      <c r="H434">
        <v>5.8</v>
      </c>
      <c r="I434" t="s">
        <v>41</v>
      </c>
      <c r="J434" t="s">
        <v>45</v>
      </c>
      <c r="K434" t="s">
        <v>84</v>
      </c>
      <c r="L434">
        <v>3.73</v>
      </c>
      <c r="M434">
        <v>9</v>
      </c>
      <c r="N434" t="s">
        <v>66</v>
      </c>
      <c r="O434" t="s">
        <v>57</v>
      </c>
      <c r="P434" t="b">
        <v>0</v>
      </c>
      <c r="Q434" t="b">
        <v>0</v>
      </c>
      <c r="R434" t="b">
        <v>0</v>
      </c>
      <c r="S434" t="b">
        <v>1</v>
      </c>
      <c r="T434" t="b">
        <v>0</v>
      </c>
      <c r="U434">
        <v>0.8</v>
      </c>
      <c r="V434">
        <v>7.2</v>
      </c>
      <c r="W434">
        <v>5</v>
      </c>
      <c r="X434">
        <v>6.3</v>
      </c>
      <c r="Y434">
        <v>135.01</v>
      </c>
      <c r="Z434">
        <v>6</v>
      </c>
      <c r="AA434" t="s">
        <v>46</v>
      </c>
    </row>
    <row r="435" spans="1:27" x14ac:dyDescent="0.3">
      <c r="A435" t="s">
        <v>526</v>
      </c>
      <c r="B435">
        <v>18</v>
      </c>
      <c r="C435" t="s">
        <v>28</v>
      </c>
      <c r="D435">
        <v>3.8</v>
      </c>
      <c r="E435" t="s">
        <v>29</v>
      </c>
      <c r="F435" t="s">
        <v>30</v>
      </c>
      <c r="G435" t="s">
        <v>86</v>
      </c>
      <c r="H435">
        <v>5.2</v>
      </c>
      <c r="I435" t="s">
        <v>41</v>
      </c>
      <c r="J435" t="s">
        <v>45</v>
      </c>
      <c r="K435" t="s">
        <v>62</v>
      </c>
      <c r="L435">
        <v>3.04</v>
      </c>
      <c r="N435" t="s">
        <v>80</v>
      </c>
      <c r="O435" t="s">
        <v>57</v>
      </c>
      <c r="P435" t="b">
        <v>0</v>
      </c>
      <c r="Q435" t="b">
        <v>0</v>
      </c>
      <c r="R435" t="b">
        <v>0</v>
      </c>
      <c r="S435" t="b">
        <v>0</v>
      </c>
      <c r="T435" t="b">
        <v>0</v>
      </c>
      <c r="U435">
        <v>1.1000000000000001</v>
      </c>
      <c r="V435">
        <v>9.9</v>
      </c>
      <c r="W435">
        <v>2</v>
      </c>
      <c r="X435">
        <v>8</v>
      </c>
      <c r="Y435">
        <v>21.62</v>
      </c>
      <c r="Z435">
        <v>6</v>
      </c>
      <c r="AA435" t="s">
        <v>46</v>
      </c>
    </row>
    <row r="436" spans="1:27" x14ac:dyDescent="0.3">
      <c r="A436" t="s">
        <v>527</v>
      </c>
      <c r="B436">
        <v>17</v>
      </c>
      <c r="C436" t="s">
        <v>28</v>
      </c>
      <c r="D436">
        <v>7.8</v>
      </c>
      <c r="E436" t="s">
        <v>29</v>
      </c>
      <c r="F436" t="s">
        <v>118</v>
      </c>
      <c r="G436" t="s">
        <v>86</v>
      </c>
      <c r="H436">
        <v>5.7</v>
      </c>
      <c r="I436" t="s">
        <v>78</v>
      </c>
      <c r="J436" t="s">
        <v>36</v>
      </c>
      <c r="K436" t="s">
        <v>34</v>
      </c>
      <c r="L436">
        <v>2.5299999999999998</v>
      </c>
      <c r="N436" t="s">
        <v>66</v>
      </c>
      <c r="O436" t="s">
        <v>45</v>
      </c>
      <c r="P436" t="b">
        <v>1</v>
      </c>
      <c r="Q436" t="b">
        <v>0</v>
      </c>
      <c r="R436" t="b">
        <v>1</v>
      </c>
      <c r="S436" t="b">
        <v>1</v>
      </c>
      <c r="T436" t="b">
        <v>1</v>
      </c>
      <c r="U436">
        <v>0.9</v>
      </c>
      <c r="V436">
        <v>6.2</v>
      </c>
      <c r="W436">
        <v>6</v>
      </c>
      <c r="X436">
        <v>4.5</v>
      </c>
      <c r="Y436">
        <v>147.19999999999999</v>
      </c>
      <c r="Z436">
        <v>4</v>
      </c>
      <c r="AA436" t="s">
        <v>58</v>
      </c>
    </row>
    <row r="437" spans="1:27" x14ac:dyDescent="0.3">
      <c r="A437" t="s">
        <v>528</v>
      </c>
      <c r="B437">
        <v>20</v>
      </c>
      <c r="C437" t="s">
        <v>28</v>
      </c>
      <c r="D437">
        <v>5.3</v>
      </c>
      <c r="E437" t="s">
        <v>48</v>
      </c>
      <c r="F437" t="s">
        <v>214</v>
      </c>
      <c r="G437" t="s">
        <v>86</v>
      </c>
      <c r="H437">
        <v>6.9</v>
      </c>
      <c r="I437" t="s">
        <v>41</v>
      </c>
      <c r="J437" t="s">
        <v>36</v>
      </c>
      <c r="K437" t="s">
        <v>43</v>
      </c>
      <c r="L437">
        <v>3.49</v>
      </c>
      <c r="M437">
        <v>5</v>
      </c>
      <c r="N437" t="s">
        <v>66</v>
      </c>
      <c r="O437" t="s">
        <v>33</v>
      </c>
      <c r="P437" t="b">
        <v>0</v>
      </c>
      <c r="Q437" t="b">
        <v>0</v>
      </c>
      <c r="R437" t="b">
        <v>0</v>
      </c>
      <c r="S437" t="b">
        <v>1</v>
      </c>
      <c r="T437" t="b">
        <v>0</v>
      </c>
      <c r="U437">
        <v>1.7</v>
      </c>
      <c r="V437">
        <v>5.6</v>
      </c>
      <c r="W437">
        <v>3</v>
      </c>
      <c r="X437">
        <v>9.6</v>
      </c>
      <c r="Y437">
        <v>97.04</v>
      </c>
      <c r="Z437">
        <v>7</v>
      </c>
      <c r="AA437" t="s">
        <v>46</v>
      </c>
    </row>
    <row r="438" spans="1:27" x14ac:dyDescent="0.3">
      <c r="A438" t="s">
        <v>529</v>
      </c>
      <c r="B438">
        <v>23</v>
      </c>
      <c r="C438" t="s">
        <v>28</v>
      </c>
      <c r="D438">
        <v>4.5999999999999996</v>
      </c>
      <c r="E438" t="s">
        <v>39</v>
      </c>
      <c r="F438" t="s">
        <v>93</v>
      </c>
      <c r="G438" t="s">
        <v>50</v>
      </c>
      <c r="H438">
        <v>5.4</v>
      </c>
      <c r="I438" t="s">
        <v>41</v>
      </c>
      <c r="J438" t="s">
        <v>36</v>
      </c>
      <c r="K438" t="s">
        <v>43</v>
      </c>
      <c r="M438">
        <v>5</v>
      </c>
      <c r="N438" t="s">
        <v>80</v>
      </c>
      <c r="O438" t="s">
        <v>36</v>
      </c>
      <c r="P438" t="b">
        <v>0</v>
      </c>
      <c r="Q438" t="b">
        <v>0</v>
      </c>
      <c r="R438" t="b">
        <v>0</v>
      </c>
      <c r="S438" t="b">
        <v>1</v>
      </c>
      <c r="T438" t="b">
        <v>0</v>
      </c>
      <c r="U438">
        <v>6.5</v>
      </c>
      <c r="V438">
        <v>9</v>
      </c>
      <c r="W438">
        <v>4</v>
      </c>
      <c r="X438">
        <v>9.6999999999999993</v>
      </c>
      <c r="Y438">
        <v>74.83</v>
      </c>
      <c r="Z438">
        <v>7</v>
      </c>
      <c r="AA438" t="s">
        <v>46</v>
      </c>
    </row>
    <row r="439" spans="1:27" x14ac:dyDescent="0.3">
      <c r="A439" t="s">
        <v>530</v>
      </c>
      <c r="B439">
        <v>22</v>
      </c>
      <c r="C439" t="s">
        <v>28</v>
      </c>
      <c r="D439">
        <v>3.7</v>
      </c>
      <c r="E439" t="s">
        <v>60</v>
      </c>
      <c r="F439" t="s">
        <v>102</v>
      </c>
      <c r="G439" t="s">
        <v>31</v>
      </c>
      <c r="H439">
        <v>5.3</v>
      </c>
      <c r="I439" t="s">
        <v>43</v>
      </c>
      <c r="J439" t="s">
        <v>74</v>
      </c>
      <c r="K439" t="s">
        <v>62</v>
      </c>
      <c r="L439">
        <v>2.31</v>
      </c>
      <c r="M439">
        <v>9</v>
      </c>
      <c r="N439" t="s">
        <v>35</v>
      </c>
      <c r="O439" t="s">
        <v>33</v>
      </c>
      <c r="P439" t="b">
        <v>0</v>
      </c>
      <c r="Q439" t="b">
        <v>0</v>
      </c>
      <c r="R439" t="b">
        <v>0</v>
      </c>
      <c r="S439" t="b">
        <v>0</v>
      </c>
      <c r="T439" t="b">
        <v>0</v>
      </c>
      <c r="U439">
        <v>2.5</v>
      </c>
      <c r="V439">
        <v>7.1</v>
      </c>
      <c r="W439">
        <v>1</v>
      </c>
      <c r="X439">
        <v>12.2</v>
      </c>
      <c r="Y439">
        <v>13.27</v>
      </c>
      <c r="Z439">
        <v>2</v>
      </c>
      <c r="AA439" t="s">
        <v>46</v>
      </c>
    </row>
    <row r="440" spans="1:27" x14ac:dyDescent="0.3">
      <c r="A440" t="s">
        <v>531</v>
      </c>
      <c r="B440">
        <v>17</v>
      </c>
      <c r="C440" t="s">
        <v>53</v>
      </c>
      <c r="D440">
        <v>3.9</v>
      </c>
      <c r="E440" t="s">
        <v>60</v>
      </c>
      <c r="F440" t="s">
        <v>200</v>
      </c>
      <c r="G440" t="s">
        <v>31</v>
      </c>
      <c r="H440">
        <v>6</v>
      </c>
      <c r="I440" t="s">
        <v>41</v>
      </c>
      <c r="J440" t="s">
        <v>36</v>
      </c>
      <c r="K440" t="s">
        <v>43</v>
      </c>
      <c r="L440">
        <v>1.67</v>
      </c>
      <c r="N440" t="s">
        <v>80</v>
      </c>
      <c r="O440" t="s">
        <v>57</v>
      </c>
      <c r="P440" t="b">
        <v>0</v>
      </c>
      <c r="Q440" t="b">
        <v>0</v>
      </c>
      <c r="R440" t="b">
        <v>0</v>
      </c>
      <c r="S440" t="b">
        <v>0</v>
      </c>
      <c r="T440" t="b">
        <v>0</v>
      </c>
      <c r="U440">
        <v>0.1</v>
      </c>
      <c r="V440">
        <v>6.1</v>
      </c>
      <c r="W440">
        <v>2</v>
      </c>
      <c r="X440">
        <v>12.5</v>
      </c>
      <c r="Y440">
        <v>34.03</v>
      </c>
      <c r="Z440">
        <v>7</v>
      </c>
      <c r="AA440" t="s">
        <v>46</v>
      </c>
    </row>
    <row r="441" spans="1:27" x14ac:dyDescent="0.3">
      <c r="A441" t="s">
        <v>532</v>
      </c>
      <c r="B441">
        <v>32</v>
      </c>
      <c r="C441" t="s">
        <v>53</v>
      </c>
      <c r="D441">
        <v>1</v>
      </c>
      <c r="E441" t="s">
        <v>48</v>
      </c>
      <c r="F441" t="s">
        <v>49</v>
      </c>
      <c r="G441" t="s">
        <v>86</v>
      </c>
      <c r="H441">
        <v>7.4</v>
      </c>
      <c r="I441" t="s">
        <v>43</v>
      </c>
      <c r="J441" t="s">
        <v>33</v>
      </c>
      <c r="K441" t="s">
        <v>34</v>
      </c>
      <c r="M441">
        <v>9</v>
      </c>
      <c r="N441" t="s">
        <v>66</v>
      </c>
      <c r="O441" t="s">
        <v>57</v>
      </c>
      <c r="P441" t="b">
        <v>0</v>
      </c>
      <c r="Q441" t="b">
        <v>0</v>
      </c>
      <c r="R441" t="b">
        <v>0</v>
      </c>
      <c r="S441" t="b">
        <v>0</v>
      </c>
      <c r="T441" t="b">
        <v>0</v>
      </c>
      <c r="U441">
        <v>0.2</v>
      </c>
      <c r="V441">
        <v>8</v>
      </c>
      <c r="W441">
        <v>1</v>
      </c>
      <c r="X441">
        <v>14.3</v>
      </c>
      <c r="Y441">
        <v>49.46</v>
      </c>
      <c r="Z441">
        <v>3</v>
      </c>
      <c r="AA441" t="s">
        <v>46</v>
      </c>
    </row>
    <row r="442" spans="1:27" x14ac:dyDescent="0.3">
      <c r="A442" t="s">
        <v>533</v>
      </c>
      <c r="B442">
        <v>18</v>
      </c>
      <c r="C442" t="s">
        <v>53</v>
      </c>
      <c r="D442">
        <v>4.5999999999999996</v>
      </c>
      <c r="E442" t="s">
        <v>82</v>
      </c>
      <c r="F442" t="s">
        <v>83</v>
      </c>
      <c r="G442" t="s">
        <v>50</v>
      </c>
      <c r="H442">
        <v>6.9</v>
      </c>
      <c r="I442" t="s">
        <v>41</v>
      </c>
      <c r="J442" t="s">
        <v>33</v>
      </c>
      <c r="K442" t="s">
        <v>62</v>
      </c>
      <c r="L442">
        <v>1.05</v>
      </c>
      <c r="N442" t="s">
        <v>63</v>
      </c>
      <c r="O442" t="s">
        <v>36</v>
      </c>
      <c r="P442" t="b">
        <v>0</v>
      </c>
      <c r="Q442" t="b">
        <v>0</v>
      </c>
      <c r="R442" t="b">
        <v>0</v>
      </c>
      <c r="S442" t="b">
        <v>0</v>
      </c>
      <c r="T442" t="b">
        <v>0</v>
      </c>
      <c r="U442">
        <v>0.4</v>
      </c>
      <c r="V442">
        <v>8.1999999999999993</v>
      </c>
      <c r="W442">
        <v>2</v>
      </c>
      <c r="X442">
        <v>6.2</v>
      </c>
      <c r="Y442">
        <v>100.04</v>
      </c>
      <c r="Z442">
        <v>2</v>
      </c>
      <c r="AA442" t="s">
        <v>46</v>
      </c>
    </row>
    <row r="443" spans="1:27" x14ac:dyDescent="0.3">
      <c r="A443" t="s">
        <v>534</v>
      </c>
      <c r="B443">
        <v>17</v>
      </c>
      <c r="C443" t="s">
        <v>53</v>
      </c>
      <c r="D443">
        <v>5.8</v>
      </c>
      <c r="E443" t="s">
        <v>60</v>
      </c>
      <c r="F443" t="s">
        <v>102</v>
      </c>
      <c r="G443" t="s">
        <v>31</v>
      </c>
      <c r="H443">
        <v>6.4</v>
      </c>
      <c r="I443" t="s">
        <v>41</v>
      </c>
      <c r="J443" t="s">
        <v>74</v>
      </c>
      <c r="K443" t="s">
        <v>43</v>
      </c>
      <c r="L443">
        <v>3.6</v>
      </c>
      <c r="N443" t="s">
        <v>63</v>
      </c>
      <c r="O443" t="s">
        <v>45</v>
      </c>
      <c r="P443" t="b">
        <v>0</v>
      </c>
      <c r="Q443" t="b">
        <v>0</v>
      </c>
      <c r="R443" t="b">
        <v>0</v>
      </c>
      <c r="S443" t="b">
        <v>1</v>
      </c>
      <c r="T443" t="b">
        <v>0</v>
      </c>
      <c r="U443">
        <v>3.6</v>
      </c>
      <c r="V443">
        <v>6.4</v>
      </c>
      <c r="W443">
        <v>4</v>
      </c>
      <c r="X443">
        <v>7</v>
      </c>
      <c r="Y443">
        <v>87.25</v>
      </c>
      <c r="Z443">
        <v>5</v>
      </c>
      <c r="AA443" t="s">
        <v>46</v>
      </c>
    </row>
    <row r="444" spans="1:27" x14ac:dyDescent="0.3">
      <c r="A444" t="s">
        <v>535</v>
      </c>
      <c r="B444">
        <v>14</v>
      </c>
      <c r="C444" t="s">
        <v>28</v>
      </c>
      <c r="D444">
        <v>11.4</v>
      </c>
      <c r="E444" t="s">
        <v>48</v>
      </c>
      <c r="F444" t="s">
        <v>68</v>
      </c>
      <c r="G444" t="s">
        <v>50</v>
      </c>
      <c r="H444">
        <v>4.8</v>
      </c>
      <c r="I444" t="s">
        <v>32</v>
      </c>
      <c r="J444" t="s">
        <v>33</v>
      </c>
      <c r="K444" t="s">
        <v>129</v>
      </c>
      <c r="L444">
        <v>2.61</v>
      </c>
      <c r="N444" t="s">
        <v>69</v>
      </c>
      <c r="O444" t="s">
        <v>57</v>
      </c>
      <c r="P444" t="b">
        <v>0</v>
      </c>
      <c r="Q444" t="b">
        <v>1</v>
      </c>
      <c r="R444" t="b">
        <v>0</v>
      </c>
      <c r="S444" t="b">
        <v>1</v>
      </c>
      <c r="T444" t="b">
        <v>1</v>
      </c>
      <c r="U444">
        <v>5.3</v>
      </c>
      <c r="V444">
        <v>3.2</v>
      </c>
      <c r="W444">
        <v>6</v>
      </c>
      <c r="X444">
        <v>3.2</v>
      </c>
      <c r="Y444">
        <v>237.13</v>
      </c>
      <c r="Z444">
        <v>3</v>
      </c>
      <c r="AA444" t="s">
        <v>58</v>
      </c>
    </row>
    <row r="445" spans="1:27" x14ac:dyDescent="0.3">
      <c r="A445" t="s">
        <v>536</v>
      </c>
      <c r="B445">
        <v>17</v>
      </c>
      <c r="C445" t="s">
        <v>28</v>
      </c>
      <c r="D445">
        <v>2.5</v>
      </c>
      <c r="E445" t="s">
        <v>48</v>
      </c>
      <c r="F445" t="s">
        <v>214</v>
      </c>
      <c r="G445" t="s">
        <v>86</v>
      </c>
      <c r="H445">
        <v>8.4</v>
      </c>
      <c r="I445" t="s">
        <v>41</v>
      </c>
      <c r="J445" t="s">
        <v>42</v>
      </c>
      <c r="K445" t="s">
        <v>84</v>
      </c>
      <c r="L445">
        <v>2.61</v>
      </c>
      <c r="N445" t="s">
        <v>66</v>
      </c>
      <c r="O445" t="s">
        <v>45</v>
      </c>
      <c r="P445" t="b">
        <v>0</v>
      </c>
      <c r="Q445" t="b">
        <v>0</v>
      </c>
      <c r="R445" t="b">
        <v>0</v>
      </c>
      <c r="S445" t="b">
        <v>0</v>
      </c>
      <c r="T445" t="b">
        <v>0</v>
      </c>
      <c r="U445">
        <v>0.5</v>
      </c>
      <c r="V445">
        <v>8.6999999999999993</v>
      </c>
      <c r="W445">
        <v>1</v>
      </c>
      <c r="X445">
        <v>9.9</v>
      </c>
      <c r="Y445">
        <v>14.02</v>
      </c>
      <c r="Z445">
        <v>6</v>
      </c>
      <c r="AA445" t="s">
        <v>46</v>
      </c>
    </row>
    <row r="446" spans="1:27" x14ac:dyDescent="0.3">
      <c r="A446" t="s">
        <v>537</v>
      </c>
      <c r="B446">
        <v>25</v>
      </c>
      <c r="C446" t="s">
        <v>53</v>
      </c>
      <c r="D446">
        <v>5.2</v>
      </c>
      <c r="E446" t="s">
        <v>60</v>
      </c>
      <c r="F446" t="s">
        <v>200</v>
      </c>
      <c r="G446" t="s">
        <v>86</v>
      </c>
      <c r="H446">
        <v>6</v>
      </c>
      <c r="I446" t="s">
        <v>41</v>
      </c>
      <c r="J446" t="s">
        <v>74</v>
      </c>
      <c r="K446" t="s">
        <v>84</v>
      </c>
      <c r="M446">
        <v>4</v>
      </c>
      <c r="N446" t="s">
        <v>63</v>
      </c>
      <c r="O446" t="s">
        <v>36</v>
      </c>
      <c r="P446" t="b">
        <v>0</v>
      </c>
      <c r="Q446" t="b">
        <v>0</v>
      </c>
      <c r="R446" t="b">
        <v>0</v>
      </c>
      <c r="S446" t="b">
        <v>1</v>
      </c>
      <c r="T446" t="b">
        <v>0</v>
      </c>
      <c r="U446">
        <v>1.5</v>
      </c>
      <c r="V446">
        <v>8.1</v>
      </c>
      <c r="W446">
        <v>3</v>
      </c>
      <c r="X446">
        <v>10.4</v>
      </c>
      <c r="Y446">
        <v>54.39</v>
      </c>
      <c r="Z446">
        <v>1</v>
      </c>
      <c r="AA446" t="s">
        <v>46</v>
      </c>
    </row>
    <row r="447" spans="1:27" x14ac:dyDescent="0.3">
      <c r="A447" t="s">
        <v>538</v>
      </c>
      <c r="B447">
        <v>18</v>
      </c>
      <c r="C447" t="s">
        <v>28</v>
      </c>
      <c r="D447">
        <v>8.1</v>
      </c>
      <c r="E447" t="s">
        <v>29</v>
      </c>
      <c r="F447" t="s">
        <v>73</v>
      </c>
      <c r="G447" t="s">
        <v>50</v>
      </c>
      <c r="H447">
        <v>4.2</v>
      </c>
      <c r="I447" t="s">
        <v>51</v>
      </c>
      <c r="J447" t="s">
        <v>74</v>
      </c>
      <c r="K447" t="s">
        <v>34</v>
      </c>
      <c r="L447">
        <v>3.21</v>
      </c>
      <c r="N447" t="s">
        <v>63</v>
      </c>
      <c r="O447" t="s">
        <v>57</v>
      </c>
      <c r="P447" t="b">
        <v>1</v>
      </c>
      <c r="Q447" t="b">
        <v>1</v>
      </c>
      <c r="R447" t="b">
        <v>0</v>
      </c>
      <c r="S447" t="b">
        <v>0</v>
      </c>
      <c r="T447" t="b">
        <v>0</v>
      </c>
      <c r="U447">
        <v>0.8</v>
      </c>
      <c r="V447">
        <v>4.8</v>
      </c>
      <c r="W447">
        <v>4</v>
      </c>
      <c r="X447">
        <v>6.1</v>
      </c>
      <c r="Y447">
        <v>67.44</v>
      </c>
      <c r="Z447">
        <v>6</v>
      </c>
      <c r="AA447" t="s">
        <v>58</v>
      </c>
    </row>
    <row r="448" spans="1:27" x14ac:dyDescent="0.3">
      <c r="A448" t="s">
        <v>539</v>
      </c>
      <c r="B448">
        <v>18</v>
      </c>
      <c r="C448" t="s">
        <v>53</v>
      </c>
      <c r="D448">
        <v>1.6</v>
      </c>
      <c r="E448" t="s">
        <v>54</v>
      </c>
      <c r="F448" t="s">
        <v>89</v>
      </c>
      <c r="G448" t="s">
        <v>86</v>
      </c>
      <c r="H448">
        <v>7</v>
      </c>
      <c r="I448" t="s">
        <v>43</v>
      </c>
      <c r="J448" t="s">
        <v>45</v>
      </c>
      <c r="K448" t="s">
        <v>62</v>
      </c>
      <c r="L448">
        <v>3.63</v>
      </c>
      <c r="N448" t="s">
        <v>66</v>
      </c>
      <c r="O448" t="s">
        <v>45</v>
      </c>
      <c r="P448" t="b">
        <v>0</v>
      </c>
      <c r="Q448" t="b">
        <v>0</v>
      </c>
      <c r="R448" t="b">
        <v>0</v>
      </c>
      <c r="S448" t="b">
        <v>0</v>
      </c>
      <c r="T448" t="b">
        <v>0</v>
      </c>
      <c r="U448">
        <v>0.1</v>
      </c>
      <c r="V448">
        <v>9.5</v>
      </c>
      <c r="W448">
        <v>1</v>
      </c>
      <c r="X448">
        <v>13</v>
      </c>
      <c r="Y448">
        <v>9.19</v>
      </c>
      <c r="Z448">
        <v>8</v>
      </c>
      <c r="AA448" t="s">
        <v>46</v>
      </c>
    </row>
    <row r="449" spans="1:27" x14ac:dyDescent="0.3">
      <c r="A449" t="s">
        <v>540</v>
      </c>
      <c r="B449">
        <v>19</v>
      </c>
      <c r="C449" t="s">
        <v>53</v>
      </c>
      <c r="D449">
        <v>2.1</v>
      </c>
      <c r="E449" t="s">
        <v>76</v>
      </c>
      <c r="F449" t="s">
        <v>126</v>
      </c>
      <c r="G449" t="s">
        <v>31</v>
      </c>
      <c r="H449">
        <v>8.9</v>
      </c>
      <c r="I449" t="s">
        <v>43</v>
      </c>
      <c r="J449" t="s">
        <v>74</v>
      </c>
      <c r="K449" t="s">
        <v>43</v>
      </c>
      <c r="L449">
        <v>1.32</v>
      </c>
      <c r="M449">
        <v>10</v>
      </c>
      <c r="N449" t="s">
        <v>66</v>
      </c>
      <c r="O449" t="s">
        <v>42</v>
      </c>
      <c r="P449" t="b">
        <v>0</v>
      </c>
      <c r="Q449" t="b">
        <v>0</v>
      </c>
      <c r="R449" t="b">
        <v>0</v>
      </c>
      <c r="S449" t="b">
        <v>0</v>
      </c>
      <c r="T449" t="b">
        <v>0</v>
      </c>
      <c r="U449">
        <v>0.1</v>
      </c>
      <c r="V449">
        <v>7.6</v>
      </c>
      <c r="W449">
        <v>2</v>
      </c>
      <c r="X449">
        <v>14.5</v>
      </c>
      <c r="Y449">
        <v>33.11</v>
      </c>
      <c r="Z449">
        <v>5</v>
      </c>
      <c r="AA449" t="s">
        <v>46</v>
      </c>
    </row>
    <row r="450" spans="1:27" x14ac:dyDescent="0.3">
      <c r="A450" t="s">
        <v>541</v>
      </c>
      <c r="B450">
        <v>21</v>
      </c>
      <c r="C450" t="s">
        <v>28</v>
      </c>
      <c r="D450">
        <v>9.1</v>
      </c>
      <c r="E450" t="s">
        <v>82</v>
      </c>
      <c r="F450" t="s">
        <v>134</v>
      </c>
      <c r="G450" t="s">
        <v>50</v>
      </c>
      <c r="H450">
        <v>5.3</v>
      </c>
      <c r="I450" t="s">
        <v>32</v>
      </c>
      <c r="J450" t="s">
        <v>36</v>
      </c>
      <c r="K450" t="s">
        <v>51</v>
      </c>
      <c r="L450">
        <v>1.88</v>
      </c>
      <c r="M450">
        <v>4</v>
      </c>
      <c r="N450" t="s">
        <v>35</v>
      </c>
      <c r="O450" t="s">
        <v>57</v>
      </c>
      <c r="P450" t="b">
        <v>0</v>
      </c>
      <c r="Q450" t="b">
        <v>1</v>
      </c>
      <c r="R450" t="b">
        <v>1</v>
      </c>
      <c r="S450" t="b">
        <v>1</v>
      </c>
      <c r="T450" t="b">
        <v>1</v>
      </c>
      <c r="U450">
        <v>1.5</v>
      </c>
      <c r="V450">
        <v>3.8</v>
      </c>
      <c r="W450">
        <v>4</v>
      </c>
      <c r="X450">
        <v>7.1</v>
      </c>
      <c r="Y450">
        <v>493.27</v>
      </c>
      <c r="Z450">
        <v>11</v>
      </c>
      <c r="AA450" t="s">
        <v>37</v>
      </c>
    </row>
    <row r="451" spans="1:27" x14ac:dyDescent="0.3">
      <c r="A451" t="s">
        <v>542</v>
      </c>
      <c r="B451">
        <v>20</v>
      </c>
      <c r="C451" t="s">
        <v>53</v>
      </c>
      <c r="D451">
        <v>4.0999999999999996</v>
      </c>
      <c r="E451" t="s">
        <v>39</v>
      </c>
      <c r="F451" t="s">
        <v>120</v>
      </c>
      <c r="G451" t="s">
        <v>31</v>
      </c>
      <c r="H451">
        <v>6.9</v>
      </c>
      <c r="I451" t="s">
        <v>51</v>
      </c>
      <c r="J451" t="s">
        <v>74</v>
      </c>
      <c r="K451" t="s">
        <v>84</v>
      </c>
      <c r="L451">
        <v>2.52</v>
      </c>
      <c r="M451">
        <v>4</v>
      </c>
      <c r="N451" t="s">
        <v>69</v>
      </c>
      <c r="O451" t="s">
        <v>45</v>
      </c>
      <c r="P451" t="b">
        <v>0</v>
      </c>
      <c r="Q451" t="b">
        <v>0</v>
      </c>
      <c r="R451" t="b">
        <v>0</v>
      </c>
      <c r="S451" t="b">
        <v>0</v>
      </c>
      <c r="T451" t="b">
        <v>0</v>
      </c>
      <c r="U451">
        <v>0</v>
      </c>
      <c r="V451">
        <v>8.5</v>
      </c>
      <c r="W451">
        <v>2</v>
      </c>
      <c r="X451">
        <v>7.8</v>
      </c>
      <c r="Y451">
        <v>38.82</v>
      </c>
      <c r="Z451">
        <v>2</v>
      </c>
      <c r="AA451" t="s">
        <v>46</v>
      </c>
    </row>
    <row r="452" spans="1:27" x14ac:dyDescent="0.3">
      <c r="A452" t="s">
        <v>543</v>
      </c>
      <c r="B452">
        <v>15</v>
      </c>
      <c r="C452" t="s">
        <v>53</v>
      </c>
      <c r="D452">
        <v>9.5</v>
      </c>
      <c r="E452" t="s">
        <v>76</v>
      </c>
      <c r="F452" t="s">
        <v>77</v>
      </c>
      <c r="G452" t="s">
        <v>50</v>
      </c>
      <c r="H452">
        <v>3.8</v>
      </c>
      <c r="I452" t="s">
        <v>32</v>
      </c>
      <c r="J452" t="s">
        <v>42</v>
      </c>
      <c r="K452" t="s">
        <v>34</v>
      </c>
      <c r="L452">
        <v>3.53</v>
      </c>
      <c r="N452" t="s">
        <v>63</v>
      </c>
      <c r="O452" t="s">
        <v>42</v>
      </c>
      <c r="P452" t="b">
        <v>0</v>
      </c>
      <c r="Q452" t="b">
        <v>1</v>
      </c>
      <c r="R452" t="b">
        <v>1</v>
      </c>
      <c r="S452" t="b">
        <v>1</v>
      </c>
      <c r="T452" t="b">
        <v>1</v>
      </c>
      <c r="U452">
        <v>1.5</v>
      </c>
      <c r="V452">
        <v>3.7</v>
      </c>
      <c r="W452">
        <v>5</v>
      </c>
      <c r="X452">
        <v>5.8</v>
      </c>
      <c r="Y452">
        <v>229.59</v>
      </c>
      <c r="Z452">
        <v>1</v>
      </c>
      <c r="AA452" t="s">
        <v>37</v>
      </c>
    </row>
    <row r="453" spans="1:27" x14ac:dyDescent="0.3">
      <c r="A453" t="s">
        <v>544</v>
      </c>
      <c r="B453">
        <v>21</v>
      </c>
      <c r="C453" t="s">
        <v>28</v>
      </c>
      <c r="D453">
        <v>5</v>
      </c>
      <c r="E453" t="s">
        <v>82</v>
      </c>
      <c r="F453" t="s">
        <v>134</v>
      </c>
      <c r="G453" t="s">
        <v>31</v>
      </c>
      <c r="H453">
        <v>6.6</v>
      </c>
      <c r="I453" t="s">
        <v>43</v>
      </c>
      <c r="J453" t="s">
        <v>42</v>
      </c>
      <c r="K453" t="s">
        <v>43</v>
      </c>
      <c r="L453">
        <v>1.65</v>
      </c>
      <c r="M453">
        <v>8</v>
      </c>
      <c r="N453" t="s">
        <v>105</v>
      </c>
      <c r="O453" t="s">
        <v>36</v>
      </c>
      <c r="P453" t="b">
        <v>0</v>
      </c>
      <c r="Q453" t="b">
        <v>0</v>
      </c>
      <c r="R453" t="b">
        <v>0</v>
      </c>
      <c r="S453" t="b">
        <v>0</v>
      </c>
      <c r="T453" t="b">
        <v>0</v>
      </c>
      <c r="U453">
        <v>1.4</v>
      </c>
      <c r="V453">
        <v>8.8000000000000007</v>
      </c>
      <c r="W453">
        <v>3</v>
      </c>
      <c r="X453">
        <v>6.8</v>
      </c>
      <c r="Y453">
        <v>25.71</v>
      </c>
      <c r="Z453">
        <v>1</v>
      </c>
      <c r="AA453" t="s">
        <v>46</v>
      </c>
    </row>
    <row r="454" spans="1:27" x14ac:dyDescent="0.3">
      <c r="A454" t="s">
        <v>545</v>
      </c>
      <c r="B454">
        <v>15</v>
      </c>
      <c r="C454" t="s">
        <v>28</v>
      </c>
      <c r="D454">
        <v>3.7</v>
      </c>
      <c r="E454" t="s">
        <v>39</v>
      </c>
      <c r="F454" t="s">
        <v>93</v>
      </c>
      <c r="G454" t="s">
        <v>31</v>
      </c>
      <c r="H454">
        <v>6.6</v>
      </c>
      <c r="I454" t="s">
        <v>32</v>
      </c>
      <c r="J454" t="s">
        <v>42</v>
      </c>
      <c r="K454" t="s">
        <v>43</v>
      </c>
      <c r="L454">
        <v>1.51</v>
      </c>
      <c r="N454" t="s">
        <v>80</v>
      </c>
      <c r="O454" t="s">
        <v>45</v>
      </c>
      <c r="P454" t="b">
        <v>0</v>
      </c>
      <c r="Q454" t="b">
        <v>0</v>
      </c>
      <c r="R454" t="b">
        <v>0</v>
      </c>
      <c r="S454" t="b">
        <v>0</v>
      </c>
      <c r="T454" t="b">
        <v>0</v>
      </c>
      <c r="U454">
        <v>0.2</v>
      </c>
      <c r="V454">
        <v>7.1</v>
      </c>
      <c r="W454">
        <v>2</v>
      </c>
      <c r="X454">
        <v>10.3</v>
      </c>
      <c r="Y454">
        <v>19.239999999999998</v>
      </c>
      <c r="Z454">
        <v>1</v>
      </c>
      <c r="AA454" t="s">
        <v>46</v>
      </c>
    </row>
    <row r="455" spans="1:27" x14ac:dyDescent="0.3">
      <c r="A455" t="s">
        <v>546</v>
      </c>
      <c r="B455">
        <v>20</v>
      </c>
      <c r="C455" t="s">
        <v>53</v>
      </c>
      <c r="D455">
        <v>6.2</v>
      </c>
      <c r="E455" t="s">
        <v>29</v>
      </c>
      <c r="F455" t="s">
        <v>30</v>
      </c>
      <c r="G455" t="s">
        <v>71</v>
      </c>
      <c r="H455">
        <v>5.3</v>
      </c>
      <c r="I455" t="s">
        <v>51</v>
      </c>
      <c r="J455" t="s">
        <v>45</v>
      </c>
      <c r="K455" t="s">
        <v>43</v>
      </c>
      <c r="L455">
        <v>1.95</v>
      </c>
      <c r="M455">
        <v>10</v>
      </c>
      <c r="N455" t="s">
        <v>69</v>
      </c>
      <c r="O455" t="s">
        <v>33</v>
      </c>
      <c r="P455" t="b">
        <v>0</v>
      </c>
      <c r="Q455" t="b">
        <v>1</v>
      </c>
      <c r="R455" t="b">
        <v>0</v>
      </c>
      <c r="S455" t="b">
        <v>1</v>
      </c>
      <c r="T455" t="b">
        <v>1</v>
      </c>
      <c r="U455">
        <v>1.1000000000000001</v>
      </c>
      <c r="V455">
        <v>8.4</v>
      </c>
      <c r="W455">
        <v>4</v>
      </c>
      <c r="X455">
        <v>7.8</v>
      </c>
      <c r="Y455">
        <v>47.33</v>
      </c>
      <c r="Z455">
        <v>3</v>
      </c>
      <c r="AA455" t="s">
        <v>64</v>
      </c>
    </row>
    <row r="456" spans="1:27" x14ac:dyDescent="0.3">
      <c r="A456" t="s">
        <v>547</v>
      </c>
      <c r="B456">
        <v>26</v>
      </c>
      <c r="C456" t="s">
        <v>28</v>
      </c>
      <c r="D456">
        <v>5.4</v>
      </c>
      <c r="E456" t="s">
        <v>54</v>
      </c>
      <c r="F456" t="s">
        <v>89</v>
      </c>
      <c r="G456" t="s">
        <v>71</v>
      </c>
      <c r="H456">
        <v>5.7</v>
      </c>
      <c r="I456" t="s">
        <v>51</v>
      </c>
      <c r="J456" t="s">
        <v>42</v>
      </c>
      <c r="K456" t="s">
        <v>62</v>
      </c>
      <c r="M456">
        <v>2</v>
      </c>
      <c r="N456" t="s">
        <v>80</v>
      </c>
      <c r="O456" t="s">
        <v>45</v>
      </c>
      <c r="P456" t="b">
        <v>0</v>
      </c>
      <c r="Q456" t="b">
        <v>0</v>
      </c>
      <c r="R456" t="b">
        <v>0</v>
      </c>
      <c r="S456" t="b">
        <v>0</v>
      </c>
      <c r="T456" t="b">
        <v>0</v>
      </c>
      <c r="U456">
        <v>0.6</v>
      </c>
      <c r="V456">
        <v>9.1</v>
      </c>
      <c r="W456">
        <v>3</v>
      </c>
      <c r="X456">
        <v>11.4</v>
      </c>
      <c r="Y456">
        <v>118.39</v>
      </c>
      <c r="Z456">
        <v>12</v>
      </c>
      <c r="AA456" t="s">
        <v>46</v>
      </c>
    </row>
    <row r="457" spans="1:27" x14ac:dyDescent="0.3">
      <c r="A457" t="s">
        <v>548</v>
      </c>
      <c r="B457">
        <v>15</v>
      </c>
      <c r="C457" t="s">
        <v>28</v>
      </c>
      <c r="D457">
        <v>6.8</v>
      </c>
      <c r="E457" t="s">
        <v>39</v>
      </c>
      <c r="F457" t="s">
        <v>40</v>
      </c>
      <c r="G457" t="s">
        <v>31</v>
      </c>
      <c r="H457">
        <v>4.5</v>
      </c>
      <c r="I457" t="s">
        <v>51</v>
      </c>
      <c r="J457" t="s">
        <v>45</v>
      </c>
      <c r="K457" t="s">
        <v>51</v>
      </c>
      <c r="L457">
        <v>1.93</v>
      </c>
      <c r="N457" t="s">
        <v>44</v>
      </c>
      <c r="O457" t="s">
        <v>45</v>
      </c>
      <c r="P457" t="b">
        <v>0</v>
      </c>
      <c r="Q457" t="b">
        <v>0</v>
      </c>
      <c r="R457" t="b">
        <v>0</v>
      </c>
      <c r="S457" t="b">
        <v>1</v>
      </c>
      <c r="T457" t="b">
        <v>0</v>
      </c>
      <c r="U457">
        <v>1.4</v>
      </c>
      <c r="V457">
        <v>6.3</v>
      </c>
      <c r="W457">
        <v>4</v>
      </c>
      <c r="X457">
        <v>8.5</v>
      </c>
      <c r="Y457">
        <v>25.24</v>
      </c>
      <c r="Z457">
        <v>5</v>
      </c>
      <c r="AA457" t="s">
        <v>46</v>
      </c>
    </row>
    <row r="458" spans="1:27" x14ac:dyDescent="0.3">
      <c r="A458" t="s">
        <v>549</v>
      </c>
      <c r="B458">
        <v>20</v>
      </c>
      <c r="C458" t="s">
        <v>28</v>
      </c>
      <c r="D458">
        <v>4.0999999999999996</v>
      </c>
      <c r="E458" t="s">
        <v>82</v>
      </c>
      <c r="F458" t="s">
        <v>134</v>
      </c>
      <c r="G458" t="s">
        <v>50</v>
      </c>
      <c r="H458">
        <v>5.3</v>
      </c>
      <c r="I458" t="s">
        <v>41</v>
      </c>
      <c r="J458" t="s">
        <v>42</v>
      </c>
      <c r="K458" t="s">
        <v>62</v>
      </c>
      <c r="L458">
        <v>1.04</v>
      </c>
      <c r="M458">
        <v>2</v>
      </c>
      <c r="N458" t="s">
        <v>63</v>
      </c>
      <c r="O458" t="s">
        <v>57</v>
      </c>
      <c r="P458" t="b">
        <v>0</v>
      </c>
      <c r="Q458" t="b">
        <v>0</v>
      </c>
      <c r="R458" t="b">
        <v>0</v>
      </c>
      <c r="S458" t="b">
        <v>0</v>
      </c>
      <c r="T458" t="b">
        <v>0</v>
      </c>
      <c r="U458">
        <v>2</v>
      </c>
      <c r="V458">
        <v>7.2</v>
      </c>
      <c r="W458">
        <v>1</v>
      </c>
      <c r="X458">
        <v>9.1</v>
      </c>
      <c r="Y458">
        <v>39.06</v>
      </c>
      <c r="Z458">
        <v>3</v>
      </c>
      <c r="AA458" t="s">
        <v>46</v>
      </c>
    </row>
    <row r="459" spans="1:27" x14ac:dyDescent="0.3">
      <c r="A459" t="s">
        <v>550</v>
      </c>
      <c r="B459">
        <v>30</v>
      </c>
      <c r="C459" t="s">
        <v>28</v>
      </c>
      <c r="D459">
        <v>5.9</v>
      </c>
      <c r="E459" t="s">
        <v>29</v>
      </c>
      <c r="F459" t="s">
        <v>118</v>
      </c>
      <c r="G459" t="s">
        <v>31</v>
      </c>
      <c r="H459">
        <v>5.3</v>
      </c>
      <c r="I459" t="s">
        <v>43</v>
      </c>
      <c r="J459" t="s">
        <v>74</v>
      </c>
      <c r="K459" t="s">
        <v>62</v>
      </c>
      <c r="M459">
        <v>1</v>
      </c>
      <c r="N459" t="s">
        <v>44</v>
      </c>
      <c r="O459" t="s">
        <v>36</v>
      </c>
      <c r="P459" t="b">
        <v>0</v>
      </c>
      <c r="Q459" t="b">
        <v>0</v>
      </c>
      <c r="R459" t="b">
        <v>0</v>
      </c>
      <c r="S459" t="b">
        <v>1</v>
      </c>
      <c r="T459" t="b">
        <v>0</v>
      </c>
      <c r="U459">
        <v>0.3</v>
      </c>
      <c r="V459">
        <v>6.1</v>
      </c>
      <c r="W459">
        <v>4</v>
      </c>
      <c r="X459">
        <v>9.5</v>
      </c>
      <c r="Y459">
        <v>32.6</v>
      </c>
      <c r="Z459">
        <v>8</v>
      </c>
      <c r="AA459" t="s">
        <v>46</v>
      </c>
    </row>
    <row r="460" spans="1:27" x14ac:dyDescent="0.3">
      <c r="A460" t="s">
        <v>551</v>
      </c>
      <c r="B460">
        <v>16</v>
      </c>
      <c r="C460" t="s">
        <v>28</v>
      </c>
      <c r="D460">
        <v>8.5</v>
      </c>
      <c r="E460" t="s">
        <v>60</v>
      </c>
      <c r="F460" t="s">
        <v>200</v>
      </c>
      <c r="G460" t="s">
        <v>86</v>
      </c>
      <c r="H460">
        <v>3.3</v>
      </c>
      <c r="I460" t="s">
        <v>51</v>
      </c>
      <c r="J460" t="s">
        <v>36</v>
      </c>
      <c r="K460" t="s">
        <v>62</v>
      </c>
      <c r="L460">
        <v>1.52</v>
      </c>
      <c r="N460" t="s">
        <v>63</v>
      </c>
      <c r="O460" t="s">
        <v>33</v>
      </c>
      <c r="P460" t="b">
        <v>0</v>
      </c>
      <c r="Q460" t="b">
        <v>0</v>
      </c>
      <c r="R460" t="b">
        <v>1</v>
      </c>
      <c r="S460" t="b">
        <v>1</v>
      </c>
      <c r="T460" t="b">
        <v>1</v>
      </c>
      <c r="U460">
        <v>0.9</v>
      </c>
      <c r="V460">
        <v>5.8</v>
      </c>
      <c r="W460">
        <v>5</v>
      </c>
      <c r="X460">
        <v>7.4</v>
      </c>
      <c r="Y460">
        <v>97.89</v>
      </c>
      <c r="Z460">
        <v>3</v>
      </c>
      <c r="AA460" t="s">
        <v>64</v>
      </c>
    </row>
    <row r="461" spans="1:27" x14ac:dyDescent="0.3">
      <c r="A461" t="s">
        <v>552</v>
      </c>
      <c r="B461">
        <v>21</v>
      </c>
      <c r="C461" t="s">
        <v>28</v>
      </c>
      <c r="D461">
        <v>7.7</v>
      </c>
      <c r="E461" t="s">
        <v>54</v>
      </c>
      <c r="F461" t="s">
        <v>89</v>
      </c>
      <c r="G461" t="s">
        <v>31</v>
      </c>
      <c r="H461">
        <v>3.3</v>
      </c>
      <c r="I461" t="s">
        <v>32</v>
      </c>
      <c r="J461" t="s">
        <v>45</v>
      </c>
      <c r="K461" t="s">
        <v>34</v>
      </c>
      <c r="L461">
        <v>2.2799999999999998</v>
      </c>
      <c r="M461">
        <v>9</v>
      </c>
      <c r="N461" t="s">
        <v>35</v>
      </c>
      <c r="O461" t="s">
        <v>45</v>
      </c>
      <c r="P461" t="b">
        <v>1</v>
      </c>
      <c r="Q461" t="b">
        <v>1</v>
      </c>
      <c r="R461" t="b">
        <v>0</v>
      </c>
      <c r="S461" t="b">
        <v>1</v>
      </c>
      <c r="T461" t="b">
        <v>1</v>
      </c>
      <c r="U461">
        <v>1.2</v>
      </c>
      <c r="V461">
        <v>4.4000000000000004</v>
      </c>
      <c r="W461">
        <v>5</v>
      </c>
      <c r="X461">
        <v>3.3</v>
      </c>
      <c r="Y461">
        <v>93.4</v>
      </c>
      <c r="Z461">
        <v>8</v>
      </c>
      <c r="AA461" t="s">
        <v>58</v>
      </c>
    </row>
    <row r="462" spans="1:27" x14ac:dyDescent="0.3">
      <c r="A462" t="s">
        <v>553</v>
      </c>
      <c r="B462">
        <v>16</v>
      </c>
      <c r="C462" t="s">
        <v>28</v>
      </c>
      <c r="D462">
        <v>6</v>
      </c>
      <c r="E462" t="s">
        <v>54</v>
      </c>
      <c r="F462" t="s">
        <v>89</v>
      </c>
      <c r="G462" t="s">
        <v>31</v>
      </c>
      <c r="H462">
        <v>6.6</v>
      </c>
      <c r="I462" t="s">
        <v>43</v>
      </c>
      <c r="J462" t="s">
        <v>42</v>
      </c>
      <c r="K462" t="s">
        <v>62</v>
      </c>
      <c r="L462">
        <v>3.61</v>
      </c>
      <c r="N462" t="s">
        <v>80</v>
      </c>
      <c r="O462" t="s">
        <v>33</v>
      </c>
      <c r="P462" t="b">
        <v>0</v>
      </c>
      <c r="Q462" t="b">
        <v>0</v>
      </c>
      <c r="R462" t="b">
        <v>0</v>
      </c>
      <c r="S462" t="b">
        <v>1</v>
      </c>
      <c r="T462" t="b">
        <v>1</v>
      </c>
      <c r="U462">
        <v>1.6</v>
      </c>
      <c r="V462">
        <v>6</v>
      </c>
      <c r="W462">
        <v>3</v>
      </c>
      <c r="X462">
        <v>8.6999999999999993</v>
      </c>
      <c r="Y462">
        <v>35.94</v>
      </c>
      <c r="Z462">
        <v>4</v>
      </c>
      <c r="AA462" t="s">
        <v>46</v>
      </c>
    </row>
    <row r="463" spans="1:27" x14ac:dyDescent="0.3">
      <c r="A463" t="s">
        <v>554</v>
      </c>
      <c r="B463">
        <v>21</v>
      </c>
      <c r="C463" t="s">
        <v>28</v>
      </c>
      <c r="D463">
        <v>5.5</v>
      </c>
      <c r="E463" t="s">
        <v>76</v>
      </c>
      <c r="F463" t="s">
        <v>77</v>
      </c>
      <c r="G463" t="s">
        <v>71</v>
      </c>
      <c r="H463">
        <v>5.5</v>
      </c>
      <c r="I463" t="s">
        <v>43</v>
      </c>
      <c r="J463" t="s">
        <v>74</v>
      </c>
      <c r="K463" t="s">
        <v>51</v>
      </c>
      <c r="L463">
        <v>1.07</v>
      </c>
      <c r="M463">
        <v>3</v>
      </c>
      <c r="N463" t="s">
        <v>80</v>
      </c>
      <c r="O463" t="s">
        <v>33</v>
      </c>
      <c r="P463" t="b">
        <v>0</v>
      </c>
      <c r="Q463" t="b">
        <v>1</v>
      </c>
      <c r="R463" t="b">
        <v>0</v>
      </c>
      <c r="S463" t="b">
        <v>1</v>
      </c>
      <c r="T463" t="b">
        <v>0</v>
      </c>
      <c r="U463">
        <v>2.4</v>
      </c>
      <c r="V463">
        <v>6.7</v>
      </c>
      <c r="W463">
        <v>3</v>
      </c>
      <c r="X463">
        <v>7.8</v>
      </c>
      <c r="Y463">
        <v>96.1</v>
      </c>
      <c r="Z463">
        <v>2</v>
      </c>
      <c r="AA463" t="s">
        <v>64</v>
      </c>
    </row>
    <row r="464" spans="1:27" x14ac:dyDescent="0.3">
      <c r="A464" t="s">
        <v>555</v>
      </c>
      <c r="B464">
        <v>21</v>
      </c>
      <c r="C464" t="s">
        <v>53</v>
      </c>
      <c r="D464">
        <v>6</v>
      </c>
      <c r="E464" t="s">
        <v>76</v>
      </c>
      <c r="F464" t="s">
        <v>110</v>
      </c>
      <c r="G464" t="s">
        <v>86</v>
      </c>
      <c r="H464">
        <v>5.3</v>
      </c>
      <c r="I464" t="s">
        <v>51</v>
      </c>
      <c r="J464" t="s">
        <v>36</v>
      </c>
      <c r="K464" t="s">
        <v>43</v>
      </c>
      <c r="L464">
        <v>1.82</v>
      </c>
      <c r="M464">
        <v>1</v>
      </c>
      <c r="N464" t="s">
        <v>63</v>
      </c>
      <c r="O464" t="s">
        <v>36</v>
      </c>
      <c r="P464" t="b">
        <v>0</v>
      </c>
      <c r="Q464" t="b">
        <v>1</v>
      </c>
      <c r="R464" t="b">
        <v>0</v>
      </c>
      <c r="S464" t="b">
        <v>1</v>
      </c>
      <c r="T464" t="b">
        <v>0</v>
      </c>
      <c r="U464">
        <v>0.9</v>
      </c>
      <c r="V464">
        <v>7.3</v>
      </c>
      <c r="W464">
        <v>5</v>
      </c>
      <c r="X464">
        <v>5</v>
      </c>
      <c r="Y464">
        <v>27.43</v>
      </c>
      <c r="Z464">
        <v>7</v>
      </c>
      <c r="AA464" t="s">
        <v>64</v>
      </c>
    </row>
    <row r="465" spans="1:27" x14ac:dyDescent="0.3">
      <c r="A465" t="s">
        <v>556</v>
      </c>
      <c r="B465">
        <v>25</v>
      </c>
      <c r="C465" t="s">
        <v>53</v>
      </c>
      <c r="D465">
        <v>12.5</v>
      </c>
      <c r="E465" t="s">
        <v>39</v>
      </c>
      <c r="F465" t="s">
        <v>120</v>
      </c>
      <c r="G465" t="s">
        <v>86</v>
      </c>
      <c r="H465">
        <v>3.5</v>
      </c>
      <c r="I465" t="s">
        <v>41</v>
      </c>
      <c r="J465" t="s">
        <v>36</v>
      </c>
      <c r="K465" t="s">
        <v>129</v>
      </c>
      <c r="M465">
        <v>6</v>
      </c>
      <c r="N465" t="s">
        <v>80</v>
      </c>
      <c r="O465" t="s">
        <v>57</v>
      </c>
      <c r="P465" t="b">
        <v>1</v>
      </c>
      <c r="Q465" t="b">
        <v>0</v>
      </c>
      <c r="R465" t="b">
        <v>0</v>
      </c>
      <c r="S465" t="b">
        <v>1</v>
      </c>
      <c r="T465" t="b">
        <v>0</v>
      </c>
      <c r="U465">
        <v>1.1000000000000001</v>
      </c>
      <c r="V465">
        <v>3.8</v>
      </c>
      <c r="W465">
        <v>10</v>
      </c>
      <c r="X465">
        <v>0</v>
      </c>
      <c r="Y465">
        <v>120.1</v>
      </c>
      <c r="Z465">
        <v>1</v>
      </c>
      <c r="AA465" t="s">
        <v>58</v>
      </c>
    </row>
    <row r="466" spans="1:27" x14ac:dyDescent="0.3">
      <c r="A466" t="s">
        <v>557</v>
      </c>
      <c r="B466">
        <v>14</v>
      </c>
      <c r="C466" t="s">
        <v>53</v>
      </c>
      <c r="D466">
        <v>11.7</v>
      </c>
      <c r="E466" t="s">
        <v>76</v>
      </c>
      <c r="F466" t="s">
        <v>126</v>
      </c>
      <c r="G466" t="s">
        <v>50</v>
      </c>
      <c r="H466">
        <v>4.3</v>
      </c>
      <c r="I466" t="s">
        <v>51</v>
      </c>
      <c r="J466" t="s">
        <v>33</v>
      </c>
      <c r="K466" t="s">
        <v>129</v>
      </c>
      <c r="L466">
        <v>3.22</v>
      </c>
      <c r="N466" t="s">
        <v>105</v>
      </c>
      <c r="O466" t="s">
        <v>36</v>
      </c>
      <c r="P466" t="b">
        <v>0</v>
      </c>
      <c r="Q466" t="b">
        <v>1</v>
      </c>
      <c r="R466" t="b">
        <v>1</v>
      </c>
      <c r="S466" t="b">
        <v>1</v>
      </c>
      <c r="T466" t="b">
        <v>1</v>
      </c>
      <c r="U466">
        <v>1.5</v>
      </c>
      <c r="V466">
        <v>2.5</v>
      </c>
      <c r="W466">
        <v>7</v>
      </c>
      <c r="X466">
        <v>0</v>
      </c>
      <c r="Y466">
        <v>339.9</v>
      </c>
      <c r="Z466">
        <v>4</v>
      </c>
      <c r="AA466" t="s">
        <v>37</v>
      </c>
    </row>
    <row r="467" spans="1:27" x14ac:dyDescent="0.3">
      <c r="A467" t="s">
        <v>558</v>
      </c>
      <c r="B467">
        <v>18</v>
      </c>
      <c r="C467" t="s">
        <v>28</v>
      </c>
      <c r="D467">
        <v>5.7</v>
      </c>
      <c r="E467" t="s">
        <v>82</v>
      </c>
      <c r="F467" t="s">
        <v>83</v>
      </c>
      <c r="G467" t="s">
        <v>86</v>
      </c>
      <c r="H467">
        <v>6.9</v>
      </c>
      <c r="I467" t="s">
        <v>41</v>
      </c>
      <c r="J467" t="s">
        <v>74</v>
      </c>
      <c r="K467" t="s">
        <v>34</v>
      </c>
      <c r="L467">
        <v>1.87</v>
      </c>
      <c r="N467" t="s">
        <v>44</v>
      </c>
      <c r="O467" t="s">
        <v>33</v>
      </c>
      <c r="P467" t="b">
        <v>0</v>
      </c>
      <c r="Q467" t="b">
        <v>1</v>
      </c>
      <c r="R467" t="b">
        <v>0</v>
      </c>
      <c r="S467" t="b">
        <v>1</v>
      </c>
      <c r="T467" t="b">
        <v>1</v>
      </c>
      <c r="U467">
        <v>0.7</v>
      </c>
      <c r="V467">
        <v>7.1</v>
      </c>
      <c r="W467">
        <v>4</v>
      </c>
      <c r="X467">
        <v>6.4</v>
      </c>
      <c r="Y467">
        <v>30.5</v>
      </c>
      <c r="Z467">
        <v>4</v>
      </c>
      <c r="AA467" t="s">
        <v>64</v>
      </c>
    </row>
    <row r="468" spans="1:27" x14ac:dyDescent="0.3">
      <c r="A468" t="s">
        <v>559</v>
      </c>
      <c r="B468">
        <v>17</v>
      </c>
      <c r="C468" t="s">
        <v>53</v>
      </c>
      <c r="D468">
        <v>6</v>
      </c>
      <c r="E468" t="s">
        <v>39</v>
      </c>
      <c r="F468" t="s">
        <v>40</v>
      </c>
      <c r="G468" t="s">
        <v>50</v>
      </c>
      <c r="H468">
        <v>5.2</v>
      </c>
      <c r="I468" t="s">
        <v>32</v>
      </c>
      <c r="J468" t="s">
        <v>33</v>
      </c>
      <c r="K468" t="s">
        <v>62</v>
      </c>
      <c r="L468">
        <v>1.28</v>
      </c>
      <c r="N468" t="s">
        <v>80</v>
      </c>
      <c r="O468" t="s">
        <v>57</v>
      </c>
      <c r="P468" t="b">
        <v>0</v>
      </c>
      <c r="Q468" t="b">
        <v>1</v>
      </c>
      <c r="R468" t="b">
        <v>0</v>
      </c>
      <c r="S468" t="b">
        <v>1</v>
      </c>
      <c r="T468" t="b">
        <v>1</v>
      </c>
      <c r="U468">
        <v>1</v>
      </c>
      <c r="V468">
        <v>5.5</v>
      </c>
      <c r="W468">
        <v>2</v>
      </c>
      <c r="X468">
        <v>7.4</v>
      </c>
      <c r="Y468">
        <v>32.229999999999997</v>
      </c>
      <c r="Z468">
        <v>2</v>
      </c>
      <c r="AA468" t="s">
        <v>64</v>
      </c>
    </row>
    <row r="469" spans="1:27" x14ac:dyDescent="0.3">
      <c r="A469" t="s">
        <v>560</v>
      </c>
      <c r="B469">
        <v>14</v>
      </c>
      <c r="C469" t="s">
        <v>28</v>
      </c>
      <c r="D469">
        <v>2.9</v>
      </c>
      <c r="E469" t="s">
        <v>39</v>
      </c>
      <c r="F469" t="s">
        <v>120</v>
      </c>
      <c r="G469" t="s">
        <v>86</v>
      </c>
      <c r="H469">
        <v>8.8000000000000007</v>
      </c>
      <c r="I469" t="s">
        <v>51</v>
      </c>
      <c r="J469" t="s">
        <v>33</v>
      </c>
      <c r="K469" t="s">
        <v>43</v>
      </c>
      <c r="L469">
        <v>3.59</v>
      </c>
      <c r="N469" t="s">
        <v>66</v>
      </c>
      <c r="O469" t="s">
        <v>57</v>
      </c>
      <c r="P469" t="b">
        <v>0</v>
      </c>
      <c r="Q469" t="b">
        <v>0</v>
      </c>
      <c r="R469" t="b">
        <v>0</v>
      </c>
      <c r="S469" t="b">
        <v>0</v>
      </c>
      <c r="T469" t="b">
        <v>0</v>
      </c>
      <c r="U469">
        <v>1</v>
      </c>
      <c r="V469">
        <v>8.9</v>
      </c>
      <c r="W469">
        <v>1</v>
      </c>
      <c r="X469">
        <v>11.7</v>
      </c>
      <c r="Y469">
        <v>36.590000000000003</v>
      </c>
      <c r="Z469">
        <v>4</v>
      </c>
      <c r="AA469" t="s">
        <v>46</v>
      </c>
    </row>
    <row r="470" spans="1:27" x14ac:dyDescent="0.3">
      <c r="A470" t="s">
        <v>561</v>
      </c>
      <c r="B470">
        <v>14</v>
      </c>
      <c r="C470" t="s">
        <v>28</v>
      </c>
      <c r="D470">
        <v>9.6999999999999993</v>
      </c>
      <c r="E470" t="s">
        <v>29</v>
      </c>
      <c r="F470" t="s">
        <v>104</v>
      </c>
      <c r="G470" t="s">
        <v>50</v>
      </c>
      <c r="H470">
        <v>3.6</v>
      </c>
      <c r="I470" t="s">
        <v>32</v>
      </c>
      <c r="J470" t="s">
        <v>42</v>
      </c>
      <c r="K470" t="s">
        <v>51</v>
      </c>
      <c r="L470">
        <v>3.53</v>
      </c>
      <c r="N470" t="s">
        <v>44</v>
      </c>
      <c r="O470" t="s">
        <v>33</v>
      </c>
      <c r="P470" t="b">
        <v>0</v>
      </c>
      <c r="Q470" t="b">
        <v>0</v>
      </c>
      <c r="R470" t="b">
        <v>0</v>
      </c>
      <c r="S470" t="b">
        <v>1</v>
      </c>
      <c r="T470" t="b">
        <v>1</v>
      </c>
      <c r="U470">
        <v>1.4</v>
      </c>
      <c r="V470">
        <v>5.4</v>
      </c>
      <c r="W470">
        <v>6</v>
      </c>
      <c r="X470">
        <v>2.8</v>
      </c>
      <c r="Y470">
        <v>302.88</v>
      </c>
      <c r="Z470">
        <v>3</v>
      </c>
      <c r="AA470" t="s">
        <v>64</v>
      </c>
    </row>
    <row r="471" spans="1:27" x14ac:dyDescent="0.3">
      <c r="A471" t="s">
        <v>562</v>
      </c>
      <c r="B471">
        <v>16</v>
      </c>
      <c r="C471" t="s">
        <v>28</v>
      </c>
      <c r="D471">
        <v>1.9</v>
      </c>
      <c r="E471" t="s">
        <v>54</v>
      </c>
      <c r="F471" t="s">
        <v>89</v>
      </c>
      <c r="G471" t="s">
        <v>71</v>
      </c>
      <c r="H471">
        <v>7.5</v>
      </c>
      <c r="I471" t="s">
        <v>43</v>
      </c>
      <c r="J471" t="s">
        <v>42</v>
      </c>
      <c r="K471" t="s">
        <v>84</v>
      </c>
      <c r="L471">
        <v>3.01</v>
      </c>
      <c r="N471" t="s">
        <v>66</v>
      </c>
      <c r="O471" t="s">
        <v>33</v>
      </c>
      <c r="P471" t="b">
        <v>0</v>
      </c>
      <c r="Q471" t="b">
        <v>0</v>
      </c>
      <c r="R471" t="b">
        <v>0</v>
      </c>
      <c r="S471" t="b">
        <v>0</v>
      </c>
      <c r="T471" t="b">
        <v>0</v>
      </c>
      <c r="U471">
        <v>0.1</v>
      </c>
      <c r="V471">
        <v>7</v>
      </c>
      <c r="W471">
        <v>1</v>
      </c>
      <c r="X471">
        <v>11.5</v>
      </c>
      <c r="Y471">
        <v>28.1</v>
      </c>
      <c r="Z471">
        <v>6</v>
      </c>
      <c r="AA471" t="s">
        <v>46</v>
      </c>
    </row>
    <row r="472" spans="1:27" x14ac:dyDescent="0.3">
      <c r="A472" t="s">
        <v>563</v>
      </c>
      <c r="B472">
        <v>27</v>
      </c>
      <c r="C472" t="s">
        <v>53</v>
      </c>
      <c r="D472">
        <v>0.7</v>
      </c>
      <c r="E472" t="s">
        <v>76</v>
      </c>
      <c r="F472" t="s">
        <v>77</v>
      </c>
      <c r="G472" t="s">
        <v>86</v>
      </c>
      <c r="H472">
        <v>8.4</v>
      </c>
      <c r="I472" t="s">
        <v>51</v>
      </c>
      <c r="J472" t="s">
        <v>74</v>
      </c>
      <c r="K472" t="s">
        <v>43</v>
      </c>
      <c r="M472">
        <v>10</v>
      </c>
      <c r="N472" t="s">
        <v>69</v>
      </c>
      <c r="O472" t="s">
        <v>57</v>
      </c>
      <c r="P472" t="b">
        <v>0</v>
      </c>
      <c r="Q472" t="b">
        <v>0</v>
      </c>
      <c r="R472" t="b">
        <v>0</v>
      </c>
      <c r="S472" t="b">
        <v>0</v>
      </c>
      <c r="T472" t="b">
        <v>0</v>
      </c>
      <c r="U472">
        <v>0.3</v>
      </c>
      <c r="V472">
        <v>8.3000000000000007</v>
      </c>
      <c r="W472">
        <v>1</v>
      </c>
      <c r="X472">
        <v>16.5</v>
      </c>
      <c r="Y472">
        <v>16.399999999999999</v>
      </c>
      <c r="Z472">
        <v>12</v>
      </c>
      <c r="AA472" t="s">
        <v>46</v>
      </c>
    </row>
    <row r="473" spans="1:27" x14ac:dyDescent="0.3">
      <c r="A473" t="s">
        <v>564</v>
      </c>
      <c r="B473">
        <v>14</v>
      </c>
      <c r="C473" t="s">
        <v>28</v>
      </c>
      <c r="D473">
        <v>5.5</v>
      </c>
      <c r="E473" t="s">
        <v>60</v>
      </c>
      <c r="F473" t="s">
        <v>96</v>
      </c>
      <c r="G473" t="s">
        <v>86</v>
      </c>
      <c r="H473">
        <v>5.4</v>
      </c>
      <c r="I473" t="s">
        <v>41</v>
      </c>
      <c r="J473" t="s">
        <v>42</v>
      </c>
      <c r="K473" t="s">
        <v>62</v>
      </c>
      <c r="L473">
        <v>2.44</v>
      </c>
      <c r="N473" t="s">
        <v>35</v>
      </c>
      <c r="O473" t="s">
        <v>36</v>
      </c>
      <c r="P473" t="b">
        <v>0</v>
      </c>
      <c r="Q473" t="b">
        <v>1</v>
      </c>
      <c r="R473" t="b">
        <v>0</v>
      </c>
      <c r="S473" t="b">
        <v>1</v>
      </c>
      <c r="T473" t="b">
        <v>0</v>
      </c>
      <c r="U473">
        <v>2.4</v>
      </c>
      <c r="V473">
        <v>7</v>
      </c>
      <c r="W473">
        <v>4</v>
      </c>
      <c r="X473">
        <v>7.5</v>
      </c>
      <c r="Y473">
        <v>57.54</v>
      </c>
      <c r="Z473">
        <v>2</v>
      </c>
      <c r="AA473" t="s">
        <v>64</v>
      </c>
    </row>
    <row r="474" spans="1:27" x14ac:dyDescent="0.3">
      <c r="A474" t="s">
        <v>565</v>
      </c>
      <c r="B474">
        <v>26</v>
      </c>
      <c r="C474" t="s">
        <v>28</v>
      </c>
      <c r="D474">
        <v>1</v>
      </c>
      <c r="E474" t="s">
        <v>54</v>
      </c>
      <c r="F474" t="s">
        <v>98</v>
      </c>
      <c r="G474" t="s">
        <v>86</v>
      </c>
      <c r="H474">
        <v>8.9</v>
      </c>
      <c r="I474" t="s">
        <v>43</v>
      </c>
      <c r="J474" t="s">
        <v>33</v>
      </c>
      <c r="K474" t="s">
        <v>43</v>
      </c>
      <c r="M474">
        <v>8</v>
      </c>
      <c r="N474" t="s">
        <v>66</v>
      </c>
      <c r="O474" t="s">
        <v>36</v>
      </c>
      <c r="P474" t="b">
        <v>0</v>
      </c>
      <c r="Q474" t="b">
        <v>0</v>
      </c>
      <c r="R474" t="b">
        <v>0</v>
      </c>
      <c r="S474" t="b">
        <v>0</v>
      </c>
      <c r="T474" t="b">
        <v>0</v>
      </c>
      <c r="U474">
        <v>0.3</v>
      </c>
      <c r="V474">
        <v>8.3000000000000007</v>
      </c>
      <c r="W474">
        <v>1</v>
      </c>
      <c r="X474">
        <v>13.8</v>
      </c>
      <c r="Y474">
        <v>1.31</v>
      </c>
      <c r="Z474">
        <v>8</v>
      </c>
      <c r="AA474" t="s">
        <v>46</v>
      </c>
    </row>
    <row r="475" spans="1:27" x14ac:dyDescent="0.3">
      <c r="A475" t="s">
        <v>566</v>
      </c>
      <c r="B475">
        <v>20</v>
      </c>
      <c r="C475" t="s">
        <v>28</v>
      </c>
      <c r="D475">
        <v>9.3000000000000007</v>
      </c>
      <c r="E475" t="s">
        <v>39</v>
      </c>
      <c r="F475" t="s">
        <v>40</v>
      </c>
      <c r="G475" t="s">
        <v>50</v>
      </c>
      <c r="H475">
        <v>5.3</v>
      </c>
      <c r="I475" t="s">
        <v>78</v>
      </c>
      <c r="J475" t="s">
        <v>74</v>
      </c>
      <c r="K475" t="s">
        <v>51</v>
      </c>
      <c r="L475">
        <v>1.8</v>
      </c>
      <c r="M475">
        <v>10</v>
      </c>
      <c r="N475" t="s">
        <v>80</v>
      </c>
      <c r="O475" t="s">
        <v>45</v>
      </c>
      <c r="P475" t="b">
        <v>1</v>
      </c>
      <c r="Q475" t="b">
        <v>1</v>
      </c>
      <c r="R475" t="b">
        <v>1</v>
      </c>
      <c r="S475" t="b">
        <v>1</v>
      </c>
      <c r="T475" t="b">
        <v>0</v>
      </c>
      <c r="U475">
        <v>4.0999999999999996</v>
      </c>
      <c r="V475">
        <v>5.9</v>
      </c>
      <c r="W475">
        <v>6</v>
      </c>
      <c r="X475">
        <v>1.9</v>
      </c>
      <c r="Y475">
        <v>323.47000000000003</v>
      </c>
      <c r="Z475">
        <v>1</v>
      </c>
      <c r="AA475" t="s">
        <v>37</v>
      </c>
    </row>
    <row r="476" spans="1:27" x14ac:dyDescent="0.3">
      <c r="A476" t="s">
        <v>567</v>
      </c>
      <c r="B476">
        <v>30</v>
      </c>
      <c r="C476" t="s">
        <v>28</v>
      </c>
      <c r="D476">
        <v>11.6</v>
      </c>
      <c r="E476" t="s">
        <v>76</v>
      </c>
      <c r="F476" t="s">
        <v>126</v>
      </c>
      <c r="G476" t="s">
        <v>31</v>
      </c>
      <c r="H476">
        <v>4.5</v>
      </c>
      <c r="I476" t="s">
        <v>78</v>
      </c>
      <c r="J476" t="s">
        <v>33</v>
      </c>
      <c r="K476" t="s">
        <v>62</v>
      </c>
      <c r="M476">
        <v>3</v>
      </c>
      <c r="N476" t="s">
        <v>35</v>
      </c>
      <c r="O476" t="s">
        <v>57</v>
      </c>
      <c r="P476" t="b">
        <v>1</v>
      </c>
      <c r="Q476" t="b">
        <v>1</v>
      </c>
      <c r="R476" t="b">
        <v>0</v>
      </c>
      <c r="S476" t="b">
        <v>1</v>
      </c>
      <c r="T476" t="b">
        <v>0</v>
      </c>
      <c r="U476">
        <v>5.4</v>
      </c>
      <c r="V476">
        <v>2.6</v>
      </c>
      <c r="W476">
        <v>7</v>
      </c>
      <c r="X476">
        <v>2.5</v>
      </c>
      <c r="Y476">
        <v>317.18</v>
      </c>
      <c r="Z476">
        <v>10</v>
      </c>
      <c r="AA476" t="s">
        <v>37</v>
      </c>
    </row>
    <row r="477" spans="1:27" x14ac:dyDescent="0.3">
      <c r="A477" t="s">
        <v>568</v>
      </c>
      <c r="B477">
        <v>21</v>
      </c>
      <c r="C477" t="s">
        <v>53</v>
      </c>
      <c r="D477">
        <v>4.8</v>
      </c>
      <c r="E477" t="s">
        <v>39</v>
      </c>
      <c r="F477" t="s">
        <v>40</v>
      </c>
      <c r="G477" t="s">
        <v>50</v>
      </c>
      <c r="H477">
        <v>5.0999999999999996</v>
      </c>
      <c r="I477" t="s">
        <v>51</v>
      </c>
      <c r="J477" t="s">
        <v>33</v>
      </c>
      <c r="K477" t="s">
        <v>43</v>
      </c>
      <c r="L477">
        <v>1.4</v>
      </c>
      <c r="M477">
        <v>4</v>
      </c>
      <c r="N477" t="s">
        <v>69</v>
      </c>
      <c r="O477" t="s">
        <v>57</v>
      </c>
      <c r="P477" t="b">
        <v>0</v>
      </c>
      <c r="Q477" t="b">
        <v>0</v>
      </c>
      <c r="R477" t="b">
        <v>0</v>
      </c>
      <c r="S477" t="b">
        <v>1</v>
      </c>
      <c r="T477" t="b">
        <v>0</v>
      </c>
      <c r="U477">
        <v>2.5</v>
      </c>
      <c r="V477">
        <v>9</v>
      </c>
      <c r="W477">
        <v>3</v>
      </c>
      <c r="X477">
        <v>8.1999999999999993</v>
      </c>
      <c r="Y477">
        <v>46.29</v>
      </c>
      <c r="Z477">
        <v>4</v>
      </c>
      <c r="AA477" t="s">
        <v>46</v>
      </c>
    </row>
    <row r="478" spans="1:27" x14ac:dyDescent="0.3">
      <c r="A478" t="s">
        <v>569</v>
      </c>
      <c r="B478">
        <v>25</v>
      </c>
      <c r="C478" t="s">
        <v>28</v>
      </c>
      <c r="D478">
        <v>1.1000000000000001</v>
      </c>
      <c r="E478" t="s">
        <v>76</v>
      </c>
      <c r="F478" t="s">
        <v>126</v>
      </c>
      <c r="G478" t="s">
        <v>50</v>
      </c>
      <c r="H478">
        <v>8</v>
      </c>
      <c r="I478" t="s">
        <v>43</v>
      </c>
      <c r="J478" t="s">
        <v>36</v>
      </c>
      <c r="K478" t="s">
        <v>84</v>
      </c>
      <c r="M478">
        <v>6</v>
      </c>
      <c r="N478" t="s">
        <v>121</v>
      </c>
      <c r="O478" t="s">
        <v>33</v>
      </c>
      <c r="P478" t="b">
        <v>0</v>
      </c>
      <c r="Q478" t="b">
        <v>0</v>
      </c>
      <c r="R478" t="b">
        <v>0</v>
      </c>
      <c r="S478" t="b">
        <v>0</v>
      </c>
      <c r="T478" t="b">
        <v>0</v>
      </c>
      <c r="U478">
        <v>0.2</v>
      </c>
      <c r="V478">
        <v>7.7</v>
      </c>
      <c r="W478">
        <v>1</v>
      </c>
      <c r="X478">
        <v>12.2</v>
      </c>
      <c r="Y478">
        <v>47.51</v>
      </c>
      <c r="Z478">
        <v>4</v>
      </c>
      <c r="AA478" t="s">
        <v>46</v>
      </c>
    </row>
    <row r="479" spans="1:27" x14ac:dyDescent="0.3">
      <c r="A479" t="s">
        <v>570</v>
      </c>
      <c r="B479">
        <v>19</v>
      </c>
      <c r="C479" t="s">
        <v>28</v>
      </c>
      <c r="D479">
        <v>4</v>
      </c>
      <c r="E479" t="s">
        <v>76</v>
      </c>
      <c r="F479" t="s">
        <v>110</v>
      </c>
      <c r="G479" t="s">
        <v>86</v>
      </c>
      <c r="H479">
        <v>6.7</v>
      </c>
      <c r="I479" t="s">
        <v>41</v>
      </c>
      <c r="J479" t="s">
        <v>33</v>
      </c>
      <c r="K479" t="s">
        <v>62</v>
      </c>
      <c r="L479">
        <v>2.89</v>
      </c>
      <c r="M479">
        <v>10</v>
      </c>
      <c r="N479" t="s">
        <v>35</v>
      </c>
      <c r="O479" t="s">
        <v>57</v>
      </c>
      <c r="P479" t="b">
        <v>0</v>
      </c>
      <c r="Q479" t="b">
        <v>0</v>
      </c>
      <c r="R479" t="b">
        <v>0</v>
      </c>
      <c r="S479" t="b">
        <v>0</v>
      </c>
      <c r="T479" t="b">
        <v>0</v>
      </c>
      <c r="U479">
        <v>0.2</v>
      </c>
      <c r="V479">
        <v>7</v>
      </c>
      <c r="W479">
        <v>2</v>
      </c>
      <c r="X479">
        <v>10.5</v>
      </c>
      <c r="Y479">
        <v>8.23</v>
      </c>
      <c r="Z479">
        <v>7</v>
      </c>
      <c r="AA479" t="s">
        <v>46</v>
      </c>
    </row>
    <row r="480" spans="1:27" x14ac:dyDescent="0.3">
      <c r="A480" t="s">
        <v>571</v>
      </c>
      <c r="B480">
        <v>23</v>
      </c>
      <c r="C480" t="s">
        <v>28</v>
      </c>
      <c r="D480">
        <v>4</v>
      </c>
      <c r="E480" t="s">
        <v>48</v>
      </c>
      <c r="F480" t="s">
        <v>128</v>
      </c>
      <c r="G480" t="s">
        <v>86</v>
      </c>
      <c r="H480">
        <v>5.6</v>
      </c>
      <c r="I480" t="s">
        <v>51</v>
      </c>
      <c r="J480" t="s">
        <v>36</v>
      </c>
      <c r="K480" t="s">
        <v>43</v>
      </c>
      <c r="M480">
        <v>5</v>
      </c>
      <c r="N480" t="s">
        <v>69</v>
      </c>
      <c r="O480" t="s">
        <v>33</v>
      </c>
      <c r="P480" t="b">
        <v>0</v>
      </c>
      <c r="Q480" t="b">
        <v>0</v>
      </c>
      <c r="R480" t="b">
        <v>0</v>
      </c>
      <c r="S480" t="b">
        <v>0</v>
      </c>
      <c r="T480" t="b">
        <v>0</v>
      </c>
      <c r="U480">
        <v>1.6</v>
      </c>
      <c r="V480">
        <v>7.1</v>
      </c>
      <c r="W480">
        <v>2</v>
      </c>
      <c r="X480">
        <v>12.3</v>
      </c>
      <c r="Y480">
        <v>41.19</v>
      </c>
      <c r="Z480">
        <v>7</v>
      </c>
      <c r="AA480" t="s">
        <v>46</v>
      </c>
    </row>
    <row r="481" spans="1:27" x14ac:dyDescent="0.3">
      <c r="A481" t="s">
        <v>572</v>
      </c>
      <c r="B481">
        <v>17</v>
      </c>
      <c r="C481" t="s">
        <v>53</v>
      </c>
      <c r="D481">
        <v>7.3</v>
      </c>
      <c r="E481" t="s">
        <v>39</v>
      </c>
      <c r="F481" t="s">
        <v>93</v>
      </c>
      <c r="G481" t="s">
        <v>31</v>
      </c>
      <c r="H481">
        <v>3.4</v>
      </c>
      <c r="I481" t="s">
        <v>32</v>
      </c>
      <c r="J481" t="s">
        <v>36</v>
      </c>
      <c r="K481" t="s">
        <v>62</v>
      </c>
      <c r="L481">
        <v>3.36</v>
      </c>
      <c r="N481" t="s">
        <v>80</v>
      </c>
      <c r="O481" t="s">
        <v>42</v>
      </c>
      <c r="P481" t="b">
        <v>1</v>
      </c>
      <c r="Q481" t="b">
        <v>1</v>
      </c>
      <c r="R481" t="b">
        <v>0</v>
      </c>
      <c r="S481" t="b">
        <v>1</v>
      </c>
      <c r="T481" t="b">
        <v>1</v>
      </c>
      <c r="U481">
        <v>1.5</v>
      </c>
      <c r="V481">
        <v>5.5</v>
      </c>
      <c r="W481">
        <v>2</v>
      </c>
      <c r="X481">
        <v>4.5999999999999996</v>
      </c>
      <c r="Y481">
        <v>95.15</v>
      </c>
      <c r="Z481">
        <v>7</v>
      </c>
      <c r="AA481" t="s">
        <v>58</v>
      </c>
    </row>
    <row r="482" spans="1:27" x14ac:dyDescent="0.3">
      <c r="A482" t="s">
        <v>573</v>
      </c>
      <c r="B482">
        <v>22</v>
      </c>
      <c r="C482" t="s">
        <v>53</v>
      </c>
      <c r="D482">
        <v>9.9</v>
      </c>
      <c r="E482" t="s">
        <v>54</v>
      </c>
      <c r="F482" t="s">
        <v>55</v>
      </c>
      <c r="G482" t="s">
        <v>86</v>
      </c>
      <c r="H482">
        <v>3.7</v>
      </c>
      <c r="I482" t="s">
        <v>51</v>
      </c>
      <c r="J482" t="s">
        <v>33</v>
      </c>
      <c r="K482" t="s">
        <v>34</v>
      </c>
      <c r="L482">
        <v>1.67</v>
      </c>
      <c r="M482">
        <v>6</v>
      </c>
      <c r="N482" t="s">
        <v>44</v>
      </c>
      <c r="O482" t="s">
        <v>33</v>
      </c>
      <c r="P482" t="b">
        <v>1</v>
      </c>
      <c r="Q482" t="b">
        <v>0</v>
      </c>
      <c r="R482" t="b">
        <v>1</v>
      </c>
      <c r="S482" t="b">
        <v>1</v>
      </c>
      <c r="T482" t="b">
        <v>1</v>
      </c>
      <c r="U482">
        <v>0.6</v>
      </c>
      <c r="V482">
        <v>4.5999999999999996</v>
      </c>
      <c r="W482">
        <v>6</v>
      </c>
      <c r="X482">
        <v>5.9</v>
      </c>
      <c r="Y482">
        <v>426.59</v>
      </c>
      <c r="Z482">
        <v>6</v>
      </c>
      <c r="AA482" t="s">
        <v>37</v>
      </c>
    </row>
    <row r="483" spans="1:27" x14ac:dyDescent="0.3">
      <c r="A483" t="s">
        <v>574</v>
      </c>
      <c r="B483">
        <v>24</v>
      </c>
      <c r="C483" t="s">
        <v>28</v>
      </c>
      <c r="D483">
        <v>2.1</v>
      </c>
      <c r="E483" t="s">
        <v>39</v>
      </c>
      <c r="F483" t="s">
        <v>120</v>
      </c>
      <c r="G483" t="s">
        <v>31</v>
      </c>
      <c r="H483">
        <v>9</v>
      </c>
      <c r="I483" t="s">
        <v>41</v>
      </c>
      <c r="J483" t="s">
        <v>45</v>
      </c>
      <c r="K483" t="s">
        <v>43</v>
      </c>
      <c r="M483">
        <v>10</v>
      </c>
      <c r="N483" t="s">
        <v>44</v>
      </c>
      <c r="O483" t="s">
        <v>33</v>
      </c>
      <c r="P483" t="b">
        <v>0</v>
      </c>
      <c r="Q483" t="b">
        <v>0</v>
      </c>
      <c r="R483" t="b">
        <v>0</v>
      </c>
      <c r="S483" t="b">
        <v>0</v>
      </c>
      <c r="T483" t="b">
        <v>0</v>
      </c>
      <c r="U483">
        <v>0.5</v>
      </c>
      <c r="V483">
        <v>7.4</v>
      </c>
      <c r="W483">
        <v>1</v>
      </c>
      <c r="X483">
        <v>12</v>
      </c>
      <c r="Y483">
        <v>48.98</v>
      </c>
      <c r="Z483">
        <v>9</v>
      </c>
      <c r="AA483" t="s">
        <v>46</v>
      </c>
    </row>
    <row r="484" spans="1:27" x14ac:dyDescent="0.3">
      <c r="A484" t="s">
        <v>575</v>
      </c>
      <c r="B484">
        <v>22</v>
      </c>
      <c r="C484" t="s">
        <v>28</v>
      </c>
      <c r="D484">
        <v>1.8</v>
      </c>
      <c r="E484" t="s">
        <v>54</v>
      </c>
      <c r="F484" t="s">
        <v>98</v>
      </c>
      <c r="G484" t="s">
        <v>50</v>
      </c>
      <c r="H484">
        <v>7.5</v>
      </c>
      <c r="I484" t="s">
        <v>41</v>
      </c>
      <c r="J484" t="s">
        <v>36</v>
      </c>
      <c r="K484" t="s">
        <v>43</v>
      </c>
      <c r="L484">
        <v>3.3</v>
      </c>
      <c r="M484">
        <v>10</v>
      </c>
      <c r="N484" t="s">
        <v>66</v>
      </c>
      <c r="O484" t="s">
        <v>45</v>
      </c>
      <c r="P484" t="b">
        <v>0</v>
      </c>
      <c r="Q484" t="b">
        <v>0</v>
      </c>
      <c r="R484" t="b">
        <v>0</v>
      </c>
      <c r="S484" t="b">
        <v>0</v>
      </c>
      <c r="T484" t="b">
        <v>0</v>
      </c>
      <c r="U484">
        <v>0.1</v>
      </c>
      <c r="V484">
        <v>9.4</v>
      </c>
      <c r="W484">
        <v>1</v>
      </c>
      <c r="X484">
        <v>15</v>
      </c>
      <c r="Y484">
        <v>15.91</v>
      </c>
      <c r="Z484">
        <v>7</v>
      </c>
      <c r="AA484" t="s">
        <v>46</v>
      </c>
    </row>
    <row r="485" spans="1:27" x14ac:dyDescent="0.3">
      <c r="A485" t="s">
        <v>576</v>
      </c>
      <c r="B485">
        <v>22</v>
      </c>
      <c r="C485" t="s">
        <v>28</v>
      </c>
      <c r="D485">
        <v>8.1</v>
      </c>
      <c r="E485" t="s">
        <v>48</v>
      </c>
      <c r="F485" t="s">
        <v>68</v>
      </c>
      <c r="G485" t="s">
        <v>50</v>
      </c>
      <c r="H485">
        <v>5.5</v>
      </c>
      <c r="I485" t="s">
        <v>41</v>
      </c>
      <c r="J485" t="s">
        <v>36</v>
      </c>
      <c r="K485" t="s">
        <v>34</v>
      </c>
      <c r="L485">
        <v>3.18</v>
      </c>
      <c r="M485">
        <v>4</v>
      </c>
      <c r="N485" t="s">
        <v>63</v>
      </c>
      <c r="O485" t="s">
        <v>36</v>
      </c>
      <c r="P485" t="b">
        <v>0</v>
      </c>
      <c r="Q485" t="b">
        <v>1</v>
      </c>
      <c r="R485" t="b">
        <v>0</v>
      </c>
      <c r="S485" t="b">
        <v>1</v>
      </c>
      <c r="T485" t="b">
        <v>1</v>
      </c>
      <c r="U485">
        <v>1</v>
      </c>
      <c r="V485">
        <v>4.8</v>
      </c>
      <c r="W485">
        <v>5</v>
      </c>
      <c r="X485">
        <v>5.8</v>
      </c>
      <c r="Y485">
        <v>121.33</v>
      </c>
      <c r="Z485">
        <v>10</v>
      </c>
      <c r="AA485" t="s">
        <v>64</v>
      </c>
    </row>
    <row r="486" spans="1:27" x14ac:dyDescent="0.3">
      <c r="A486" t="s">
        <v>577</v>
      </c>
      <c r="B486">
        <v>15</v>
      </c>
      <c r="C486" t="s">
        <v>28</v>
      </c>
      <c r="D486">
        <v>11.2</v>
      </c>
      <c r="E486" t="s">
        <v>60</v>
      </c>
      <c r="F486" t="s">
        <v>200</v>
      </c>
      <c r="G486" t="s">
        <v>71</v>
      </c>
      <c r="H486">
        <v>3.9</v>
      </c>
      <c r="I486" t="s">
        <v>51</v>
      </c>
      <c r="J486" t="s">
        <v>36</v>
      </c>
      <c r="K486" t="s">
        <v>34</v>
      </c>
      <c r="L486">
        <v>3.62</v>
      </c>
      <c r="N486" t="s">
        <v>80</v>
      </c>
      <c r="O486" t="s">
        <v>36</v>
      </c>
      <c r="P486" t="b">
        <v>1</v>
      </c>
      <c r="Q486" t="b">
        <v>1</v>
      </c>
      <c r="R486" t="b">
        <v>1</v>
      </c>
      <c r="S486" t="b">
        <v>1</v>
      </c>
      <c r="T486" t="b">
        <v>1</v>
      </c>
      <c r="U486">
        <v>1.1000000000000001</v>
      </c>
      <c r="V486">
        <v>3.6</v>
      </c>
      <c r="W486">
        <v>6</v>
      </c>
      <c r="X486">
        <v>1.1000000000000001</v>
      </c>
      <c r="Y486">
        <v>352.98</v>
      </c>
      <c r="Z486">
        <v>5</v>
      </c>
      <c r="AA486" t="s">
        <v>37</v>
      </c>
    </row>
    <row r="487" spans="1:27" x14ac:dyDescent="0.3">
      <c r="A487" t="s">
        <v>578</v>
      </c>
      <c r="B487">
        <v>21</v>
      </c>
      <c r="C487" t="s">
        <v>28</v>
      </c>
      <c r="D487">
        <v>11.6</v>
      </c>
      <c r="E487" t="s">
        <v>76</v>
      </c>
      <c r="F487" t="s">
        <v>77</v>
      </c>
      <c r="G487" t="s">
        <v>86</v>
      </c>
      <c r="H487">
        <v>5.4</v>
      </c>
      <c r="I487" t="s">
        <v>32</v>
      </c>
      <c r="J487" t="s">
        <v>74</v>
      </c>
      <c r="K487" t="s">
        <v>51</v>
      </c>
      <c r="L487">
        <v>2.57</v>
      </c>
      <c r="M487">
        <v>3</v>
      </c>
      <c r="N487" t="s">
        <v>35</v>
      </c>
      <c r="O487" t="s">
        <v>36</v>
      </c>
      <c r="P487" t="b">
        <v>1</v>
      </c>
      <c r="Q487" t="b">
        <v>0</v>
      </c>
      <c r="R487" t="b">
        <v>0</v>
      </c>
      <c r="S487" t="b">
        <v>0</v>
      </c>
      <c r="T487" t="b">
        <v>0</v>
      </c>
      <c r="U487">
        <v>3.5</v>
      </c>
      <c r="V487">
        <v>3.8</v>
      </c>
      <c r="W487">
        <v>10</v>
      </c>
      <c r="X487">
        <v>0</v>
      </c>
      <c r="Y487">
        <v>426.48</v>
      </c>
      <c r="Z487">
        <v>3</v>
      </c>
      <c r="AA487" t="s">
        <v>58</v>
      </c>
    </row>
    <row r="488" spans="1:27" x14ac:dyDescent="0.3">
      <c r="A488" t="s">
        <v>579</v>
      </c>
      <c r="B488">
        <v>30</v>
      </c>
      <c r="C488" t="s">
        <v>28</v>
      </c>
      <c r="D488">
        <v>12.4</v>
      </c>
      <c r="E488" t="s">
        <v>82</v>
      </c>
      <c r="F488" t="s">
        <v>167</v>
      </c>
      <c r="G488" t="s">
        <v>71</v>
      </c>
      <c r="H488">
        <v>5.3</v>
      </c>
      <c r="I488" t="s">
        <v>32</v>
      </c>
      <c r="J488" t="s">
        <v>42</v>
      </c>
      <c r="K488" t="s">
        <v>62</v>
      </c>
      <c r="M488">
        <v>4</v>
      </c>
      <c r="N488" t="s">
        <v>80</v>
      </c>
      <c r="O488" t="s">
        <v>33</v>
      </c>
      <c r="P488" t="b">
        <v>1</v>
      </c>
      <c r="Q488" t="b">
        <v>1</v>
      </c>
      <c r="R488" t="b">
        <v>0</v>
      </c>
      <c r="S488" t="b">
        <v>0</v>
      </c>
      <c r="T488" t="b">
        <v>1</v>
      </c>
      <c r="U488">
        <v>2.1</v>
      </c>
      <c r="V488">
        <v>4.7</v>
      </c>
      <c r="W488">
        <v>9</v>
      </c>
      <c r="X488">
        <v>0</v>
      </c>
      <c r="Y488">
        <v>238.32</v>
      </c>
      <c r="Z488">
        <v>3</v>
      </c>
      <c r="AA488" t="s">
        <v>37</v>
      </c>
    </row>
    <row r="489" spans="1:27" x14ac:dyDescent="0.3">
      <c r="A489" t="s">
        <v>580</v>
      </c>
      <c r="B489">
        <v>14</v>
      </c>
      <c r="C489" t="s">
        <v>53</v>
      </c>
      <c r="D489">
        <v>3.9</v>
      </c>
      <c r="E489" t="s">
        <v>76</v>
      </c>
      <c r="F489" t="s">
        <v>77</v>
      </c>
      <c r="G489" t="s">
        <v>50</v>
      </c>
      <c r="H489">
        <v>5.2</v>
      </c>
      <c r="I489" t="s">
        <v>51</v>
      </c>
      <c r="J489" t="s">
        <v>42</v>
      </c>
      <c r="K489" t="s">
        <v>43</v>
      </c>
      <c r="L489">
        <v>3.55</v>
      </c>
      <c r="N489" t="s">
        <v>35</v>
      </c>
      <c r="O489" t="s">
        <v>36</v>
      </c>
      <c r="P489" t="b">
        <v>0</v>
      </c>
      <c r="Q489" t="b">
        <v>0</v>
      </c>
      <c r="R489" t="b">
        <v>0</v>
      </c>
      <c r="S489" t="b">
        <v>0</v>
      </c>
      <c r="T489" t="b">
        <v>0</v>
      </c>
      <c r="U489">
        <v>1.3</v>
      </c>
      <c r="V489">
        <v>9.3000000000000007</v>
      </c>
      <c r="W489">
        <v>5</v>
      </c>
      <c r="X489">
        <v>8</v>
      </c>
      <c r="Y489">
        <v>38.56</v>
      </c>
      <c r="Z489">
        <v>2</v>
      </c>
      <c r="AA489" t="s">
        <v>46</v>
      </c>
    </row>
    <row r="490" spans="1:27" x14ac:dyDescent="0.3">
      <c r="A490" t="s">
        <v>581</v>
      </c>
      <c r="B490">
        <v>16</v>
      </c>
      <c r="C490" t="s">
        <v>53</v>
      </c>
      <c r="D490">
        <v>5.5</v>
      </c>
      <c r="E490" t="s">
        <v>60</v>
      </c>
      <c r="F490" t="s">
        <v>102</v>
      </c>
      <c r="G490" t="s">
        <v>50</v>
      </c>
      <c r="H490">
        <v>6.6</v>
      </c>
      <c r="I490" t="s">
        <v>51</v>
      </c>
      <c r="J490" t="s">
        <v>36</v>
      </c>
      <c r="K490" t="s">
        <v>62</v>
      </c>
      <c r="L490">
        <v>3.16</v>
      </c>
      <c r="N490" t="s">
        <v>105</v>
      </c>
      <c r="O490" t="s">
        <v>57</v>
      </c>
      <c r="P490" t="b">
        <v>0</v>
      </c>
      <c r="Q490" t="b">
        <v>1</v>
      </c>
      <c r="R490" t="b">
        <v>0</v>
      </c>
      <c r="S490" t="b">
        <v>1</v>
      </c>
      <c r="T490" t="b">
        <v>1</v>
      </c>
      <c r="U490">
        <v>2.4</v>
      </c>
      <c r="V490">
        <v>7.3</v>
      </c>
      <c r="W490">
        <v>3</v>
      </c>
      <c r="X490">
        <v>5.3</v>
      </c>
      <c r="Y490">
        <v>128.87</v>
      </c>
      <c r="Z490">
        <v>4</v>
      </c>
      <c r="AA490" t="s">
        <v>64</v>
      </c>
    </row>
    <row r="491" spans="1:27" x14ac:dyDescent="0.3">
      <c r="A491" t="s">
        <v>582</v>
      </c>
      <c r="B491">
        <v>28</v>
      </c>
      <c r="C491" t="s">
        <v>28</v>
      </c>
      <c r="D491">
        <v>0.9</v>
      </c>
      <c r="E491" t="s">
        <v>60</v>
      </c>
      <c r="F491" t="s">
        <v>200</v>
      </c>
      <c r="G491" t="s">
        <v>50</v>
      </c>
      <c r="H491">
        <v>8.4</v>
      </c>
      <c r="I491" t="s">
        <v>43</v>
      </c>
      <c r="J491" t="s">
        <v>42</v>
      </c>
      <c r="K491" t="s">
        <v>62</v>
      </c>
      <c r="M491">
        <v>2</v>
      </c>
      <c r="N491" t="s">
        <v>69</v>
      </c>
      <c r="O491" t="s">
        <v>45</v>
      </c>
      <c r="P491" t="b">
        <v>0</v>
      </c>
      <c r="Q491" t="b">
        <v>0</v>
      </c>
      <c r="R491" t="b">
        <v>0</v>
      </c>
      <c r="S491" t="b">
        <v>0</v>
      </c>
      <c r="T491" t="b">
        <v>0</v>
      </c>
      <c r="U491">
        <v>0.6</v>
      </c>
      <c r="V491">
        <v>7.9</v>
      </c>
      <c r="W491">
        <v>1</v>
      </c>
      <c r="X491">
        <v>12</v>
      </c>
      <c r="Y491">
        <v>7.57</v>
      </c>
      <c r="Z491">
        <v>8</v>
      </c>
      <c r="AA491" t="s">
        <v>46</v>
      </c>
    </row>
    <row r="492" spans="1:27" x14ac:dyDescent="0.3">
      <c r="A492" t="s">
        <v>583</v>
      </c>
      <c r="B492">
        <v>20</v>
      </c>
      <c r="C492" t="s">
        <v>53</v>
      </c>
      <c r="D492">
        <v>5.7</v>
      </c>
      <c r="E492" t="s">
        <v>60</v>
      </c>
      <c r="F492" t="s">
        <v>200</v>
      </c>
      <c r="G492" t="s">
        <v>86</v>
      </c>
      <c r="H492">
        <v>5.5</v>
      </c>
      <c r="I492" t="s">
        <v>43</v>
      </c>
      <c r="J492" t="s">
        <v>74</v>
      </c>
      <c r="K492" t="s">
        <v>43</v>
      </c>
      <c r="L492">
        <v>1.53</v>
      </c>
      <c r="M492">
        <v>5</v>
      </c>
      <c r="N492" t="s">
        <v>63</v>
      </c>
      <c r="O492" t="s">
        <v>42</v>
      </c>
      <c r="P492" t="b">
        <v>0</v>
      </c>
      <c r="Q492" t="b">
        <v>0</v>
      </c>
      <c r="R492" t="b">
        <v>0</v>
      </c>
      <c r="S492" t="b">
        <v>0</v>
      </c>
      <c r="T492" t="b">
        <v>1</v>
      </c>
      <c r="U492">
        <v>1.9</v>
      </c>
      <c r="V492">
        <v>5.4</v>
      </c>
      <c r="W492">
        <v>5</v>
      </c>
      <c r="X492">
        <v>4.9000000000000004</v>
      </c>
      <c r="Y492">
        <v>75.19</v>
      </c>
      <c r="Z492">
        <v>8</v>
      </c>
      <c r="AA492" t="s">
        <v>46</v>
      </c>
    </row>
    <row r="493" spans="1:27" x14ac:dyDescent="0.3">
      <c r="A493" t="s">
        <v>584</v>
      </c>
      <c r="B493">
        <v>24</v>
      </c>
      <c r="C493" t="s">
        <v>28</v>
      </c>
      <c r="D493">
        <v>14.1</v>
      </c>
      <c r="E493" t="s">
        <v>60</v>
      </c>
      <c r="F493" t="s">
        <v>200</v>
      </c>
      <c r="G493" t="s">
        <v>50</v>
      </c>
      <c r="H493">
        <v>3.9</v>
      </c>
      <c r="I493" t="s">
        <v>78</v>
      </c>
      <c r="J493" t="s">
        <v>45</v>
      </c>
      <c r="K493" t="s">
        <v>34</v>
      </c>
      <c r="M493">
        <v>2</v>
      </c>
      <c r="N493" t="s">
        <v>35</v>
      </c>
      <c r="O493" t="s">
        <v>45</v>
      </c>
      <c r="P493" t="b">
        <v>1</v>
      </c>
      <c r="Q493" t="b">
        <v>1</v>
      </c>
      <c r="R493" t="b">
        <v>1</v>
      </c>
      <c r="S493" t="b">
        <v>1</v>
      </c>
      <c r="T493" t="b">
        <v>1</v>
      </c>
      <c r="U493">
        <v>2.2000000000000002</v>
      </c>
      <c r="V493">
        <v>4.8</v>
      </c>
      <c r="W493">
        <v>10</v>
      </c>
      <c r="X493">
        <v>0</v>
      </c>
      <c r="Y493">
        <v>394.74</v>
      </c>
      <c r="Z493">
        <v>14</v>
      </c>
      <c r="AA493" t="s">
        <v>37</v>
      </c>
    </row>
    <row r="494" spans="1:27" x14ac:dyDescent="0.3">
      <c r="A494" t="s">
        <v>585</v>
      </c>
      <c r="B494">
        <v>19</v>
      </c>
      <c r="C494" t="s">
        <v>53</v>
      </c>
      <c r="D494">
        <v>5.8</v>
      </c>
      <c r="E494" t="s">
        <v>39</v>
      </c>
      <c r="F494" t="s">
        <v>93</v>
      </c>
      <c r="G494" t="s">
        <v>31</v>
      </c>
      <c r="H494">
        <v>6.8</v>
      </c>
      <c r="I494" t="s">
        <v>43</v>
      </c>
      <c r="J494" t="s">
        <v>36</v>
      </c>
      <c r="K494" t="s">
        <v>62</v>
      </c>
      <c r="L494">
        <v>2.4300000000000002</v>
      </c>
      <c r="M494">
        <v>6</v>
      </c>
      <c r="N494" t="s">
        <v>69</v>
      </c>
      <c r="O494" t="s">
        <v>57</v>
      </c>
      <c r="P494" t="b">
        <v>0</v>
      </c>
      <c r="Q494" t="b">
        <v>1</v>
      </c>
      <c r="R494" t="b">
        <v>0</v>
      </c>
      <c r="S494" t="b">
        <v>0</v>
      </c>
      <c r="T494" t="b">
        <v>0</v>
      </c>
      <c r="U494">
        <v>2.6</v>
      </c>
      <c r="V494">
        <v>6.9</v>
      </c>
      <c r="W494">
        <v>4</v>
      </c>
      <c r="X494">
        <v>10.4</v>
      </c>
      <c r="Y494">
        <v>70.73</v>
      </c>
      <c r="Z494">
        <v>2</v>
      </c>
      <c r="AA494" t="s">
        <v>64</v>
      </c>
    </row>
    <row r="495" spans="1:27" x14ac:dyDescent="0.3">
      <c r="A495" t="s">
        <v>586</v>
      </c>
      <c r="B495">
        <v>20</v>
      </c>
      <c r="C495" t="s">
        <v>28</v>
      </c>
      <c r="D495">
        <v>6</v>
      </c>
      <c r="E495" t="s">
        <v>48</v>
      </c>
      <c r="F495" t="s">
        <v>49</v>
      </c>
      <c r="G495" t="s">
        <v>71</v>
      </c>
      <c r="H495">
        <v>6.5</v>
      </c>
      <c r="I495" t="s">
        <v>32</v>
      </c>
      <c r="J495" t="s">
        <v>45</v>
      </c>
      <c r="K495" t="s">
        <v>34</v>
      </c>
      <c r="L495">
        <v>3.43</v>
      </c>
      <c r="M495">
        <v>9</v>
      </c>
      <c r="N495" t="s">
        <v>63</v>
      </c>
      <c r="O495" t="s">
        <v>42</v>
      </c>
      <c r="P495" t="b">
        <v>0</v>
      </c>
      <c r="Q495" t="b">
        <v>1</v>
      </c>
      <c r="R495" t="b">
        <v>0</v>
      </c>
      <c r="S495" t="b">
        <v>1</v>
      </c>
      <c r="T495" t="b">
        <v>0</v>
      </c>
      <c r="U495">
        <v>1.2</v>
      </c>
      <c r="V495">
        <v>6.4</v>
      </c>
      <c r="W495">
        <v>5</v>
      </c>
      <c r="X495">
        <v>10.7</v>
      </c>
      <c r="Y495">
        <v>95.85</v>
      </c>
      <c r="Z495">
        <v>10</v>
      </c>
      <c r="AA495" t="s">
        <v>64</v>
      </c>
    </row>
    <row r="496" spans="1:27" x14ac:dyDescent="0.3">
      <c r="A496" t="s">
        <v>587</v>
      </c>
      <c r="B496">
        <v>20</v>
      </c>
      <c r="C496" t="s">
        <v>53</v>
      </c>
      <c r="D496">
        <v>3.8</v>
      </c>
      <c r="E496" t="s">
        <v>60</v>
      </c>
      <c r="F496" t="s">
        <v>102</v>
      </c>
      <c r="G496" t="s">
        <v>71</v>
      </c>
      <c r="H496">
        <v>6</v>
      </c>
      <c r="I496" t="s">
        <v>41</v>
      </c>
      <c r="J496" t="s">
        <v>33</v>
      </c>
      <c r="K496" t="s">
        <v>84</v>
      </c>
      <c r="L496">
        <v>3.16</v>
      </c>
      <c r="M496">
        <v>2</v>
      </c>
      <c r="N496" t="s">
        <v>44</v>
      </c>
      <c r="O496" t="s">
        <v>45</v>
      </c>
      <c r="P496" t="b">
        <v>0</v>
      </c>
      <c r="Q496" t="b">
        <v>0</v>
      </c>
      <c r="R496" t="b">
        <v>0</v>
      </c>
      <c r="S496" t="b">
        <v>0</v>
      </c>
      <c r="T496" t="b">
        <v>0</v>
      </c>
      <c r="U496">
        <v>2.2000000000000002</v>
      </c>
      <c r="V496">
        <v>9.1999999999999993</v>
      </c>
      <c r="W496">
        <v>4</v>
      </c>
      <c r="X496">
        <v>8.6999999999999993</v>
      </c>
      <c r="Y496">
        <v>9.48</v>
      </c>
      <c r="Z496">
        <v>1</v>
      </c>
      <c r="AA496" t="s">
        <v>46</v>
      </c>
    </row>
    <row r="497" spans="1:27" x14ac:dyDescent="0.3">
      <c r="A497" t="s">
        <v>588</v>
      </c>
      <c r="B497">
        <v>16</v>
      </c>
      <c r="C497" t="s">
        <v>28</v>
      </c>
      <c r="D497">
        <v>7.9</v>
      </c>
      <c r="E497" t="s">
        <v>76</v>
      </c>
      <c r="F497" t="s">
        <v>110</v>
      </c>
      <c r="G497" t="s">
        <v>31</v>
      </c>
      <c r="H497">
        <v>5.0999999999999996</v>
      </c>
      <c r="I497" t="s">
        <v>41</v>
      </c>
      <c r="J497" t="s">
        <v>45</v>
      </c>
      <c r="K497" t="s">
        <v>62</v>
      </c>
      <c r="L497">
        <v>3.47</v>
      </c>
      <c r="N497" t="s">
        <v>44</v>
      </c>
      <c r="O497" t="s">
        <v>42</v>
      </c>
      <c r="P497" t="b">
        <v>0</v>
      </c>
      <c r="Q497" t="b">
        <v>1</v>
      </c>
      <c r="R497" t="b">
        <v>0</v>
      </c>
      <c r="S497" t="b">
        <v>0</v>
      </c>
      <c r="T497" t="b">
        <v>1</v>
      </c>
      <c r="U497">
        <v>3</v>
      </c>
      <c r="V497">
        <v>7.8</v>
      </c>
      <c r="W497">
        <v>5</v>
      </c>
      <c r="X497">
        <v>5.5</v>
      </c>
      <c r="Y497">
        <v>136.26</v>
      </c>
      <c r="Z497">
        <v>4</v>
      </c>
      <c r="AA497" t="s">
        <v>64</v>
      </c>
    </row>
    <row r="498" spans="1:27" x14ac:dyDescent="0.3">
      <c r="A498" t="s">
        <v>589</v>
      </c>
      <c r="B498">
        <v>27</v>
      </c>
      <c r="C498" t="s">
        <v>28</v>
      </c>
      <c r="D498">
        <v>9.1</v>
      </c>
      <c r="E498" t="s">
        <v>76</v>
      </c>
      <c r="F498" t="s">
        <v>77</v>
      </c>
      <c r="G498" t="s">
        <v>31</v>
      </c>
      <c r="H498">
        <v>5.9</v>
      </c>
      <c r="I498" t="s">
        <v>32</v>
      </c>
      <c r="J498" t="s">
        <v>36</v>
      </c>
      <c r="K498" t="s">
        <v>129</v>
      </c>
      <c r="M498">
        <v>8</v>
      </c>
      <c r="N498" t="s">
        <v>35</v>
      </c>
      <c r="O498" t="s">
        <v>42</v>
      </c>
      <c r="P498" t="b">
        <v>1</v>
      </c>
      <c r="Q498" t="b">
        <v>0</v>
      </c>
      <c r="R498" t="b">
        <v>0</v>
      </c>
      <c r="S498" t="b">
        <v>1</v>
      </c>
      <c r="T498" t="b">
        <v>1</v>
      </c>
      <c r="U498">
        <v>0.2</v>
      </c>
      <c r="V498">
        <v>6.4</v>
      </c>
      <c r="W498">
        <v>6</v>
      </c>
      <c r="X498">
        <v>5.0999999999999996</v>
      </c>
      <c r="Y498">
        <v>224.46</v>
      </c>
      <c r="Z498">
        <v>5</v>
      </c>
      <c r="AA498" t="s">
        <v>58</v>
      </c>
    </row>
    <row r="499" spans="1:27" x14ac:dyDescent="0.3">
      <c r="A499" t="s">
        <v>590</v>
      </c>
      <c r="B499">
        <v>22</v>
      </c>
      <c r="C499" t="s">
        <v>28</v>
      </c>
      <c r="D499">
        <v>9.5</v>
      </c>
      <c r="E499" t="s">
        <v>60</v>
      </c>
      <c r="F499" t="s">
        <v>200</v>
      </c>
      <c r="G499" t="s">
        <v>31</v>
      </c>
      <c r="H499">
        <v>3.7</v>
      </c>
      <c r="I499" t="s">
        <v>41</v>
      </c>
      <c r="J499" t="s">
        <v>74</v>
      </c>
      <c r="K499" t="s">
        <v>62</v>
      </c>
      <c r="L499">
        <v>1.1399999999999999</v>
      </c>
      <c r="M499">
        <v>4</v>
      </c>
      <c r="N499" t="s">
        <v>63</v>
      </c>
      <c r="O499" t="s">
        <v>42</v>
      </c>
      <c r="P499" t="b">
        <v>0</v>
      </c>
      <c r="Q499" t="b">
        <v>1</v>
      </c>
      <c r="R499" t="b">
        <v>0</v>
      </c>
      <c r="S499" t="b">
        <v>1</v>
      </c>
      <c r="T499" t="b">
        <v>1</v>
      </c>
      <c r="U499">
        <v>2.2000000000000002</v>
      </c>
      <c r="V499">
        <v>5.7</v>
      </c>
      <c r="W499">
        <v>6</v>
      </c>
      <c r="X499">
        <v>3.3</v>
      </c>
      <c r="Y499">
        <v>207.65</v>
      </c>
      <c r="Z499">
        <v>4</v>
      </c>
      <c r="AA499" t="s">
        <v>58</v>
      </c>
    </row>
    <row r="500" spans="1:27" x14ac:dyDescent="0.3">
      <c r="A500" t="s">
        <v>591</v>
      </c>
      <c r="B500">
        <v>20</v>
      </c>
      <c r="C500" t="s">
        <v>28</v>
      </c>
      <c r="D500">
        <v>5.9</v>
      </c>
      <c r="E500" t="s">
        <v>60</v>
      </c>
      <c r="F500" t="s">
        <v>102</v>
      </c>
      <c r="G500" t="s">
        <v>50</v>
      </c>
      <c r="H500">
        <v>6.7</v>
      </c>
      <c r="I500" t="s">
        <v>43</v>
      </c>
      <c r="J500" t="s">
        <v>74</v>
      </c>
      <c r="K500" t="s">
        <v>62</v>
      </c>
      <c r="L500">
        <v>2.14</v>
      </c>
      <c r="M500">
        <v>8</v>
      </c>
      <c r="N500" t="s">
        <v>80</v>
      </c>
      <c r="O500" t="s">
        <v>45</v>
      </c>
      <c r="P500" t="b">
        <v>0</v>
      </c>
      <c r="Q500" t="b">
        <v>0</v>
      </c>
      <c r="R500" t="b">
        <v>0</v>
      </c>
      <c r="S500" t="b">
        <v>0</v>
      </c>
      <c r="T500" t="b">
        <v>1</v>
      </c>
      <c r="U500">
        <v>0.3</v>
      </c>
      <c r="V500">
        <v>5.4</v>
      </c>
      <c r="W500">
        <v>3</v>
      </c>
      <c r="X500">
        <v>10.7</v>
      </c>
      <c r="Y500">
        <v>131.69999999999999</v>
      </c>
      <c r="Z500">
        <v>6</v>
      </c>
      <c r="AA500" t="s">
        <v>46</v>
      </c>
    </row>
    <row r="501" spans="1:27" x14ac:dyDescent="0.3">
      <c r="A501" t="s">
        <v>592</v>
      </c>
      <c r="B501">
        <v>20</v>
      </c>
      <c r="C501" t="s">
        <v>53</v>
      </c>
      <c r="D501">
        <v>7.1</v>
      </c>
      <c r="E501" t="s">
        <v>60</v>
      </c>
      <c r="F501" t="s">
        <v>200</v>
      </c>
      <c r="G501" t="s">
        <v>71</v>
      </c>
      <c r="H501">
        <v>4.7</v>
      </c>
      <c r="I501" t="s">
        <v>51</v>
      </c>
      <c r="J501" t="s">
        <v>33</v>
      </c>
      <c r="K501" t="s">
        <v>34</v>
      </c>
      <c r="L501">
        <v>1.02</v>
      </c>
      <c r="M501">
        <v>3</v>
      </c>
      <c r="N501" t="s">
        <v>44</v>
      </c>
      <c r="O501" t="s">
        <v>33</v>
      </c>
      <c r="P501" t="b">
        <v>1</v>
      </c>
      <c r="Q501" t="b">
        <v>1</v>
      </c>
      <c r="R501" t="b">
        <v>0</v>
      </c>
      <c r="S501" t="b">
        <v>1</v>
      </c>
      <c r="T501" t="b">
        <v>1</v>
      </c>
      <c r="U501">
        <v>3.6</v>
      </c>
      <c r="V501">
        <v>5.5</v>
      </c>
      <c r="W501">
        <v>3</v>
      </c>
      <c r="X501">
        <v>5</v>
      </c>
      <c r="Y501">
        <v>142.02000000000001</v>
      </c>
      <c r="Z501">
        <v>3</v>
      </c>
      <c r="AA501" t="s">
        <v>58</v>
      </c>
    </row>
    <row r="502" spans="1:27" x14ac:dyDescent="0.3">
      <c r="A502" t="s">
        <v>593</v>
      </c>
      <c r="B502">
        <v>18</v>
      </c>
      <c r="C502" t="s">
        <v>28</v>
      </c>
      <c r="D502">
        <v>9.6</v>
      </c>
      <c r="E502" t="s">
        <v>60</v>
      </c>
      <c r="F502" t="s">
        <v>61</v>
      </c>
      <c r="G502" t="s">
        <v>50</v>
      </c>
      <c r="H502">
        <v>3.7</v>
      </c>
      <c r="I502" t="s">
        <v>32</v>
      </c>
      <c r="J502" t="s">
        <v>74</v>
      </c>
      <c r="K502" t="s">
        <v>51</v>
      </c>
      <c r="L502">
        <v>3.97</v>
      </c>
      <c r="N502" t="s">
        <v>80</v>
      </c>
      <c r="O502" t="s">
        <v>42</v>
      </c>
      <c r="P502" t="b">
        <v>0</v>
      </c>
      <c r="Q502" t="b">
        <v>0</v>
      </c>
      <c r="R502" t="b">
        <v>0</v>
      </c>
      <c r="S502" t="b">
        <v>1</v>
      </c>
      <c r="T502" t="b">
        <v>1</v>
      </c>
      <c r="U502">
        <v>6.7</v>
      </c>
      <c r="V502">
        <v>5.6</v>
      </c>
      <c r="W502">
        <v>6</v>
      </c>
      <c r="X502">
        <v>2.2999999999999998</v>
      </c>
      <c r="Y502">
        <v>82.52</v>
      </c>
      <c r="Z502">
        <v>4</v>
      </c>
      <c r="AA502" t="s">
        <v>64</v>
      </c>
    </row>
    <row r="503" spans="1:27" x14ac:dyDescent="0.3">
      <c r="A503" t="s">
        <v>594</v>
      </c>
      <c r="B503">
        <v>23</v>
      </c>
      <c r="C503" t="s">
        <v>53</v>
      </c>
      <c r="D503">
        <v>4.0999999999999996</v>
      </c>
      <c r="E503" t="s">
        <v>54</v>
      </c>
      <c r="F503" t="s">
        <v>55</v>
      </c>
      <c r="G503" t="s">
        <v>86</v>
      </c>
      <c r="H503">
        <v>5.6</v>
      </c>
      <c r="I503" t="s">
        <v>51</v>
      </c>
      <c r="J503" t="s">
        <v>42</v>
      </c>
      <c r="K503" t="s">
        <v>34</v>
      </c>
      <c r="M503">
        <v>1</v>
      </c>
      <c r="N503" t="s">
        <v>66</v>
      </c>
      <c r="O503" t="s">
        <v>42</v>
      </c>
      <c r="P503" t="b">
        <v>0</v>
      </c>
      <c r="Q503" t="b">
        <v>0</v>
      </c>
      <c r="R503" t="b">
        <v>0</v>
      </c>
      <c r="S503" t="b">
        <v>0</v>
      </c>
      <c r="T503" t="b">
        <v>0</v>
      </c>
      <c r="U503">
        <v>2.5</v>
      </c>
      <c r="V503">
        <v>6.6</v>
      </c>
      <c r="W503">
        <v>2</v>
      </c>
      <c r="X503">
        <v>11.9</v>
      </c>
      <c r="Y503">
        <v>34.53</v>
      </c>
      <c r="Z503">
        <v>8</v>
      </c>
      <c r="AA503" t="s">
        <v>46</v>
      </c>
    </row>
    <row r="504" spans="1:27" x14ac:dyDescent="0.3">
      <c r="A504" t="s">
        <v>595</v>
      </c>
      <c r="B504">
        <v>19</v>
      </c>
      <c r="C504" t="s">
        <v>28</v>
      </c>
      <c r="D504">
        <v>7.5</v>
      </c>
      <c r="E504" t="s">
        <v>54</v>
      </c>
      <c r="F504" t="s">
        <v>55</v>
      </c>
      <c r="G504" t="s">
        <v>31</v>
      </c>
      <c r="H504">
        <v>3.3</v>
      </c>
      <c r="I504" t="s">
        <v>78</v>
      </c>
      <c r="J504" t="s">
        <v>33</v>
      </c>
      <c r="K504" t="s">
        <v>62</v>
      </c>
      <c r="L504">
        <v>1.78</v>
      </c>
      <c r="M504">
        <v>4</v>
      </c>
      <c r="N504" t="s">
        <v>105</v>
      </c>
      <c r="O504" t="s">
        <v>57</v>
      </c>
      <c r="P504" t="b">
        <v>0</v>
      </c>
      <c r="Q504" t="b">
        <v>0</v>
      </c>
      <c r="R504" t="b">
        <v>0</v>
      </c>
      <c r="S504" t="b">
        <v>0</v>
      </c>
      <c r="T504" t="b">
        <v>0</v>
      </c>
      <c r="U504">
        <v>1</v>
      </c>
      <c r="V504">
        <v>8</v>
      </c>
      <c r="W504">
        <v>5</v>
      </c>
      <c r="X504">
        <v>7.3</v>
      </c>
      <c r="Y504">
        <v>70.7</v>
      </c>
      <c r="Z504">
        <v>5</v>
      </c>
      <c r="AA504" t="s">
        <v>46</v>
      </c>
    </row>
    <row r="505" spans="1:27" x14ac:dyDescent="0.3">
      <c r="A505" t="s">
        <v>596</v>
      </c>
      <c r="B505">
        <v>14</v>
      </c>
      <c r="C505" t="s">
        <v>28</v>
      </c>
      <c r="D505">
        <v>3.5</v>
      </c>
      <c r="E505" t="s">
        <v>76</v>
      </c>
      <c r="F505" t="s">
        <v>126</v>
      </c>
      <c r="G505" t="s">
        <v>50</v>
      </c>
      <c r="H505">
        <v>7.9</v>
      </c>
      <c r="I505" t="s">
        <v>51</v>
      </c>
      <c r="J505" t="s">
        <v>36</v>
      </c>
      <c r="K505" t="s">
        <v>43</v>
      </c>
      <c r="L505">
        <v>2.4500000000000002</v>
      </c>
      <c r="N505" t="s">
        <v>80</v>
      </c>
      <c r="O505" t="s">
        <v>42</v>
      </c>
      <c r="P505" t="b">
        <v>0</v>
      </c>
      <c r="Q505" t="b">
        <v>0</v>
      </c>
      <c r="R505" t="b">
        <v>0</v>
      </c>
      <c r="S505" t="b">
        <v>0</v>
      </c>
      <c r="T505" t="b">
        <v>0</v>
      </c>
      <c r="U505">
        <v>1.1000000000000001</v>
      </c>
      <c r="V505">
        <v>7.9</v>
      </c>
      <c r="W505">
        <v>3</v>
      </c>
      <c r="X505">
        <v>11.2</v>
      </c>
      <c r="Y505">
        <v>10.74</v>
      </c>
      <c r="Z505">
        <v>2</v>
      </c>
      <c r="AA505" t="s">
        <v>46</v>
      </c>
    </row>
    <row r="506" spans="1:27" x14ac:dyDescent="0.3">
      <c r="A506" t="s">
        <v>597</v>
      </c>
      <c r="B506">
        <v>27</v>
      </c>
      <c r="C506" t="s">
        <v>53</v>
      </c>
      <c r="D506">
        <v>0.8</v>
      </c>
      <c r="E506" t="s">
        <v>54</v>
      </c>
      <c r="F506" t="s">
        <v>98</v>
      </c>
      <c r="G506" t="s">
        <v>50</v>
      </c>
      <c r="H506">
        <v>8.1999999999999993</v>
      </c>
      <c r="I506" t="s">
        <v>43</v>
      </c>
      <c r="J506" t="s">
        <v>45</v>
      </c>
      <c r="K506" t="s">
        <v>43</v>
      </c>
      <c r="M506">
        <v>6</v>
      </c>
      <c r="N506" t="s">
        <v>35</v>
      </c>
      <c r="O506" t="s">
        <v>45</v>
      </c>
      <c r="P506" t="b">
        <v>0</v>
      </c>
      <c r="Q506" t="b">
        <v>0</v>
      </c>
      <c r="R506" t="b">
        <v>0</v>
      </c>
      <c r="S506" t="b">
        <v>0</v>
      </c>
      <c r="T506" t="b">
        <v>0</v>
      </c>
      <c r="U506">
        <v>0.2</v>
      </c>
      <c r="V506">
        <v>10.5</v>
      </c>
      <c r="W506">
        <v>1</v>
      </c>
      <c r="X506">
        <v>14.3</v>
      </c>
      <c r="Y506">
        <v>27.33</v>
      </c>
      <c r="Z506">
        <v>17</v>
      </c>
      <c r="AA506" t="s">
        <v>46</v>
      </c>
    </row>
    <row r="507" spans="1:27" x14ac:dyDescent="0.3">
      <c r="A507" t="s">
        <v>598</v>
      </c>
      <c r="B507">
        <v>18</v>
      </c>
      <c r="C507" t="s">
        <v>53</v>
      </c>
      <c r="D507">
        <v>9.4</v>
      </c>
      <c r="E507" t="s">
        <v>76</v>
      </c>
      <c r="F507" t="s">
        <v>126</v>
      </c>
      <c r="G507" t="s">
        <v>86</v>
      </c>
      <c r="H507">
        <v>3.6</v>
      </c>
      <c r="I507" t="s">
        <v>32</v>
      </c>
      <c r="J507" t="s">
        <v>42</v>
      </c>
      <c r="K507" t="s">
        <v>34</v>
      </c>
      <c r="L507">
        <v>3.04</v>
      </c>
      <c r="N507" t="s">
        <v>44</v>
      </c>
      <c r="O507" t="s">
        <v>57</v>
      </c>
      <c r="P507" t="b">
        <v>0</v>
      </c>
      <c r="Q507" t="b">
        <v>0</v>
      </c>
      <c r="R507" t="b">
        <v>1</v>
      </c>
      <c r="S507" t="b">
        <v>0</v>
      </c>
      <c r="T507" t="b">
        <v>0</v>
      </c>
      <c r="U507">
        <v>4.7</v>
      </c>
      <c r="V507">
        <v>7.1</v>
      </c>
      <c r="W507">
        <v>4</v>
      </c>
      <c r="X507">
        <v>5.3</v>
      </c>
      <c r="Y507">
        <v>470.19</v>
      </c>
      <c r="Z507">
        <v>2</v>
      </c>
      <c r="AA507" t="s">
        <v>58</v>
      </c>
    </row>
    <row r="508" spans="1:27" x14ac:dyDescent="0.3">
      <c r="A508" t="s">
        <v>599</v>
      </c>
      <c r="B508">
        <v>21</v>
      </c>
      <c r="C508" t="s">
        <v>28</v>
      </c>
      <c r="D508">
        <v>5.5</v>
      </c>
      <c r="E508" t="s">
        <v>48</v>
      </c>
      <c r="F508" t="s">
        <v>128</v>
      </c>
      <c r="G508" t="s">
        <v>50</v>
      </c>
      <c r="H508">
        <v>6.3</v>
      </c>
      <c r="I508" t="s">
        <v>41</v>
      </c>
      <c r="J508" t="s">
        <v>33</v>
      </c>
      <c r="K508" t="s">
        <v>34</v>
      </c>
      <c r="L508">
        <v>3.86</v>
      </c>
      <c r="M508">
        <v>4</v>
      </c>
      <c r="N508" t="s">
        <v>44</v>
      </c>
      <c r="O508" t="s">
        <v>45</v>
      </c>
      <c r="P508" t="b">
        <v>0</v>
      </c>
      <c r="Q508" t="b">
        <v>0</v>
      </c>
      <c r="R508" t="b">
        <v>0</v>
      </c>
      <c r="S508" t="b">
        <v>1</v>
      </c>
      <c r="T508" t="b">
        <v>0</v>
      </c>
      <c r="U508">
        <v>1.6</v>
      </c>
      <c r="V508">
        <v>9.1</v>
      </c>
      <c r="W508">
        <v>3</v>
      </c>
      <c r="X508">
        <v>6</v>
      </c>
      <c r="Y508">
        <v>91.49</v>
      </c>
      <c r="Z508">
        <v>11</v>
      </c>
      <c r="AA508" t="s">
        <v>46</v>
      </c>
    </row>
    <row r="509" spans="1:27" x14ac:dyDescent="0.3">
      <c r="A509" t="s">
        <v>600</v>
      </c>
      <c r="B509">
        <v>18</v>
      </c>
      <c r="C509" t="s">
        <v>28</v>
      </c>
      <c r="D509">
        <v>4.5999999999999996</v>
      </c>
      <c r="E509" t="s">
        <v>48</v>
      </c>
      <c r="F509" t="s">
        <v>214</v>
      </c>
      <c r="G509" t="s">
        <v>31</v>
      </c>
      <c r="H509">
        <v>6.8</v>
      </c>
      <c r="I509" t="s">
        <v>43</v>
      </c>
      <c r="J509" t="s">
        <v>74</v>
      </c>
      <c r="K509" t="s">
        <v>51</v>
      </c>
      <c r="L509">
        <v>3.77</v>
      </c>
      <c r="N509" t="s">
        <v>63</v>
      </c>
      <c r="O509" t="s">
        <v>33</v>
      </c>
      <c r="P509" t="b">
        <v>0</v>
      </c>
      <c r="Q509" t="b">
        <v>0</v>
      </c>
      <c r="R509" t="b">
        <v>0</v>
      </c>
      <c r="S509" t="b">
        <v>1</v>
      </c>
      <c r="T509" t="b">
        <v>0</v>
      </c>
      <c r="U509">
        <v>2.4</v>
      </c>
      <c r="V509">
        <v>8.5</v>
      </c>
      <c r="W509">
        <v>2</v>
      </c>
      <c r="X509">
        <v>7.1</v>
      </c>
      <c r="Y509">
        <v>96.69</v>
      </c>
      <c r="Z509">
        <v>7</v>
      </c>
      <c r="AA509" t="s">
        <v>46</v>
      </c>
    </row>
    <row r="510" spans="1:27" x14ac:dyDescent="0.3">
      <c r="A510" t="s">
        <v>601</v>
      </c>
      <c r="B510">
        <v>18</v>
      </c>
      <c r="C510" t="s">
        <v>28</v>
      </c>
      <c r="D510">
        <v>3.5</v>
      </c>
      <c r="E510" t="s">
        <v>48</v>
      </c>
      <c r="F510" t="s">
        <v>214</v>
      </c>
      <c r="G510" t="s">
        <v>50</v>
      </c>
      <c r="H510">
        <v>8.4</v>
      </c>
      <c r="I510" t="s">
        <v>43</v>
      </c>
      <c r="J510" t="s">
        <v>36</v>
      </c>
      <c r="K510" t="s">
        <v>43</v>
      </c>
      <c r="L510">
        <v>3.76</v>
      </c>
      <c r="N510" t="s">
        <v>121</v>
      </c>
      <c r="O510" t="s">
        <v>42</v>
      </c>
      <c r="P510" t="b">
        <v>0</v>
      </c>
      <c r="Q510" t="b">
        <v>0</v>
      </c>
      <c r="R510" t="b">
        <v>0</v>
      </c>
      <c r="S510" t="b">
        <v>0</v>
      </c>
      <c r="T510" t="b">
        <v>0</v>
      </c>
      <c r="U510">
        <v>1</v>
      </c>
      <c r="V510">
        <v>10</v>
      </c>
      <c r="W510">
        <v>1</v>
      </c>
      <c r="X510">
        <v>12.8</v>
      </c>
      <c r="Y510">
        <v>38.67</v>
      </c>
      <c r="Z510">
        <v>6</v>
      </c>
      <c r="AA510" t="s">
        <v>46</v>
      </c>
    </row>
    <row r="511" spans="1:27" x14ac:dyDescent="0.3">
      <c r="A511" t="s">
        <v>602</v>
      </c>
      <c r="B511">
        <v>19</v>
      </c>
      <c r="C511" t="s">
        <v>28</v>
      </c>
      <c r="D511">
        <v>5.7</v>
      </c>
      <c r="E511" t="s">
        <v>60</v>
      </c>
      <c r="F511" t="s">
        <v>96</v>
      </c>
      <c r="G511" t="s">
        <v>31</v>
      </c>
      <c r="H511">
        <v>6.4</v>
      </c>
      <c r="I511" t="s">
        <v>43</v>
      </c>
      <c r="J511" t="s">
        <v>74</v>
      </c>
      <c r="K511" t="s">
        <v>34</v>
      </c>
      <c r="L511">
        <v>2.06</v>
      </c>
      <c r="M511">
        <v>7</v>
      </c>
      <c r="N511" t="s">
        <v>69</v>
      </c>
      <c r="O511" t="s">
        <v>57</v>
      </c>
      <c r="P511" t="b">
        <v>0</v>
      </c>
      <c r="Q511" t="b">
        <v>1</v>
      </c>
      <c r="R511" t="b">
        <v>0</v>
      </c>
      <c r="S511" t="b">
        <v>1</v>
      </c>
      <c r="T511" t="b">
        <v>1</v>
      </c>
      <c r="U511">
        <v>4.3</v>
      </c>
      <c r="V511">
        <v>6.6</v>
      </c>
      <c r="W511">
        <v>6</v>
      </c>
      <c r="X511">
        <v>10</v>
      </c>
      <c r="Y511">
        <v>89.3</v>
      </c>
      <c r="Z511">
        <v>6</v>
      </c>
      <c r="AA511" t="s">
        <v>64</v>
      </c>
    </row>
    <row r="512" spans="1:27" x14ac:dyDescent="0.3">
      <c r="A512" t="s">
        <v>603</v>
      </c>
      <c r="B512">
        <v>22</v>
      </c>
      <c r="C512" t="s">
        <v>28</v>
      </c>
      <c r="D512">
        <v>1</v>
      </c>
      <c r="E512" t="s">
        <v>82</v>
      </c>
      <c r="F512" t="s">
        <v>134</v>
      </c>
      <c r="G512" t="s">
        <v>71</v>
      </c>
      <c r="H512">
        <v>8</v>
      </c>
      <c r="I512" t="s">
        <v>41</v>
      </c>
      <c r="J512" t="s">
        <v>33</v>
      </c>
      <c r="K512" t="s">
        <v>43</v>
      </c>
      <c r="L512">
        <v>3.87</v>
      </c>
      <c r="M512">
        <v>9</v>
      </c>
      <c r="N512" t="s">
        <v>35</v>
      </c>
      <c r="O512" t="s">
        <v>57</v>
      </c>
      <c r="P512" t="b">
        <v>0</v>
      </c>
      <c r="Q512" t="b">
        <v>0</v>
      </c>
      <c r="R512" t="b">
        <v>0</v>
      </c>
      <c r="S512" t="b">
        <v>0</v>
      </c>
      <c r="T512" t="b">
        <v>0</v>
      </c>
      <c r="U512">
        <v>0.1</v>
      </c>
      <c r="V512">
        <v>11.3</v>
      </c>
      <c r="W512">
        <v>1</v>
      </c>
      <c r="X512">
        <v>14.9</v>
      </c>
      <c r="Y512">
        <v>7.33</v>
      </c>
      <c r="Z512">
        <v>6</v>
      </c>
      <c r="AA512" t="s">
        <v>46</v>
      </c>
    </row>
    <row r="513" spans="1:27" x14ac:dyDescent="0.3">
      <c r="A513" t="s">
        <v>604</v>
      </c>
      <c r="B513">
        <v>19</v>
      </c>
      <c r="C513" t="s">
        <v>53</v>
      </c>
      <c r="D513">
        <v>6.7</v>
      </c>
      <c r="E513" t="s">
        <v>29</v>
      </c>
      <c r="F513" t="s">
        <v>118</v>
      </c>
      <c r="G513" t="s">
        <v>71</v>
      </c>
      <c r="H513">
        <v>3.1</v>
      </c>
      <c r="I513" t="s">
        <v>41</v>
      </c>
      <c r="J513" t="s">
        <v>36</v>
      </c>
      <c r="K513" t="s">
        <v>34</v>
      </c>
      <c r="L513">
        <v>2.79</v>
      </c>
      <c r="M513">
        <v>9</v>
      </c>
      <c r="N513" t="s">
        <v>69</v>
      </c>
      <c r="O513" t="s">
        <v>36</v>
      </c>
      <c r="P513" t="b">
        <v>0</v>
      </c>
      <c r="Q513" t="b">
        <v>0</v>
      </c>
      <c r="R513" t="b">
        <v>0</v>
      </c>
      <c r="S513" t="b">
        <v>0</v>
      </c>
      <c r="T513" t="b">
        <v>1</v>
      </c>
      <c r="U513">
        <v>1.2</v>
      </c>
      <c r="V513">
        <v>8.1999999999999993</v>
      </c>
      <c r="W513">
        <v>2</v>
      </c>
      <c r="X513">
        <v>5</v>
      </c>
      <c r="Y513">
        <v>103.77</v>
      </c>
      <c r="Z513">
        <v>5</v>
      </c>
      <c r="AA513" t="s">
        <v>46</v>
      </c>
    </row>
    <row r="514" spans="1:27" x14ac:dyDescent="0.3">
      <c r="A514" t="s">
        <v>605</v>
      </c>
      <c r="B514">
        <v>14</v>
      </c>
      <c r="C514" t="s">
        <v>28</v>
      </c>
      <c r="D514">
        <v>2.1</v>
      </c>
      <c r="E514" t="s">
        <v>39</v>
      </c>
      <c r="F514" t="s">
        <v>40</v>
      </c>
      <c r="G514" t="s">
        <v>71</v>
      </c>
      <c r="H514">
        <v>7.3</v>
      </c>
      <c r="I514" t="s">
        <v>41</v>
      </c>
      <c r="J514" t="s">
        <v>33</v>
      </c>
      <c r="K514" t="s">
        <v>84</v>
      </c>
      <c r="L514">
        <v>3.63</v>
      </c>
      <c r="N514" t="s">
        <v>66</v>
      </c>
      <c r="O514" t="s">
        <v>57</v>
      </c>
      <c r="P514" t="b">
        <v>0</v>
      </c>
      <c r="Q514" t="b">
        <v>0</v>
      </c>
      <c r="R514" t="b">
        <v>0</v>
      </c>
      <c r="S514" t="b">
        <v>0</v>
      </c>
      <c r="T514" t="b">
        <v>0</v>
      </c>
      <c r="U514">
        <v>0.5</v>
      </c>
      <c r="V514">
        <v>8.1999999999999993</v>
      </c>
      <c r="W514">
        <v>3</v>
      </c>
      <c r="X514">
        <v>12.1</v>
      </c>
      <c r="Y514">
        <v>41.89</v>
      </c>
      <c r="Z514">
        <v>3</v>
      </c>
      <c r="AA514" t="s">
        <v>46</v>
      </c>
    </row>
    <row r="515" spans="1:27" x14ac:dyDescent="0.3">
      <c r="A515" t="s">
        <v>606</v>
      </c>
      <c r="B515">
        <v>24</v>
      </c>
      <c r="C515" t="s">
        <v>53</v>
      </c>
      <c r="D515">
        <v>3.7</v>
      </c>
      <c r="E515" t="s">
        <v>82</v>
      </c>
      <c r="F515" t="s">
        <v>167</v>
      </c>
      <c r="G515" t="s">
        <v>86</v>
      </c>
      <c r="H515">
        <v>6.1</v>
      </c>
      <c r="I515" t="s">
        <v>43</v>
      </c>
      <c r="J515" t="s">
        <v>45</v>
      </c>
      <c r="K515" t="s">
        <v>43</v>
      </c>
      <c r="M515">
        <v>1</v>
      </c>
      <c r="N515" t="s">
        <v>80</v>
      </c>
      <c r="O515" t="s">
        <v>36</v>
      </c>
      <c r="P515" t="b">
        <v>0</v>
      </c>
      <c r="Q515" t="b">
        <v>0</v>
      </c>
      <c r="R515" t="b">
        <v>0</v>
      </c>
      <c r="S515" t="b">
        <v>0</v>
      </c>
      <c r="T515" t="b">
        <v>0</v>
      </c>
      <c r="U515">
        <v>2.1</v>
      </c>
      <c r="V515">
        <v>6.1</v>
      </c>
      <c r="W515">
        <v>3</v>
      </c>
      <c r="X515">
        <v>10.8</v>
      </c>
      <c r="Y515">
        <v>7.4</v>
      </c>
      <c r="Z515">
        <v>3</v>
      </c>
      <c r="AA515" t="s">
        <v>46</v>
      </c>
    </row>
    <row r="516" spans="1:27" x14ac:dyDescent="0.3">
      <c r="A516" t="s">
        <v>607</v>
      </c>
      <c r="B516">
        <v>15</v>
      </c>
      <c r="C516" t="s">
        <v>28</v>
      </c>
      <c r="D516">
        <v>11.2</v>
      </c>
      <c r="E516" t="s">
        <v>82</v>
      </c>
      <c r="F516" t="s">
        <v>83</v>
      </c>
      <c r="G516" t="s">
        <v>50</v>
      </c>
      <c r="H516">
        <v>3.4</v>
      </c>
      <c r="I516" t="s">
        <v>32</v>
      </c>
      <c r="J516" t="s">
        <v>33</v>
      </c>
      <c r="K516" t="s">
        <v>34</v>
      </c>
      <c r="L516">
        <v>2.41</v>
      </c>
      <c r="N516" t="s">
        <v>44</v>
      </c>
      <c r="O516" t="s">
        <v>36</v>
      </c>
      <c r="P516" t="b">
        <v>1</v>
      </c>
      <c r="Q516" t="b">
        <v>0</v>
      </c>
      <c r="R516" t="b">
        <v>0</v>
      </c>
      <c r="S516" t="b">
        <v>0</v>
      </c>
      <c r="T516" t="b">
        <v>0</v>
      </c>
      <c r="U516">
        <v>3</v>
      </c>
      <c r="V516">
        <v>4.5999999999999996</v>
      </c>
      <c r="W516">
        <v>8</v>
      </c>
      <c r="X516">
        <v>0.6</v>
      </c>
      <c r="Y516">
        <v>436.35</v>
      </c>
      <c r="Z516">
        <v>5</v>
      </c>
      <c r="AA516" t="s">
        <v>58</v>
      </c>
    </row>
    <row r="517" spans="1:27" x14ac:dyDescent="0.3">
      <c r="A517" t="s">
        <v>608</v>
      </c>
      <c r="B517">
        <v>17</v>
      </c>
      <c r="C517" t="s">
        <v>28</v>
      </c>
      <c r="D517">
        <v>6.3</v>
      </c>
      <c r="E517" t="s">
        <v>60</v>
      </c>
      <c r="F517" t="s">
        <v>96</v>
      </c>
      <c r="G517" t="s">
        <v>50</v>
      </c>
      <c r="H517">
        <v>6.2</v>
      </c>
      <c r="I517" t="s">
        <v>51</v>
      </c>
      <c r="J517" t="s">
        <v>45</v>
      </c>
      <c r="K517" t="s">
        <v>62</v>
      </c>
      <c r="L517">
        <v>2.2000000000000002</v>
      </c>
      <c r="N517" t="s">
        <v>66</v>
      </c>
      <c r="O517" t="s">
        <v>42</v>
      </c>
      <c r="P517" t="b">
        <v>0</v>
      </c>
      <c r="Q517" t="b">
        <v>1</v>
      </c>
      <c r="R517" t="b">
        <v>0</v>
      </c>
      <c r="S517" t="b">
        <v>0</v>
      </c>
      <c r="T517" t="b">
        <v>1</v>
      </c>
      <c r="U517">
        <v>0.1</v>
      </c>
      <c r="V517">
        <v>7.1</v>
      </c>
      <c r="W517">
        <v>4</v>
      </c>
      <c r="X517">
        <v>9.9</v>
      </c>
      <c r="Y517">
        <v>85.83</v>
      </c>
      <c r="Z517">
        <v>3</v>
      </c>
      <c r="AA517" t="s">
        <v>64</v>
      </c>
    </row>
    <row r="518" spans="1:27" x14ac:dyDescent="0.3">
      <c r="A518" t="s">
        <v>609</v>
      </c>
      <c r="B518">
        <v>20</v>
      </c>
      <c r="C518" t="s">
        <v>28</v>
      </c>
      <c r="D518">
        <v>12.2</v>
      </c>
      <c r="E518" t="s">
        <v>60</v>
      </c>
      <c r="F518" t="s">
        <v>61</v>
      </c>
      <c r="G518" t="s">
        <v>71</v>
      </c>
      <c r="H518">
        <v>5.3</v>
      </c>
      <c r="I518" t="s">
        <v>32</v>
      </c>
      <c r="J518" t="s">
        <v>42</v>
      </c>
      <c r="K518" t="s">
        <v>34</v>
      </c>
      <c r="L518">
        <v>3.3</v>
      </c>
      <c r="M518">
        <v>9</v>
      </c>
      <c r="N518" t="s">
        <v>44</v>
      </c>
      <c r="O518" t="s">
        <v>57</v>
      </c>
      <c r="P518" t="b">
        <v>1</v>
      </c>
      <c r="Q518" t="b">
        <v>0</v>
      </c>
      <c r="R518" t="b">
        <v>0</v>
      </c>
      <c r="S518" t="b">
        <v>1</v>
      </c>
      <c r="T518" t="b">
        <v>1</v>
      </c>
      <c r="U518">
        <v>1.2</v>
      </c>
      <c r="V518">
        <v>4.0999999999999996</v>
      </c>
      <c r="W518">
        <v>7</v>
      </c>
      <c r="X518">
        <v>0.5</v>
      </c>
      <c r="Y518">
        <v>343.9</v>
      </c>
      <c r="Z518">
        <v>8</v>
      </c>
      <c r="AA518" t="s">
        <v>58</v>
      </c>
    </row>
    <row r="519" spans="1:27" x14ac:dyDescent="0.3">
      <c r="A519" t="s">
        <v>610</v>
      </c>
      <c r="B519">
        <v>20</v>
      </c>
      <c r="C519" t="s">
        <v>28</v>
      </c>
      <c r="D519">
        <v>5.4</v>
      </c>
      <c r="E519" t="s">
        <v>76</v>
      </c>
      <c r="F519" t="s">
        <v>77</v>
      </c>
      <c r="G519" t="s">
        <v>86</v>
      </c>
      <c r="H519">
        <v>5.9</v>
      </c>
      <c r="I519" t="s">
        <v>32</v>
      </c>
      <c r="J519" t="s">
        <v>45</v>
      </c>
      <c r="K519" t="s">
        <v>51</v>
      </c>
      <c r="L519">
        <v>1.63</v>
      </c>
      <c r="M519">
        <v>10</v>
      </c>
      <c r="N519" t="s">
        <v>35</v>
      </c>
      <c r="O519" t="s">
        <v>36</v>
      </c>
      <c r="P519" t="b">
        <v>0</v>
      </c>
      <c r="Q519" t="b">
        <v>0</v>
      </c>
      <c r="R519" t="b">
        <v>0</v>
      </c>
      <c r="S519" t="b">
        <v>1</v>
      </c>
      <c r="T519" t="b">
        <v>0</v>
      </c>
      <c r="U519">
        <v>0.2</v>
      </c>
      <c r="V519">
        <v>6.9</v>
      </c>
      <c r="W519">
        <v>3</v>
      </c>
      <c r="X519">
        <v>9.9</v>
      </c>
      <c r="Y519">
        <v>114.75</v>
      </c>
      <c r="Z519">
        <v>9</v>
      </c>
      <c r="AA519" t="s">
        <v>46</v>
      </c>
    </row>
    <row r="520" spans="1:27" x14ac:dyDescent="0.3">
      <c r="A520" t="s">
        <v>611</v>
      </c>
      <c r="B520">
        <v>16</v>
      </c>
      <c r="C520" t="s">
        <v>28</v>
      </c>
      <c r="D520">
        <v>7.8</v>
      </c>
      <c r="E520" t="s">
        <v>39</v>
      </c>
      <c r="F520" t="s">
        <v>120</v>
      </c>
      <c r="G520" t="s">
        <v>86</v>
      </c>
      <c r="H520">
        <v>3.1</v>
      </c>
      <c r="I520" t="s">
        <v>41</v>
      </c>
      <c r="J520" t="s">
        <v>36</v>
      </c>
      <c r="K520" t="s">
        <v>43</v>
      </c>
      <c r="L520">
        <v>1.33</v>
      </c>
      <c r="N520" t="s">
        <v>44</v>
      </c>
      <c r="O520" t="s">
        <v>45</v>
      </c>
      <c r="P520" t="b">
        <v>1</v>
      </c>
      <c r="Q520" t="b">
        <v>0</v>
      </c>
      <c r="R520" t="b">
        <v>1</v>
      </c>
      <c r="S520" t="b">
        <v>1</v>
      </c>
      <c r="T520" t="b">
        <v>1</v>
      </c>
      <c r="U520">
        <v>0.5</v>
      </c>
      <c r="V520">
        <v>4.5</v>
      </c>
      <c r="W520">
        <v>5</v>
      </c>
      <c r="X520">
        <v>6</v>
      </c>
      <c r="Y520">
        <v>50.64</v>
      </c>
      <c r="Z520">
        <v>2</v>
      </c>
      <c r="AA520" t="s">
        <v>58</v>
      </c>
    </row>
    <row r="521" spans="1:27" x14ac:dyDescent="0.3">
      <c r="A521" t="s">
        <v>612</v>
      </c>
      <c r="B521">
        <v>21</v>
      </c>
      <c r="C521" t="s">
        <v>28</v>
      </c>
      <c r="D521">
        <v>3.1</v>
      </c>
      <c r="E521" t="s">
        <v>29</v>
      </c>
      <c r="F521" t="s">
        <v>30</v>
      </c>
      <c r="G521" t="s">
        <v>71</v>
      </c>
      <c r="H521">
        <v>8.6999999999999993</v>
      </c>
      <c r="I521" t="s">
        <v>51</v>
      </c>
      <c r="J521" t="s">
        <v>45</v>
      </c>
      <c r="K521" t="s">
        <v>62</v>
      </c>
      <c r="L521">
        <v>3.87</v>
      </c>
      <c r="M521">
        <v>1</v>
      </c>
      <c r="N521" t="s">
        <v>66</v>
      </c>
      <c r="O521" t="s">
        <v>57</v>
      </c>
      <c r="P521" t="b">
        <v>0</v>
      </c>
      <c r="Q521" t="b">
        <v>0</v>
      </c>
      <c r="R521" t="b">
        <v>0</v>
      </c>
      <c r="S521" t="b">
        <v>0</v>
      </c>
      <c r="T521" t="b">
        <v>0</v>
      </c>
      <c r="U521">
        <v>0.5</v>
      </c>
      <c r="V521">
        <v>7</v>
      </c>
      <c r="W521">
        <v>1</v>
      </c>
      <c r="X521">
        <v>11.2</v>
      </c>
      <c r="Y521">
        <v>1.5</v>
      </c>
      <c r="Z521">
        <v>8</v>
      </c>
      <c r="AA521" t="s">
        <v>46</v>
      </c>
    </row>
    <row r="522" spans="1:27" x14ac:dyDescent="0.3">
      <c r="A522" t="s">
        <v>613</v>
      </c>
      <c r="B522">
        <v>24</v>
      </c>
      <c r="C522" t="s">
        <v>28</v>
      </c>
      <c r="D522">
        <v>8.1999999999999993</v>
      </c>
      <c r="E522" t="s">
        <v>82</v>
      </c>
      <c r="F522" t="s">
        <v>83</v>
      </c>
      <c r="G522" t="s">
        <v>50</v>
      </c>
      <c r="H522">
        <v>3.6</v>
      </c>
      <c r="I522" t="s">
        <v>41</v>
      </c>
      <c r="J522" t="s">
        <v>33</v>
      </c>
      <c r="K522" t="s">
        <v>51</v>
      </c>
      <c r="M522">
        <v>10</v>
      </c>
      <c r="N522" t="s">
        <v>63</v>
      </c>
      <c r="O522" t="s">
        <v>42</v>
      </c>
      <c r="P522" t="b">
        <v>0</v>
      </c>
      <c r="Q522" t="b">
        <v>0</v>
      </c>
      <c r="R522" t="b">
        <v>1</v>
      </c>
      <c r="S522" t="b">
        <v>1</v>
      </c>
      <c r="T522" t="b">
        <v>1</v>
      </c>
      <c r="U522">
        <v>2.1</v>
      </c>
      <c r="V522">
        <v>4.0999999999999996</v>
      </c>
      <c r="W522">
        <v>6</v>
      </c>
      <c r="X522">
        <v>5.9</v>
      </c>
      <c r="Y522">
        <v>29</v>
      </c>
      <c r="Z522">
        <v>2</v>
      </c>
      <c r="AA522" t="s">
        <v>64</v>
      </c>
    </row>
    <row r="523" spans="1:27" x14ac:dyDescent="0.3">
      <c r="A523" t="s">
        <v>614</v>
      </c>
      <c r="B523">
        <v>20</v>
      </c>
      <c r="C523" t="s">
        <v>28</v>
      </c>
      <c r="D523">
        <v>6.6</v>
      </c>
      <c r="E523" t="s">
        <v>76</v>
      </c>
      <c r="F523" t="s">
        <v>77</v>
      </c>
      <c r="G523" t="s">
        <v>71</v>
      </c>
      <c r="H523">
        <v>4.9000000000000004</v>
      </c>
      <c r="I523" t="s">
        <v>51</v>
      </c>
      <c r="J523" t="s">
        <v>74</v>
      </c>
      <c r="K523" t="s">
        <v>34</v>
      </c>
      <c r="L523">
        <v>2.86</v>
      </c>
      <c r="M523">
        <v>1</v>
      </c>
      <c r="N523" t="s">
        <v>66</v>
      </c>
      <c r="O523" t="s">
        <v>42</v>
      </c>
      <c r="P523" t="b">
        <v>1</v>
      </c>
      <c r="Q523" t="b">
        <v>1</v>
      </c>
      <c r="R523" t="b">
        <v>0</v>
      </c>
      <c r="S523" t="b">
        <v>1</v>
      </c>
      <c r="T523" t="b">
        <v>0</v>
      </c>
      <c r="U523">
        <v>2.5</v>
      </c>
      <c r="V523">
        <v>6.8</v>
      </c>
      <c r="W523">
        <v>5</v>
      </c>
      <c r="X523">
        <v>6.9</v>
      </c>
      <c r="Y523">
        <v>35.07</v>
      </c>
      <c r="Z523">
        <v>6</v>
      </c>
      <c r="AA523" t="s">
        <v>58</v>
      </c>
    </row>
    <row r="524" spans="1:27" x14ac:dyDescent="0.3">
      <c r="A524" t="s">
        <v>615</v>
      </c>
      <c r="B524">
        <v>21</v>
      </c>
      <c r="C524" t="s">
        <v>53</v>
      </c>
      <c r="D524">
        <v>9.1</v>
      </c>
      <c r="E524" t="s">
        <v>39</v>
      </c>
      <c r="F524" t="s">
        <v>93</v>
      </c>
      <c r="G524" t="s">
        <v>86</v>
      </c>
      <c r="H524">
        <v>4.7</v>
      </c>
      <c r="I524" t="s">
        <v>51</v>
      </c>
      <c r="J524" t="s">
        <v>36</v>
      </c>
      <c r="K524" t="s">
        <v>51</v>
      </c>
      <c r="L524">
        <v>3.33</v>
      </c>
      <c r="M524">
        <v>5</v>
      </c>
      <c r="N524" t="s">
        <v>35</v>
      </c>
      <c r="O524" t="s">
        <v>45</v>
      </c>
      <c r="P524" t="b">
        <v>0</v>
      </c>
      <c r="Q524" t="b">
        <v>0</v>
      </c>
      <c r="R524" t="b">
        <v>1</v>
      </c>
      <c r="S524" t="b">
        <v>0</v>
      </c>
      <c r="T524" t="b">
        <v>1</v>
      </c>
      <c r="U524">
        <v>0.3</v>
      </c>
      <c r="V524">
        <v>4.3</v>
      </c>
      <c r="W524">
        <v>6</v>
      </c>
      <c r="X524">
        <v>4.0999999999999996</v>
      </c>
      <c r="Y524">
        <v>479.29</v>
      </c>
      <c r="Z524">
        <v>7</v>
      </c>
      <c r="AA524" t="s">
        <v>58</v>
      </c>
    </row>
    <row r="525" spans="1:27" x14ac:dyDescent="0.3">
      <c r="A525" t="s">
        <v>616</v>
      </c>
      <c r="B525">
        <v>17</v>
      </c>
      <c r="C525" t="s">
        <v>28</v>
      </c>
      <c r="D525">
        <v>4.5999999999999996</v>
      </c>
      <c r="E525" t="s">
        <v>48</v>
      </c>
      <c r="F525" t="s">
        <v>128</v>
      </c>
      <c r="G525" t="s">
        <v>50</v>
      </c>
      <c r="H525">
        <v>6.2</v>
      </c>
      <c r="I525" t="s">
        <v>43</v>
      </c>
      <c r="J525" t="s">
        <v>33</v>
      </c>
      <c r="K525" t="s">
        <v>62</v>
      </c>
      <c r="L525">
        <v>1.61</v>
      </c>
      <c r="N525" t="s">
        <v>80</v>
      </c>
      <c r="O525" t="s">
        <v>36</v>
      </c>
      <c r="P525" t="b">
        <v>0</v>
      </c>
      <c r="Q525" t="b">
        <v>0</v>
      </c>
      <c r="R525" t="b">
        <v>0</v>
      </c>
      <c r="S525" t="b">
        <v>0</v>
      </c>
      <c r="T525" t="b">
        <v>0</v>
      </c>
      <c r="U525">
        <v>2.5</v>
      </c>
      <c r="V525">
        <v>9.1</v>
      </c>
      <c r="W525">
        <v>6</v>
      </c>
      <c r="X525">
        <v>8.6</v>
      </c>
      <c r="Y525">
        <v>40.53</v>
      </c>
      <c r="Z525">
        <v>4</v>
      </c>
      <c r="AA525" t="s">
        <v>46</v>
      </c>
    </row>
    <row r="526" spans="1:27" x14ac:dyDescent="0.3">
      <c r="A526" t="s">
        <v>617</v>
      </c>
      <c r="B526">
        <v>19</v>
      </c>
      <c r="C526" t="s">
        <v>28</v>
      </c>
      <c r="D526">
        <v>7.3</v>
      </c>
      <c r="E526" t="s">
        <v>82</v>
      </c>
      <c r="F526" t="s">
        <v>167</v>
      </c>
      <c r="G526" t="s">
        <v>71</v>
      </c>
      <c r="H526">
        <v>3.2</v>
      </c>
      <c r="I526" t="s">
        <v>41</v>
      </c>
      <c r="J526" t="s">
        <v>42</v>
      </c>
      <c r="K526" t="s">
        <v>51</v>
      </c>
      <c r="L526">
        <v>3.31</v>
      </c>
      <c r="M526">
        <v>3</v>
      </c>
      <c r="N526" t="s">
        <v>35</v>
      </c>
      <c r="O526" t="s">
        <v>57</v>
      </c>
      <c r="P526" t="b">
        <v>1</v>
      </c>
      <c r="Q526" t="b">
        <v>1</v>
      </c>
      <c r="R526" t="b">
        <v>0</v>
      </c>
      <c r="S526" t="b">
        <v>1</v>
      </c>
      <c r="T526" t="b">
        <v>1</v>
      </c>
      <c r="U526">
        <v>1.4</v>
      </c>
      <c r="V526">
        <v>5.3</v>
      </c>
      <c r="W526">
        <v>4</v>
      </c>
      <c r="X526">
        <v>7.1</v>
      </c>
      <c r="Y526">
        <v>84.52</v>
      </c>
      <c r="Z526">
        <v>4</v>
      </c>
      <c r="AA526" t="s">
        <v>58</v>
      </c>
    </row>
    <row r="527" spans="1:27" x14ac:dyDescent="0.3">
      <c r="A527" t="s">
        <v>618</v>
      </c>
      <c r="B527">
        <v>16</v>
      </c>
      <c r="C527" t="s">
        <v>28</v>
      </c>
      <c r="D527">
        <v>1.7</v>
      </c>
      <c r="E527" t="s">
        <v>48</v>
      </c>
      <c r="F527" t="s">
        <v>128</v>
      </c>
      <c r="G527" t="s">
        <v>50</v>
      </c>
      <c r="H527">
        <v>8.1999999999999993</v>
      </c>
      <c r="I527" t="s">
        <v>51</v>
      </c>
      <c r="J527" t="s">
        <v>33</v>
      </c>
      <c r="K527" t="s">
        <v>84</v>
      </c>
      <c r="L527">
        <v>3.03</v>
      </c>
      <c r="N527" t="s">
        <v>121</v>
      </c>
      <c r="O527" t="s">
        <v>42</v>
      </c>
      <c r="P527" t="b">
        <v>0</v>
      </c>
      <c r="Q527" t="b">
        <v>0</v>
      </c>
      <c r="R527" t="b">
        <v>0</v>
      </c>
      <c r="S527" t="b">
        <v>0</v>
      </c>
      <c r="T527" t="b">
        <v>0</v>
      </c>
      <c r="U527">
        <v>0.8</v>
      </c>
      <c r="V527">
        <v>7.6</v>
      </c>
      <c r="W527">
        <v>1</v>
      </c>
      <c r="X527">
        <v>9.6999999999999993</v>
      </c>
      <c r="Y527">
        <v>12.32</v>
      </c>
      <c r="Z527">
        <v>4</v>
      </c>
      <c r="AA527" t="s">
        <v>46</v>
      </c>
    </row>
    <row r="528" spans="1:27" x14ac:dyDescent="0.3">
      <c r="A528" t="s">
        <v>619</v>
      </c>
      <c r="B528">
        <v>18</v>
      </c>
      <c r="C528" t="s">
        <v>28</v>
      </c>
      <c r="D528">
        <v>4.3</v>
      </c>
      <c r="E528" t="s">
        <v>48</v>
      </c>
      <c r="F528" t="s">
        <v>214</v>
      </c>
      <c r="G528" t="s">
        <v>71</v>
      </c>
      <c r="H528">
        <v>6.9</v>
      </c>
      <c r="I528" t="s">
        <v>41</v>
      </c>
      <c r="J528" t="s">
        <v>33</v>
      </c>
      <c r="K528" t="s">
        <v>34</v>
      </c>
      <c r="L528">
        <v>3.2</v>
      </c>
      <c r="N528" t="s">
        <v>69</v>
      </c>
      <c r="O528" t="s">
        <v>33</v>
      </c>
      <c r="P528" t="b">
        <v>0</v>
      </c>
      <c r="Q528" t="b">
        <v>0</v>
      </c>
      <c r="R528" t="b">
        <v>0</v>
      </c>
      <c r="S528" t="b">
        <v>0</v>
      </c>
      <c r="T528" t="b">
        <v>0</v>
      </c>
      <c r="U528">
        <v>0</v>
      </c>
      <c r="V528">
        <v>9.5</v>
      </c>
      <c r="W528">
        <v>4</v>
      </c>
      <c r="X528">
        <v>9</v>
      </c>
      <c r="Y528">
        <v>32.71</v>
      </c>
      <c r="Z528">
        <v>5</v>
      </c>
      <c r="AA528" t="s">
        <v>46</v>
      </c>
    </row>
    <row r="529" spans="1:27" x14ac:dyDescent="0.3">
      <c r="A529" t="s">
        <v>620</v>
      </c>
      <c r="B529">
        <v>21</v>
      </c>
      <c r="C529" t="s">
        <v>28</v>
      </c>
      <c r="D529">
        <v>1.3</v>
      </c>
      <c r="E529" t="s">
        <v>48</v>
      </c>
      <c r="F529" t="s">
        <v>214</v>
      </c>
      <c r="G529" t="s">
        <v>50</v>
      </c>
      <c r="H529">
        <v>8.5</v>
      </c>
      <c r="I529" t="s">
        <v>41</v>
      </c>
      <c r="J529" t="s">
        <v>45</v>
      </c>
      <c r="K529" t="s">
        <v>62</v>
      </c>
      <c r="L529">
        <v>3.92</v>
      </c>
      <c r="M529">
        <v>8</v>
      </c>
      <c r="N529" t="s">
        <v>121</v>
      </c>
      <c r="O529" t="s">
        <v>36</v>
      </c>
      <c r="P529" t="b">
        <v>0</v>
      </c>
      <c r="Q529" t="b">
        <v>0</v>
      </c>
      <c r="R529" t="b">
        <v>0</v>
      </c>
      <c r="S529" t="b">
        <v>0</v>
      </c>
      <c r="T529" t="b">
        <v>0</v>
      </c>
      <c r="U529">
        <v>0.1</v>
      </c>
      <c r="V529">
        <v>9.1999999999999993</v>
      </c>
      <c r="W529">
        <v>1</v>
      </c>
      <c r="X529">
        <v>12.2</v>
      </c>
      <c r="Y529">
        <v>44.99</v>
      </c>
      <c r="Z529">
        <v>11</v>
      </c>
      <c r="AA529" t="s">
        <v>46</v>
      </c>
    </row>
    <row r="530" spans="1:27" x14ac:dyDescent="0.3">
      <c r="A530" t="s">
        <v>621</v>
      </c>
      <c r="B530">
        <v>25</v>
      </c>
      <c r="C530" t="s">
        <v>28</v>
      </c>
      <c r="D530">
        <v>10.4</v>
      </c>
      <c r="E530" t="s">
        <v>76</v>
      </c>
      <c r="F530" t="s">
        <v>110</v>
      </c>
      <c r="G530" t="s">
        <v>71</v>
      </c>
      <c r="H530">
        <v>4.3</v>
      </c>
      <c r="I530" t="s">
        <v>41</v>
      </c>
      <c r="J530" t="s">
        <v>45</v>
      </c>
      <c r="K530" t="s">
        <v>51</v>
      </c>
      <c r="M530">
        <v>3</v>
      </c>
      <c r="N530" t="s">
        <v>80</v>
      </c>
      <c r="O530" t="s">
        <v>33</v>
      </c>
      <c r="P530" t="b">
        <v>1</v>
      </c>
      <c r="Q530" t="b">
        <v>1</v>
      </c>
      <c r="R530" t="b">
        <v>0</v>
      </c>
      <c r="S530" t="b">
        <v>1</v>
      </c>
      <c r="T530" t="b">
        <v>0</v>
      </c>
      <c r="U530">
        <v>5</v>
      </c>
      <c r="V530">
        <v>6.4</v>
      </c>
      <c r="W530">
        <v>5</v>
      </c>
      <c r="X530">
        <v>0.6</v>
      </c>
      <c r="Y530">
        <v>61.9</v>
      </c>
      <c r="Z530">
        <v>11</v>
      </c>
      <c r="AA530" t="s">
        <v>37</v>
      </c>
    </row>
    <row r="531" spans="1:27" x14ac:dyDescent="0.3">
      <c r="A531" t="s">
        <v>622</v>
      </c>
      <c r="B531">
        <v>20</v>
      </c>
      <c r="C531" t="s">
        <v>53</v>
      </c>
      <c r="D531">
        <v>10.1</v>
      </c>
      <c r="E531" t="s">
        <v>39</v>
      </c>
      <c r="F531" t="s">
        <v>40</v>
      </c>
      <c r="G531" t="s">
        <v>86</v>
      </c>
      <c r="H531">
        <v>5.7</v>
      </c>
      <c r="I531" t="s">
        <v>32</v>
      </c>
      <c r="J531" t="s">
        <v>74</v>
      </c>
      <c r="K531" t="s">
        <v>34</v>
      </c>
      <c r="L531">
        <v>2.09</v>
      </c>
      <c r="M531">
        <v>1</v>
      </c>
      <c r="N531" t="s">
        <v>105</v>
      </c>
      <c r="O531" t="s">
        <v>45</v>
      </c>
      <c r="P531" t="b">
        <v>1</v>
      </c>
      <c r="Q531" t="b">
        <v>1</v>
      </c>
      <c r="R531" t="b">
        <v>1</v>
      </c>
      <c r="S531" t="b">
        <v>1</v>
      </c>
      <c r="T531" t="b">
        <v>1</v>
      </c>
      <c r="U531">
        <v>8.9</v>
      </c>
      <c r="V531">
        <v>3.6</v>
      </c>
      <c r="W531">
        <v>8</v>
      </c>
      <c r="X531">
        <v>5.2</v>
      </c>
      <c r="Y531">
        <v>350.42</v>
      </c>
      <c r="Z531">
        <v>6</v>
      </c>
      <c r="AA531" t="s">
        <v>37</v>
      </c>
    </row>
    <row r="532" spans="1:27" x14ac:dyDescent="0.3">
      <c r="A532" t="s">
        <v>623</v>
      </c>
      <c r="B532">
        <v>20</v>
      </c>
      <c r="C532" t="s">
        <v>53</v>
      </c>
      <c r="D532">
        <v>5.8</v>
      </c>
      <c r="E532" t="s">
        <v>29</v>
      </c>
      <c r="F532" t="s">
        <v>73</v>
      </c>
      <c r="G532" t="s">
        <v>71</v>
      </c>
      <c r="H532">
        <v>6.3</v>
      </c>
      <c r="I532" t="s">
        <v>32</v>
      </c>
      <c r="J532" t="s">
        <v>42</v>
      </c>
      <c r="K532" t="s">
        <v>62</v>
      </c>
      <c r="L532">
        <v>1.63</v>
      </c>
      <c r="M532">
        <v>3</v>
      </c>
      <c r="N532" t="s">
        <v>69</v>
      </c>
      <c r="O532" t="s">
        <v>57</v>
      </c>
      <c r="P532" t="b">
        <v>0</v>
      </c>
      <c r="Q532" t="b">
        <v>0</v>
      </c>
      <c r="R532" t="b">
        <v>0</v>
      </c>
      <c r="S532" t="b">
        <v>0</v>
      </c>
      <c r="T532" t="b">
        <v>0</v>
      </c>
      <c r="U532">
        <v>2.4</v>
      </c>
      <c r="V532">
        <v>8.8000000000000007</v>
      </c>
      <c r="W532">
        <v>5</v>
      </c>
      <c r="X532">
        <v>7.8</v>
      </c>
      <c r="Y532">
        <v>124.29</v>
      </c>
      <c r="Z532">
        <v>7</v>
      </c>
      <c r="AA532" t="s">
        <v>46</v>
      </c>
    </row>
    <row r="533" spans="1:27" x14ac:dyDescent="0.3">
      <c r="A533" t="s">
        <v>624</v>
      </c>
      <c r="B533">
        <v>18</v>
      </c>
      <c r="C533" t="s">
        <v>28</v>
      </c>
      <c r="D533">
        <v>2.5</v>
      </c>
      <c r="E533" t="s">
        <v>29</v>
      </c>
      <c r="F533" t="s">
        <v>30</v>
      </c>
      <c r="G533" t="s">
        <v>86</v>
      </c>
      <c r="H533">
        <v>8.9</v>
      </c>
      <c r="I533" t="s">
        <v>43</v>
      </c>
      <c r="J533" t="s">
        <v>45</v>
      </c>
      <c r="K533" t="s">
        <v>62</v>
      </c>
      <c r="L533">
        <v>1.57</v>
      </c>
      <c r="N533" t="s">
        <v>66</v>
      </c>
      <c r="O533" t="s">
        <v>57</v>
      </c>
      <c r="P533" t="b">
        <v>0</v>
      </c>
      <c r="Q533" t="b">
        <v>0</v>
      </c>
      <c r="R533" t="b">
        <v>0</v>
      </c>
      <c r="S533" t="b">
        <v>0</v>
      </c>
      <c r="T533" t="b">
        <v>0</v>
      </c>
      <c r="U533">
        <v>0.5</v>
      </c>
      <c r="V533">
        <v>10.4</v>
      </c>
      <c r="W533">
        <v>1</v>
      </c>
      <c r="X533">
        <v>12.3</v>
      </c>
      <c r="Y533">
        <v>30.97</v>
      </c>
      <c r="Z533">
        <v>5</v>
      </c>
      <c r="AA533" t="s">
        <v>46</v>
      </c>
    </row>
    <row r="534" spans="1:27" x14ac:dyDescent="0.3">
      <c r="A534" t="s">
        <v>625</v>
      </c>
      <c r="B534">
        <v>18</v>
      </c>
      <c r="C534" t="s">
        <v>28</v>
      </c>
      <c r="D534">
        <v>2.6</v>
      </c>
      <c r="E534" t="s">
        <v>76</v>
      </c>
      <c r="F534" t="s">
        <v>77</v>
      </c>
      <c r="G534" t="s">
        <v>86</v>
      </c>
      <c r="H534">
        <v>8.8000000000000007</v>
      </c>
      <c r="I534" t="s">
        <v>43</v>
      </c>
      <c r="J534" t="s">
        <v>36</v>
      </c>
      <c r="K534" t="s">
        <v>84</v>
      </c>
      <c r="L534">
        <v>2.58</v>
      </c>
      <c r="N534" t="s">
        <v>66</v>
      </c>
      <c r="O534" t="s">
        <v>36</v>
      </c>
      <c r="P534" t="b">
        <v>0</v>
      </c>
      <c r="Q534" t="b">
        <v>0</v>
      </c>
      <c r="R534" t="b">
        <v>0</v>
      </c>
      <c r="S534" t="b">
        <v>0</v>
      </c>
      <c r="T534" t="b">
        <v>0</v>
      </c>
      <c r="U534">
        <v>0.2</v>
      </c>
      <c r="V534">
        <v>10.1</v>
      </c>
      <c r="W534">
        <v>2</v>
      </c>
      <c r="X534">
        <v>12.4</v>
      </c>
      <c r="Y534">
        <v>26.71</v>
      </c>
      <c r="Z534">
        <v>7</v>
      </c>
      <c r="AA534" t="s">
        <v>46</v>
      </c>
    </row>
    <row r="535" spans="1:27" x14ac:dyDescent="0.3">
      <c r="A535" t="s">
        <v>626</v>
      </c>
      <c r="B535">
        <v>19</v>
      </c>
      <c r="C535" t="s">
        <v>28</v>
      </c>
      <c r="D535">
        <v>10.199999999999999</v>
      </c>
      <c r="E535" t="s">
        <v>39</v>
      </c>
      <c r="F535" t="s">
        <v>93</v>
      </c>
      <c r="G535" t="s">
        <v>31</v>
      </c>
      <c r="H535">
        <v>3.3</v>
      </c>
      <c r="I535" t="s">
        <v>32</v>
      </c>
      <c r="J535" t="s">
        <v>42</v>
      </c>
      <c r="K535" t="s">
        <v>129</v>
      </c>
      <c r="L535">
        <v>3.44</v>
      </c>
      <c r="M535">
        <v>10</v>
      </c>
      <c r="N535" t="s">
        <v>69</v>
      </c>
      <c r="O535" t="s">
        <v>57</v>
      </c>
      <c r="P535" t="b">
        <v>1</v>
      </c>
      <c r="Q535" t="b">
        <v>0</v>
      </c>
      <c r="R535" t="b">
        <v>0</v>
      </c>
      <c r="S535" t="b">
        <v>0</v>
      </c>
      <c r="T535" t="b">
        <v>0</v>
      </c>
      <c r="U535">
        <v>0.8</v>
      </c>
      <c r="V535">
        <v>6.9</v>
      </c>
      <c r="W535">
        <v>7</v>
      </c>
      <c r="X535">
        <v>3</v>
      </c>
      <c r="Y535">
        <v>207.43</v>
      </c>
      <c r="Z535">
        <v>1</v>
      </c>
      <c r="AA535" t="s">
        <v>58</v>
      </c>
    </row>
    <row r="536" spans="1:27" x14ac:dyDescent="0.3">
      <c r="A536" t="s">
        <v>627</v>
      </c>
      <c r="B536">
        <v>14</v>
      </c>
      <c r="C536" t="s">
        <v>28</v>
      </c>
      <c r="D536">
        <v>5.8</v>
      </c>
      <c r="E536" t="s">
        <v>48</v>
      </c>
      <c r="F536" t="s">
        <v>49</v>
      </c>
      <c r="G536" t="s">
        <v>71</v>
      </c>
      <c r="H536">
        <v>6.2</v>
      </c>
      <c r="I536" t="s">
        <v>41</v>
      </c>
      <c r="J536" t="s">
        <v>36</v>
      </c>
      <c r="K536" t="s">
        <v>51</v>
      </c>
      <c r="L536">
        <v>2.69</v>
      </c>
      <c r="N536" t="s">
        <v>80</v>
      </c>
      <c r="O536" t="s">
        <v>36</v>
      </c>
      <c r="P536" t="b">
        <v>0</v>
      </c>
      <c r="Q536" t="b">
        <v>1</v>
      </c>
      <c r="R536" t="b">
        <v>0</v>
      </c>
      <c r="S536" t="b">
        <v>1</v>
      </c>
      <c r="T536" t="b">
        <v>1</v>
      </c>
      <c r="U536">
        <v>0.4</v>
      </c>
      <c r="V536">
        <v>7.1</v>
      </c>
      <c r="W536">
        <v>4</v>
      </c>
      <c r="X536">
        <v>9.4</v>
      </c>
      <c r="Y536">
        <v>88.33</v>
      </c>
      <c r="Z536">
        <v>1</v>
      </c>
      <c r="AA536" t="s">
        <v>64</v>
      </c>
    </row>
    <row r="537" spans="1:27" x14ac:dyDescent="0.3">
      <c r="A537" t="s">
        <v>628</v>
      </c>
      <c r="B537">
        <v>17</v>
      </c>
      <c r="C537" t="s">
        <v>53</v>
      </c>
      <c r="D537">
        <v>1.9</v>
      </c>
      <c r="E537" t="s">
        <v>76</v>
      </c>
      <c r="F537" t="s">
        <v>77</v>
      </c>
      <c r="G537" t="s">
        <v>31</v>
      </c>
      <c r="H537">
        <v>7.1</v>
      </c>
      <c r="I537" t="s">
        <v>43</v>
      </c>
      <c r="J537" t="s">
        <v>74</v>
      </c>
      <c r="K537" t="s">
        <v>62</v>
      </c>
      <c r="L537">
        <v>1.78</v>
      </c>
      <c r="N537" t="s">
        <v>56</v>
      </c>
      <c r="O537" t="s">
        <v>42</v>
      </c>
      <c r="P537" t="b">
        <v>0</v>
      </c>
      <c r="Q537" t="b">
        <v>0</v>
      </c>
      <c r="R537" t="b">
        <v>0</v>
      </c>
      <c r="S537" t="b">
        <v>0</v>
      </c>
      <c r="T537" t="b">
        <v>0</v>
      </c>
      <c r="U537">
        <v>0.1</v>
      </c>
      <c r="V537">
        <v>10.9</v>
      </c>
      <c r="W537">
        <v>1</v>
      </c>
      <c r="X537">
        <v>11.5</v>
      </c>
      <c r="Y537">
        <v>23.78</v>
      </c>
      <c r="Z537">
        <v>6</v>
      </c>
      <c r="AA537" t="s">
        <v>46</v>
      </c>
    </row>
    <row r="538" spans="1:27" x14ac:dyDescent="0.3">
      <c r="A538" t="s">
        <v>629</v>
      </c>
      <c r="B538">
        <v>18</v>
      </c>
      <c r="C538" t="s">
        <v>28</v>
      </c>
      <c r="D538">
        <v>8</v>
      </c>
      <c r="E538" t="s">
        <v>54</v>
      </c>
      <c r="F538" t="s">
        <v>89</v>
      </c>
      <c r="G538" t="s">
        <v>31</v>
      </c>
      <c r="H538">
        <v>5</v>
      </c>
      <c r="I538" t="s">
        <v>51</v>
      </c>
      <c r="J538" t="s">
        <v>36</v>
      </c>
      <c r="K538" t="s">
        <v>51</v>
      </c>
      <c r="L538">
        <v>3.81</v>
      </c>
      <c r="N538" t="s">
        <v>63</v>
      </c>
      <c r="O538" t="s">
        <v>42</v>
      </c>
      <c r="P538" t="b">
        <v>0</v>
      </c>
      <c r="Q538" t="b">
        <v>1</v>
      </c>
      <c r="R538" t="b">
        <v>1</v>
      </c>
      <c r="S538" t="b">
        <v>1</v>
      </c>
      <c r="T538" t="b">
        <v>1</v>
      </c>
      <c r="U538">
        <v>0.1</v>
      </c>
      <c r="V538">
        <v>7.7</v>
      </c>
      <c r="W538">
        <v>5</v>
      </c>
      <c r="X538">
        <v>5.3</v>
      </c>
      <c r="Y538">
        <v>85.28</v>
      </c>
      <c r="Z538">
        <v>4</v>
      </c>
      <c r="AA538" t="s">
        <v>58</v>
      </c>
    </row>
    <row r="539" spans="1:27" x14ac:dyDescent="0.3">
      <c r="A539" t="s">
        <v>630</v>
      </c>
      <c r="B539">
        <v>18</v>
      </c>
      <c r="C539" t="s">
        <v>28</v>
      </c>
      <c r="D539">
        <v>3.4</v>
      </c>
      <c r="E539" t="s">
        <v>76</v>
      </c>
      <c r="F539" t="s">
        <v>126</v>
      </c>
      <c r="G539" t="s">
        <v>50</v>
      </c>
      <c r="H539">
        <v>7.4</v>
      </c>
      <c r="I539" t="s">
        <v>51</v>
      </c>
      <c r="J539" t="s">
        <v>36</v>
      </c>
      <c r="K539" t="s">
        <v>62</v>
      </c>
      <c r="L539">
        <v>2.15</v>
      </c>
      <c r="N539" t="s">
        <v>66</v>
      </c>
      <c r="O539" t="s">
        <v>57</v>
      </c>
      <c r="P539" t="b">
        <v>0</v>
      </c>
      <c r="Q539" t="b">
        <v>0</v>
      </c>
      <c r="R539" t="b">
        <v>0</v>
      </c>
      <c r="S539" t="b">
        <v>0</v>
      </c>
      <c r="T539" t="b">
        <v>0</v>
      </c>
      <c r="U539">
        <v>0.3</v>
      </c>
      <c r="V539">
        <v>9</v>
      </c>
      <c r="W539">
        <v>1</v>
      </c>
      <c r="X539">
        <v>9.6</v>
      </c>
      <c r="Y539">
        <v>30.22</v>
      </c>
      <c r="Z539">
        <v>4</v>
      </c>
      <c r="AA539" t="s">
        <v>46</v>
      </c>
    </row>
    <row r="540" spans="1:27" x14ac:dyDescent="0.3">
      <c r="A540" t="s">
        <v>631</v>
      </c>
      <c r="B540">
        <v>24</v>
      </c>
      <c r="C540" t="s">
        <v>28</v>
      </c>
      <c r="D540">
        <v>1.2</v>
      </c>
      <c r="E540" t="s">
        <v>82</v>
      </c>
      <c r="F540" t="s">
        <v>134</v>
      </c>
      <c r="G540" t="s">
        <v>31</v>
      </c>
      <c r="H540">
        <v>7.6</v>
      </c>
      <c r="I540" t="s">
        <v>41</v>
      </c>
      <c r="J540" t="s">
        <v>45</v>
      </c>
      <c r="K540" t="s">
        <v>62</v>
      </c>
      <c r="M540">
        <v>1</v>
      </c>
      <c r="N540" t="s">
        <v>44</v>
      </c>
      <c r="O540" t="s">
        <v>33</v>
      </c>
      <c r="P540" t="b">
        <v>0</v>
      </c>
      <c r="Q540" t="b">
        <v>0</v>
      </c>
      <c r="R540" t="b">
        <v>0</v>
      </c>
      <c r="S540" t="b">
        <v>0</v>
      </c>
      <c r="T540" t="b">
        <v>0</v>
      </c>
      <c r="U540">
        <v>0.3</v>
      </c>
      <c r="V540">
        <v>8.6</v>
      </c>
      <c r="W540">
        <v>1</v>
      </c>
      <c r="X540">
        <v>14.2</v>
      </c>
      <c r="Y540">
        <v>32.340000000000003</v>
      </c>
      <c r="Z540">
        <v>10</v>
      </c>
      <c r="AA540" t="s">
        <v>46</v>
      </c>
    </row>
    <row r="541" spans="1:27" x14ac:dyDescent="0.3">
      <c r="A541" t="s">
        <v>632</v>
      </c>
      <c r="B541">
        <v>19</v>
      </c>
      <c r="C541" t="s">
        <v>28</v>
      </c>
      <c r="D541">
        <v>4.3</v>
      </c>
      <c r="E541" t="s">
        <v>76</v>
      </c>
      <c r="F541" t="s">
        <v>126</v>
      </c>
      <c r="G541" t="s">
        <v>31</v>
      </c>
      <c r="H541">
        <v>6.3</v>
      </c>
      <c r="I541" t="s">
        <v>43</v>
      </c>
      <c r="J541" t="s">
        <v>42</v>
      </c>
      <c r="K541" t="s">
        <v>34</v>
      </c>
      <c r="L541">
        <v>2.46</v>
      </c>
      <c r="M541">
        <v>10</v>
      </c>
      <c r="N541" t="s">
        <v>80</v>
      </c>
      <c r="O541" t="s">
        <v>33</v>
      </c>
      <c r="P541" t="b">
        <v>0</v>
      </c>
      <c r="Q541" t="b">
        <v>0</v>
      </c>
      <c r="R541" t="b">
        <v>0</v>
      </c>
      <c r="S541" t="b">
        <v>0</v>
      </c>
      <c r="T541" t="b">
        <v>0</v>
      </c>
      <c r="U541">
        <v>0.7</v>
      </c>
      <c r="V541">
        <v>9.1999999999999993</v>
      </c>
      <c r="W541">
        <v>3</v>
      </c>
      <c r="X541">
        <v>11.9</v>
      </c>
      <c r="Y541">
        <v>43.72</v>
      </c>
      <c r="Z541">
        <v>4</v>
      </c>
      <c r="AA541" t="s">
        <v>46</v>
      </c>
    </row>
    <row r="542" spans="1:27" x14ac:dyDescent="0.3">
      <c r="A542" t="s">
        <v>633</v>
      </c>
      <c r="B542">
        <v>18</v>
      </c>
      <c r="C542" t="s">
        <v>28</v>
      </c>
      <c r="D542">
        <v>10.7</v>
      </c>
      <c r="E542" t="s">
        <v>60</v>
      </c>
      <c r="F542" t="s">
        <v>61</v>
      </c>
      <c r="G542" t="s">
        <v>86</v>
      </c>
      <c r="H542">
        <v>5.3</v>
      </c>
      <c r="I542" t="s">
        <v>41</v>
      </c>
      <c r="J542" t="s">
        <v>36</v>
      </c>
      <c r="K542" t="s">
        <v>34</v>
      </c>
      <c r="L542">
        <v>3.11</v>
      </c>
      <c r="N542" t="s">
        <v>105</v>
      </c>
      <c r="O542" t="s">
        <v>33</v>
      </c>
      <c r="P542" t="b">
        <v>1</v>
      </c>
      <c r="Q542" t="b">
        <v>1</v>
      </c>
      <c r="R542" t="b">
        <v>1</v>
      </c>
      <c r="S542" t="b">
        <v>1</v>
      </c>
      <c r="T542" t="b">
        <v>1</v>
      </c>
      <c r="U542">
        <v>4.8</v>
      </c>
      <c r="V542">
        <v>4.3</v>
      </c>
      <c r="W542">
        <v>7</v>
      </c>
      <c r="X542">
        <v>4.3</v>
      </c>
      <c r="Y542">
        <v>115.6</v>
      </c>
      <c r="Z542">
        <v>1</v>
      </c>
      <c r="AA542" t="s">
        <v>37</v>
      </c>
    </row>
    <row r="543" spans="1:27" x14ac:dyDescent="0.3">
      <c r="A543" t="s">
        <v>634</v>
      </c>
      <c r="B543">
        <v>27</v>
      </c>
      <c r="C543" t="s">
        <v>28</v>
      </c>
      <c r="D543">
        <v>3.3</v>
      </c>
      <c r="E543" t="s">
        <v>60</v>
      </c>
      <c r="F543" t="s">
        <v>102</v>
      </c>
      <c r="G543" t="s">
        <v>71</v>
      </c>
      <c r="H543">
        <v>8.9</v>
      </c>
      <c r="I543" t="s">
        <v>51</v>
      </c>
      <c r="J543" t="s">
        <v>45</v>
      </c>
      <c r="K543" t="s">
        <v>34</v>
      </c>
      <c r="M543">
        <v>6</v>
      </c>
      <c r="N543" t="s">
        <v>35</v>
      </c>
      <c r="O543" t="s">
        <v>33</v>
      </c>
      <c r="P543" t="b">
        <v>0</v>
      </c>
      <c r="Q543" t="b">
        <v>0</v>
      </c>
      <c r="R543" t="b">
        <v>0</v>
      </c>
      <c r="S543" t="b">
        <v>0</v>
      </c>
      <c r="T543" t="b">
        <v>0</v>
      </c>
      <c r="U543">
        <v>0.4</v>
      </c>
      <c r="V543">
        <v>9.3000000000000007</v>
      </c>
      <c r="W543">
        <v>3</v>
      </c>
      <c r="X543">
        <v>9</v>
      </c>
      <c r="Y543">
        <v>11.66</v>
      </c>
      <c r="Z543">
        <v>15</v>
      </c>
      <c r="AA543" t="s">
        <v>46</v>
      </c>
    </row>
    <row r="544" spans="1:27" x14ac:dyDescent="0.3">
      <c r="A544" t="s">
        <v>635</v>
      </c>
      <c r="B544">
        <v>31</v>
      </c>
      <c r="C544" t="s">
        <v>28</v>
      </c>
      <c r="D544">
        <v>10.4</v>
      </c>
      <c r="E544" t="s">
        <v>82</v>
      </c>
      <c r="F544" t="s">
        <v>167</v>
      </c>
      <c r="G544" t="s">
        <v>71</v>
      </c>
      <c r="H544">
        <v>3.2</v>
      </c>
      <c r="I544" t="s">
        <v>51</v>
      </c>
      <c r="J544" t="s">
        <v>33</v>
      </c>
      <c r="K544" t="s">
        <v>62</v>
      </c>
      <c r="M544">
        <v>10</v>
      </c>
      <c r="N544" t="s">
        <v>66</v>
      </c>
      <c r="O544" t="s">
        <v>45</v>
      </c>
      <c r="P544" t="b">
        <v>0</v>
      </c>
      <c r="Q544" t="b">
        <v>1</v>
      </c>
      <c r="R544" t="b">
        <v>1</v>
      </c>
      <c r="S544" t="b">
        <v>0</v>
      </c>
      <c r="T544" t="b">
        <v>0</v>
      </c>
      <c r="U544">
        <v>4.0999999999999996</v>
      </c>
      <c r="V544">
        <v>7</v>
      </c>
      <c r="W544">
        <v>7</v>
      </c>
      <c r="X544">
        <v>1.8</v>
      </c>
      <c r="Y544">
        <v>339.48</v>
      </c>
      <c r="Z544">
        <v>7</v>
      </c>
      <c r="AA544" t="s">
        <v>37</v>
      </c>
    </row>
    <row r="545" spans="1:27" x14ac:dyDescent="0.3">
      <c r="A545" t="s">
        <v>636</v>
      </c>
      <c r="B545">
        <v>22</v>
      </c>
      <c r="C545" t="s">
        <v>53</v>
      </c>
      <c r="D545">
        <v>6.7</v>
      </c>
      <c r="E545" t="s">
        <v>29</v>
      </c>
      <c r="F545" t="s">
        <v>104</v>
      </c>
      <c r="G545" t="s">
        <v>31</v>
      </c>
      <c r="H545">
        <v>4.5999999999999996</v>
      </c>
      <c r="I545" t="s">
        <v>51</v>
      </c>
      <c r="J545" t="s">
        <v>42</v>
      </c>
      <c r="K545" t="s">
        <v>51</v>
      </c>
      <c r="L545">
        <v>1.18</v>
      </c>
      <c r="M545">
        <v>5</v>
      </c>
      <c r="N545" t="s">
        <v>63</v>
      </c>
      <c r="O545" t="s">
        <v>33</v>
      </c>
      <c r="P545" t="b">
        <v>1</v>
      </c>
      <c r="Q545" t="b">
        <v>1</v>
      </c>
      <c r="R545" t="b">
        <v>0</v>
      </c>
      <c r="S545" t="b">
        <v>1</v>
      </c>
      <c r="T545" t="b">
        <v>1</v>
      </c>
      <c r="U545">
        <v>1.4</v>
      </c>
      <c r="V545">
        <v>6.5</v>
      </c>
      <c r="W545">
        <v>5</v>
      </c>
      <c r="X545">
        <v>6.5</v>
      </c>
      <c r="Y545">
        <v>37</v>
      </c>
      <c r="Z545">
        <v>4</v>
      </c>
      <c r="AA545" t="s">
        <v>58</v>
      </c>
    </row>
    <row r="546" spans="1:27" x14ac:dyDescent="0.3">
      <c r="A546" t="s">
        <v>637</v>
      </c>
      <c r="B546">
        <v>16</v>
      </c>
      <c r="C546" t="s">
        <v>28</v>
      </c>
      <c r="D546">
        <v>6.3</v>
      </c>
      <c r="E546" t="s">
        <v>76</v>
      </c>
      <c r="F546" t="s">
        <v>126</v>
      </c>
      <c r="G546" t="s">
        <v>86</v>
      </c>
      <c r="H546">
        <v>5.0999999999999996</v>
      </c>
      <c r="I546" t="s">
        <v>51</v>
      </c>
      <c r="J546" t="s">
        <v>33</v>
      </c>
      <c r="K546" t="s">
        <v>84</v>
      </c>
      <c r="L546">
        <v>1.91</v>
      </c>
      <c r="N546" t="s">
        <v>44</v>
      </c>
      <c r="O546" t="s">
        <v>57</v>
      </c>
      <c r="P546" t="b">
        <v>0</v>
      </c>
      <c r="Q546" t="b">
        <v>0</v>
      </c>
      <c r="R546" t="b">
        <v>0</v>
      </c>
      <c r="S546" t="b">
        <v>0</v>
      </c>
      <c r="T546" t="b">
        <v>0</v>
      </c>
      <c r="U546">
        <v>0.8</v>
      </c>
      <c r="V546">
        <v>7.7</v>
      </c>
      <c r="W546">
        <v>3</v>
      </c>
      <c r="X546">
        <v>4.8</v>
      </c>
      <c r="Y546">
        <v>33.58</v>
      </c>
      <c r="Z546">
        <v>4</v>
      </c>
      <c r="AA546" t="s">
        <v>46</v>
      </c>
    </row>
    <row r="547" spans="1:27" x14ac:dyDescent="0.3">
      <c r="A547" t="s">
        <v>638</v>
      </c>
      <c r="B547">
        <v>19</v>
      </c>
      <c r="C547" t="s">
        <v>28</v>
      </c>
      <c r="D547">
        <v>6.2</v>
      </c>
      <c r="E547" t="s">
        <v>76</v>
      </c>
      <c r="F547" t="s">
        <v>110</v>
      </c>
      <c r="G547" t="s">
        <v>86</v>
      </c>
      <c r="H547">
        <v>6.7</v>
      </c>
      <c r="I547" t="s">
        <v>41</v>
      </c>
      <c r="J547" t="s">
        <v>45</v>
      </c>
      <c r="K547" t="s">
        <v>62</v>
      </c>
      <c r="L547">
        <v>3.56</v>
      </c>
      <c r="M547">
        <v>6</v>
      </c>
      <c r="N547" t="s">
        <v>105</v>
      </c>
      <c r="O547" t="s">
        <v>42</v>
      </c>
      <c r="P547" t="b">
        <v>0</v>
      </c>
      <c r="Q547" t="b">
        <v>1</v>
      </c>
      <c r="R547" t="b">
        <v>0</v>
      </c>
      <c r="S547" t="b">
        <v>1</v>
      </c>
      <c r="T547" t="b">
        <v>0</v>
      </c>
      <c r="U547">
        <v>3.6</v>
      </c>
      <c r="V547">
        <v>5.9</v>
      </c>
      <c r="W547">
        <v>3</v>
      </c>
      <c r="X547">
        <v>7.4</v>
      </c>
      <c r="Y547">
        <v>138.86000000000001</v>
      </c>
      <c r="Z547">
        <v>6</v>
      </c>
      <c r="AA547" t="s">
        <v>64</v>
      </c>
    </row>
    <row r="548" spans="1:27" x14ac:dyDescent="0.3">
      <c r="A548" t="s">
        <v>639</v>
      </c>
      <c r="B548">
        <v>22</v>
      </c>
      <c r="C548" t="s">
        <v>28</v>
      </c>
      <c r="D548">
        <v>3.2</v>
      </c>
      <c r="E548" t="s">
        <v>76</v>
      </c>
      <c r="F548" t="s">
        <v>110</v>
      </c>
      <c r="G548" t="s">
        <v>50</v>
      </c>
      <c r="H548">
        <v>8.6999999999999993</v>
      </c>
      <c r="I548" t="s">
        <v>51</v>
      </c>
      <c r="J548" t="s">
        <v>33</v>
      </c>
      <c r="K548" t="s">
        <v>62</v>
      </c>
      <c r="L548">
        <v>3.82</v>
      </c>
      <c r="M548">
        <v>6</v>
      </c>
      <c r="N548" t="s">
        <v>56</v>
      </c>
      <c r="O548" t="s">
        <v>33</v>
      </c>
      <c r="P548" t="b">
        <v>0</v>
      </c>
      <c r="Q548" t="b">
        <v>0</v>
      </c>
      <c r="R548" t="b">
        <v>0</v>
      </c>
      <c r="S548" t="b">
        <v>0</v>
      </c>
      <c r="T548" t="b">
        <v>0</v>
      </c>
      <c r="U548">
        <v>0.6</v>
      </c>
      <c r="V548">
        <v>8.4</v>
      </c>
      <c r="W548">
        <v>4</v>
      </c>
      <c r="X548">
        <v>8.6999999999999993</v>
      </c>
      <c r="Y548">
        <v>42.64</v>
      </c>
      <c r="Z548">
        <v>3</v>
      </c>
      <c r="AA548" t="s">
        <v>46</v>
      </c>
    </row>
    <row r="549" spans="1:27" x14ac:dyDescent="0.3">
      <c r="A549" t="s">
        <v>640</v>
      </c>
      <c r="B549">
        <v>24</v>
      </c>
      <c r="C549" t="s">
        <v>28</v>
      </c>
      <c r="D549">
        <v>7.1</v>
      </c>
      <c r="E549" t="s">
        <v>48</v>
      </c>
      <c r="F549" t="s">
        <v>68</v>
      </c>
      <c r="G549" t="s">
        <v>71</v>
      </c>
      <c r="H549">
        <v>3.8</v>
      </c>
      <c r="I549" t="s">
        <v>43</v>
      </c>
      <c r="J549" t="s">
        <v>36</v>
      </c>
      <c r="K549" t="s">
        <v>34</v>
      </c>
      <c r="M549">
        <v>8</v>
      </c>
      <c r="N549" t="s">
        <v>105</v>
      </c>
      <c r="O549" t="s">
        <v>57</v>
      </c>
      <c r="P549" t="b">
        <v>1</v>
      </c>
      <c r="Q549" t="b">
        <v>1</v>
      </c>
      <c r="R549" t="b">
        <v>0</v>
      </c>
      <c r="S549" t="b">
        <v>0</v>
      </c>
      <c r="T549" t="b">
        <v>0</v>
      </c>
      <c r="U549">
        <v>2.2000000000000002</v>
      </c>
      <c r="V549">
        <v>6</v>
      </c>
      <c r="W549">
        <v>5</v>
      </c>
      <c r="X549">
        <v>4.9000000000000004</v>
      </c>
      <c r="Y549">
        <v>96.9</v>
      </c>
      <c r="Z549">
        <v>13</v>
      </c>
      <c r="AA549" t="s">
        <v>58</v>
      </c>
    </row>
    <row r="550" spans="1:27" x14ac:dyDescent="0.3">
      <c r="A550" t="s">
        <v>641</v>
      </c>
      <c r="B550">
        <v>18</v>
      </c>
      <c r="C550" t="s">
        <v>28</v>
      </c>
      <c r="D550">
        <v>8.4</v>
      </c>
      <c r="E550" t="s">
        <v>39</v>
      </c>
      <c r="F550" t="s">
        <v>40</v>
      </c>
      <c r="G550" t="s">
        <v>86</v>
      </c>
      <c r="H550">
        <v>5.2</v>
      </c>
      <c r="I550" t="s">
        <v>51</v>
      </c>
      <c r="J550" t="s">
        <v>42</v>
      </c>
      <c r="K550" t="s">
        <v>51</v>
      </c>
      <c r="L550">
        <v>3.2</v>
      </c>
      <c r="N550" t="s">
        <v>80</v>
      </c>
      <c r="O550" t="s">
        <v>33</v>
      </c>
      <c r="P550" t="b">
        <v>0</v>
      </c>
      <c r="Q550" t="b">
        <v>0</v>
      </c>
      <c r="R550" t="b">
        <v>0</v>
      </c>
      <c r="S550" t="b">
        <v>1</v>
      </c>
      <c r="T550" t="b">
        <v>1</v>
      </c>
      <c r="U550">
        <v>0.7</v>
      </c>
      <c r="V550">
        <v>4.7</v>
      </c>
      <c r="W550">
        <v>5</v>
      </c>
      <c r="X550">
        <v>7.2</v>
      </c>
      <c r="Y550">
        <v>73.02</v>
      </c>
      <c r="Z550">
        <v>1</v>
      </c>
      <c r="AA550" t="s">
        <v>46</v>
      </c>
    </row>
    <row r="551" spans="1:27" x14ac:dyDescent="0.3">
      <c r="A551" t="s">
        <v>642</v>
      </c>
      <c r="B551">
        <v>21</v>
      </c>
      <c r="C551" t="s">
        <v>53</v>
      </c>
      <c r="D551">
        <v>7.2</v>
      </c>
      <c r="E551" t="s">
        <v>60</v>
      </c>
      <c r="F551" t="s">
        <v>200</v>
      </c>
      <c r="G551" t="s">
        <v>31</v>
      </c>
      <c r="H551">
        <v>5.9</v>
      </c>
      <c r="I551" t="s">
        <v>41</v>
      </c>
      <c r="J551" t="s">
        <v>36</v>
      </c>
      <c r="K551" t="s">
        <v>84</v>
      </c>
      <c r="L551">
        <v>1.41</v>
      </c>
      <c r="M551">
        <v>2</v>
      </c>
      <c r="N551" t="s">
        <v>44</v>
      </c>
      <c r="O551" t="s">
        <v>33</v>
      </c>
      <c r="P551" t="b">
        <v>1</v>
      </c>
      <c r="Q551" t="b">
        <v>0</v>
      </c>
      <c r="R551" t="b">
        <v>0</v>
      </c>
      <c r="S551" t="b">
        <v>1</v>
      </c>
      <c r="T551" t="b">
        <v>1</v>
      </c>
      <c r="U551">
        <v>0.6</v>
      </c>
      <c r="V551">
        <v>6.2</v>
      </c>
      <c r="W551">
        <v>4</v>
      </c>
      <c r="X551">
        <v>5</v>
      </c>
      <c r="Y551">
        <v>99.01</v>
      </c>
      <c r="Z551">
        <v>9</v>
      </c>
      <c r="AA551" t="s">
        <v>64</v>
      </c>
    </row>
    <row r="552" spans="1:27" x14ac:dyDescent="0.3">
      <c r="A552" t="s">
        <v>643</v>
      </c>
      <c r="B552">
        <v>19</v>
      </c>
      <c r="C552" t="s">
        <v>28</v>
      </c>
      <c r="D552">
        <v>9.5</v>
      </c>
      <c r="E552" t="s">
        <v>82</v>
      </c>
      <c r="F552" t="s">
        <v>134</v>
      </c>
      <c r="G552" t="s">
        <v>50</v>
      </c>
      <c r="H552">
        <v>3.2</v>
      </c>
      <c r="I552" t="s">
        <v>51</v>
      </c>
      <c r="J552" t="s">
        <v>74</v>
      </c>
      <c r="K552" t="s">
        <v>84</v>
      </c>
      <c r="L552">
        <v>1.94</v>
      </c>
      <c r="M552">
        <v>5</v>
      </c>
      <c r="N552" t="s">
        <v>44</v>
      </c>
      <c r="O552" t="s">
        <v>57</v>
      </c>
      <c r="P552" t="b">
        <v>1</v>
      </c>
      <c r="Q552" t="b">
        <v>1</v>
      </c>
      <c r="R552" t="b">
        <v>1</v>
      </c>
      <c r="S552" t="b">
        <v>1</v>
      </c>
      <c r="T552" t="b">
        <v>0</v>
      </c>
      <c r="U552">
        <v>0.6</v>
      </c>
      <c r="V552">
        <v>4.5999999999999996</v>
      </c>
      <c r="W552">
        <v>6</v>
      </c>
      <c r="X552">
        <v>2.4</v>
      </c>
      <c r="Y552">
        <v>90.31</v>
      </c>
      <c r="Z552">
        <v>6</v>
      </c>
      <c r="AA552" t="s">
        <v>37</v>
      </c>
    </row>
    <row r="553" spans="1:27" x14ac:dyDescent="0.3">
      <c r="A553" t="s">
        <v>644</v>
      </c>
      <c r="B553">
        <v>19</v>
      </c>
      <c r="C553" t="s">
        <v>28</v>
      </c>
      <c r="D553">
        <v>6</v>
      </c>
      <c r="E553" t="s">
        <v>29</v>
      </c>
      <c r="F553" t="s">
        <v>118</v>
      </c>
      <c r="G553" t="s">
        <v>71</v>
      </c>
      <c r="H553">
        <v>5.3</v>
      </c>
      <c r="I553" t="s">
        <v>41</v>
      </c>
      <c r="J553" t="s">
        <v>42</v>
      </c>
      <c r="K553" t="s">
        <v>62</v>
      </c>
      <c r="L553">
        <v>1.42</v>
      </c>
      <c r="M553">
        <v>9</v>
      </c>
      <c r="N553" t="s">
        <v>80</v>
      </c>
      <c r="O553" t="s">
        <v>57</v>
      </c>
      <c r="P553" t="b">
        <v>0</v>
      </c>
      <c r="Q553" t="b">
        <v>0</v>
      </c>
      <c r="R553" t="b">
        <v>0</v>
      </c>
      <c r="S553" t="b">
        <v>0</v>
      </c>
      <c r="T553" t="b">
        <v>0</v>
      </c>
      <c r="U553">
        <v>3.5</v>
      </c>
      <c r="V553">
        <v>5.4</v>
      </c>
      <c r="W553">
        <v>4</v>
      </c>
      <c r="X553">
        <v>10.199999999999999</v>
      </c>
      <c r="Y553">
        <v>35.25</v>
      </c>
      <c r="Z553">
        <v>6</v>
      </c>
      <c r="AA553" t="s">
        <v>46</v>
      </c>
    </row>
    <row r="554" spans="1:27" x14ac:dyDescent="0.3">
      <c r="A554" t="s">
        <v>645</v>
      </c>
      <c r="B554">
        <v>19</v>
      </c>
      <c r="C554" t="s">
        <v>53</v>
      </c>
      <c r="D554">
        <v>2.2999999999999998</v>
      </c>
      <c r="E554" t="s">
        <v>39</v>
      </c>
      <c r="F554" t="s">
        <v>120</v>
      </c>
      <c r="G554" t="s">
        <v>71</v>
      </c>
      <c r="H554">
        <v>8.9</v>
      </c>
      <c r="I554" t="s">
        <v>43</v>
      </c>
      <c r="J554" t="s">
        <v>45</v>
      </c>
      <c r="K554" t="s">
        <v>43</v>
      </c>
      <c r="L554">
        <v>3.61</v>
      </c>
      <c r="M554">
        <v>10</v>
      </c>
      <c r="N554" t="s">
        <v>66</v>
      </c>
      <c r="O554" t="s">
        <v>36</v>
      </c>
      <c r="P554" t="b">
        <v>0</v>
      </c>
      <c r="Q554" t="b">
        <v>0</v>
      </c>
      <c r="R554" t="b">
        <v>0</v>
      </c>
      <c r="S554" t="b">
        <v>0</v>
      </c>
      <c r="T554" t="b">
        <v>0</v>
      </c>
      <c r="U554">
        <v>0.6</v>
      </c>
      <c r="V554">
        <v>9.8000000000000007</v>
      </c>
      <c r="W554">
        <v>2</v>
      </c>
      <c r="X554">
        <v>14.5</v>
      </c>
      <c r="Y554">
        <v>39.46</v>
      </c>
      <c r="Z554">
        <v>5</v>
      </c>
      <c r="AA554" t="s">
        <v>46</v>
      </c>
    </row>
    <row r="555" spans="1:27" x14ac:dyDescent="0.3">
      <c r="A555" t="s">
        <v>646</v>
      </c>
      <c r="B555">
        <v>27</v>
      </c>
      <c r="C555" t="s">
        <v>28</v>
      </c>
      <c r="D555">
        <v>4.2</v>
      </c>
      <c r="E555" t="s">
        <v>82</v>
      </c>
      <c r="F555" t="s">
        <v>134</v>
      </c>
      <c r="G555" t="s">
        <v>31</v>
      </c>
      <c r="H555">
        <v>5.9</v>
      </c>
      <c r="I555" t="s">
        <v>43</v>
      </c>
      <c r="J555" t="s">
        <v>74</v>
      </c>
      <c r="K555" t="s">
        <v>84</v>
      </c>
      <c r="M555">
        <v>2</v>
      </c>
      <c r="N555" t="s">
        <v>69</v>
      </c>
      <c r="O555" t="s">
        <v>33</v>
      </c>
      <c r="P555" t="b">
        <v>0</v>
      </c>
      <c r="Q555" t="b">
        <v>0</v>
      </c>
      <c r="R555" t="b">
        <v>0</v>
      </c>
      <c r="S555" t="b">
        <v>0</v>
      </c>
      <c r="T555" t="b">
        <v>0</v>
      </c>
      <c r="U555">
        <v>1.3</v>
      </c>
      <c r="V555">
        <v>8.9</v>
      </c>
      <c r="W555">
        <v>3</v>
      </c>
      <c r="X555">
        <v>12.6</v>
      </c>
      <c r="Y555">
        <v>18.36</v>
      </c>
      <c r="Z555">
        <v>5</v>
      </c>
      <c r="AA555" t="s">
        <v>46</v>
      </c>
    </row>
    <row r="556" spans="1:27" x14ac:dyDescent="0.3">
      <c r="A556" t="s">
        <v>647</v>
      </c>
      <c r="B556">
        <v>19</v>
      </c>
      <c r="C556" t="s">
        <v>53</v>
      </c>
      <c r="D556">
        <v>4.5999999999999996</v>
      </c>
      <c r="E556" t="s">
        <v>54</v>
      </c>
      <c r="F556" t="s">
        <v>98</v>
      </c>
      <c r="G556" t="s">
        <v>71</v>
      </c>
      <c r="H556">
        <v>6.1</v>
      </c>
      <c r="I556" t="s">
        <v>43</v>
      </c>
      <c r="J556" t="s">
        <v>74</v>
      </c>
      <c r="K556" t="s">
        <v>62</v>
      </c>
      <c r="L556">
        <v>3.24</v>
      </c>
      <c r="M556">
        <v>2</v>
      </c>
      <c r="N556" t="s">
        <v>63</v>
      </c>
      <c r="O556" t="s">
        <v>42</v>
      </c>
      <c r="P556" t="b">
        <v>0</v>
      </c>
      <c r="Q556" t="b">
        <v>0</v>
      </c>
      <c r="R556" t="b">
        <v>0</v>
      </c>
      <c r="S556" t="b">
        <v>1</v>
      </c>
      <c r="T556" t="b">
        <v>0</v>
      </c>
      <c r="U556">
        <v>1.3</v>
      </c>
      <c r="V556">
        <v>7.3</v>
      </c>
      <c r="W556">
        <v>5</v>
      </c>
      <c r="X556">
        <v>11.3</v>
      </c>
      <c r="Y556">
        <v>70.56</v>
      </c>
      <c r="Z556">
        <v>5</v>
      </c>
      <c r="AA556" t="s">
        <v>46</v>
      </c>
    </row>
    <row r="557" spans="1:27" x14ac:dyDescent="0.3">
      <c r="A557" t="s">
        <v>648</v>
      </c>
      <c r="B557">
        <v>19</v>
      </c>
      <c r="C557" t="s">
        <v>28</v>
      </c>
      <c r="D557">
        <v>4.8</v>
      </c>
      <c r="E557" t="s">
        <v>82</v>
      </c>
      <c r="F557" t="s">
        <v>134</v>
      </c>
      <c r="G557" t="s">
        <v>71</v>
      </c>
      <c r="H557">
        <v>7</v>
      </c>
      <c r="I557" t="s">
        <v>51</v>
      </c>
      <c r="J557" t="s">
        <v>45</v>
      </c>
      <c r="K557" t="s">
        <v>51</v>
      </c>
      <c r="L557">
        <v>2.78</v>
      </c>
      <c r="M557">
        <v>1</v>
      </c>
      <c r="N557" t="s">
        <v>69</v>
      </c>
      <c r="O557" t="s">
        <v>57</v>
      </c>
      <c r="P557" t="b">
        <v>0</v>
      </c>
      <c r="Q557" t="b">
        <v>0</v>
      </c>
      <c r="R557" t="b">
        <v>0</v>
      </c>
      <c r="S557" t="b">
        <v>1</v>
      </c>
      <c r="T557" t="b">
        <v>0</v>
      </c>
      <c r="U557">
        <v>3.2</v>
      </c>
      <c r="V557">
        <v>8.1</v>
      </c>
      <c r="W557">
        <v>2</v>
      </c>
      <c r="X557">
        <v>8.6</v>
      </c>
      <c r="Y557">
        <v>97.99</v>
      </c>
      <c r="Z557">
        <v>6</v>
      </c>
      <c r="AA557" t="s">
        <v>46</v>
      </c>
    </row>
    <row r="558" spans="1:27" x14ac:dyDescent="0.3">
      <c r="A558" t="s">
        <v>649</v>
      </c>
      <c r="B558">
        <v>20</v>
      </c>
      <c r="C558" t="s">
        <v>28</v>
      </c>
      <c r="D558">
        <v>11.7</v>
      </c>
      <c r="E558" t="s">
        <v>29</v>
      </c>
      <c r="F558" t="s">
        <v>118</v>
      </c>
      <c r="G558" t="s">
        <v>71</v>
      </c>
      <c r="H558">
        <v>5.5</v>
      </c>
      <c r="I558" t="s">
        <v>32</v>
      </c>
      <c r="J558" t="s">
        <v>74</v>
      </c>
      <c r="K558" t="s">
        <v>62</v>
      </c>
      <c r="L558">
        <v>2.69</v>
      </c>
      <c r="M558">
        <v>7</v>
      </c>
      <c r="N558" t="s">
        <v>69</v>
      </c>
      <c r="O558" t="s">
        <v>57</v>
      </c>
      <c r="P558" t="b">
        <v>1</v>
      </c>
      <c r="Q558" t="b">
        <v>1</v>
      </c>
      <c r="R558" t="b">
        <v>1</v>
      </c>
      <c r="S558" t="b">
        <v>1</v>
      </c>
      <c r="T558" t="b">
        <v>0</v>
      </c>
      <c r="U558">
        <v>0.1</v>
      </c>
      <c r="V558">
        <v>5.4</v>
      </c>
      <c r="W558">
        <v>7</v>
      </c>
      <c r="X558">
        <v>0.2</v>
      </c>
      <c r="Y558">
        <v>360.29</v>
      </c>
      <c r="Z558">
        <v>3</v>
      </c>
      <c r="AA558" t="s">
        <v>37</v>
      </c>
    </row>
    <row r="559" spans="1:27" x14ac:dyDescent="0.3">
      <c r="A559" t="s">
        <v>650</v>
      </c>
      <c r="B559">
        <v>26</v>
      </c>
      <c r="C559" t="s">
        <v>28</v>
      </c>
      <c r="D559">
        <v>2.5</v>
      </c>
      <c r="E559" t="s">
        <v>39</v>
      </c>
      <c r="F559" t="s">
        <v>40</v>
      </c>
      <c r="G559" t="s">
        <v>31</v>
      </c>
      <c r="H559">
        <v>7.6</v>
      </c>
      <c r="I559" t="s">
        <v>43</v>
      </c>
      <c r="J559" t="s">
        <v>74</v>
      </c>
      <c r="K559" t="s">
        <v>43</v>
      </c>
      <c r="M559">
        <v>4</v>
      </c>
      <c r="N559" t="s">
        <v>35</v>
      </c>
      <c r="O559" t="s">
        <v>57</v>
      </c>
      <c r="P559" t="b">
        <v>0</v>
      </c>
      <c r="Q559" t="b">
        <v>0</v>
      </c>
      <c r="R559" t="b">
        <v>0</v>
      </c>
      <c r="S559" t="b">
        <v>0</v>
      </c>
      <c r="T559" t="b">
        <v>0</v>
      </c>
      <c r="U559">
        <v>0.5</v>
      </c>
      <c r="V559">
        <v>8.8000000000000007</v>
      </c>
      <c r="W559">
        <v>1</v>
      </c>
      <c r="X559">
        <v>13.5</v>
      </c>
      <c r="Y559">
        <v>0.43</v>
      </c>
      <c r="Z559">
        <v>11</v>
      </c>
      <c r="AA559" t="s">
        <v>46</v>
      </c>
    </row>
    <row r="560" spans="1:27" x14ac:dyDescent="0.3">
      <c r="A560" t="s">
        <v>651</v>
      </c>
      <c r="B560">
        <v>33</v>
      </c>
      <c r="C560" t="s">
        <v>28</v>
      </c>
      <c r="D560">
        <v>5.2</v>
      </c>
      <c r="E560" t="s">
        <v>39</v>
      </c>
      <c r="F560" t="s">
        <v>120</v>
      </c>
      <c r="G560" t="s">
        <v>71</v>
      </c>
      <c r="H560">
        <v>5.3</v>
      </c>
      <c r="I560" t="s">
        <v>43</v>
      </c>
      <c r="J560" t="s">
        <v>42</v>
      </c>
      <c r="K560" t="s">
        <v>84</v>
      </c>
      <c r="M560">
        <v>10</v>
      </c>
      <c r="N560" t="s">
        <v>44</v>
      </c>
      <c r="O560" t="s">
        <v>33</v>
      </c>
      <c r="P560" t="b">
        <v>0</v>
      </c>
      <c r="Q560" t="b">
        <v>0</v>
      </c>
      <c r="R560" t="b">
        <v>0</v>
      </c>
      <c r="S560" t="b">
        <v>1</v>
      </c>
      <c r="T560" t="b">
        <v>0</v>
      </c>
      <c r="U560">
        <v>0.7</v>
      </c>
      <c r="V560">
        <v>8.1999999999999993</v>
      </c>
      <c r="W560">
        <v>2</v>
      </c>
      <c r="X560">
        <v>9.1999999999999993</v>
      </c>
      <c r="Y560">
        <v>102.88</v>
      </c>
      <c r="Z560">
        <v>19</v>
      </c>
      <c r="AA560" t="s">
        <v>46</v>
      </c>
    </row>
    <row r="561" spans="1:27" x14ac:dyDescent="0.3">
      <c r="A561" t="s">
        <v>652</v>
      </c>
      <c r="B561">
        <v>19</v>
      </c>
      <c r="C561" t="s">
        <v>28</v>
      </c>
      <c r="D561">
        <v>4.5999999999999996</v>
      </c>
      <c r="E561" t="s">
        <v>39</v>
      </c>
      <c r="F561" t="s">
        <v>120</v>
      </c>
      <c r="G561" t="s">
        <v>50</v>
      </c>
      <c r="H561">
        <v>5.4</v>
      </c>
      <c r="I561" t="s">
        <v>41</v>
      </c>
      <c r="J561" t="s">
        <v>42</v>
      </c>
      <c r="K561" t="s">
        <v>62</v>
      </c>
      <c r="L561">
        <v>1.85</v>
      </c>
      <c r="M561">
        <v>9</v>
      </c>
      <c r="N561" t="s">
        <v>80</v>
      </c>
      <c r="O561" t="s">
        <v>36</v>
      </c>
      <c r="P561" t="b">
        <v>0</v>
      </c>
      <c r="Q561" t="b">
        <v>0</v>
      </c>
      <c r="R561" t="b">
        <v>0</v>
      </c>
      <c r="S561" t="b">
        <v>0</v>
      </c>
      <c r="T561" t="b">
        <v>0</v>
      </c>
      <c r="U561">
        <v>0.2</v>
      </c>
      <c r="V561">
        <v>5.5</v>
      </c>
      <c r="W561">
        <v>1</v>
      </c>
      <c r="X561">
        <v>11.2</v>
      </c>
      <c r="Y561">
        <v>37.92</v>
      </c>
      <c r="Z561">
        <v>7</v>
      </c>
      <c r="AA561" t="s">
        <v>46</v>
      </c>
    </row>
    <row r="562" spans="1:27" x14ac:dyDescent="0.3">
      <c r="A562" t="s">
        <v>653</v>
      </c>
      <c r="B562">
        <v>18</v>
      </c>
      <c r="C562" t="s">
        <v>28</v>
      </c>
      <c r="D562">
        <v>4</v>
      </c>
      <c r="E562" t="s">
        <v>39</v>
      </c>
      <c r="F562" t="s">
        <v>120</v>
      </c>
      <c r="G562" t="s">
        <v>50</v>
      </c>
      <c r="H562">
        <v>5.8</v>
      </c>
      <c r="I562" t="s">
        <v>51</v>
      </c>
      <c r="J562" t="s">
        <v>74</v>
      </c>
      <c r="K562" t="s">
        <v>84</v>
      </c>
      <c r="L562">
        <v>3.29</v>
      </c>
      <c r="N562" t="s">
        <v>66</v>
      </c>
      <c r="O562" t="s">
        <v>33</v>
      </c>
      <c r="P562" t="b">
        <v>0</v>
      </c>
      <c r="Q562" t="b">
        <v>0</v>
      </c>
      <c r="R562" t="b">
        <v>0</v>
      </c>
      <c r="S562" t="b">
        <v>0</v>
      </c>
      <c r="T562" t="b">
        <v>0</v>
      </c>
      <c r="U562">
        <v>0.1</v>
      </c>
      <c r="V562">
        <v>8.6999999999999993</v>
      </c>
      <c r="W562">
        <v>3</v>
      </c>
      <c r="X562">
        <v>13.2</v>
      </c>
      <c r="Y562">
        <v>26.29</v>
      </c>
      <c r="Z562">
        <v>4</v>
      </c>
      <c r="AA562" t="s">
        <v>46</v>
      </c>
    </row>
    <row r="563" spans="1:27" x14ac:dyDescent="0.3">
      <c r="A563" t="s">
        <v>654</v>
      </c>
      <c r="B563">
        <v>20</v>
      </c>
      <c r="C563" t="s">
        <v>53</v>
      </c>
      <c r="D563">
        <v>1.7</v>
      </c>
      <c r="E563" t="s">
        <v>29</v>
      </c>
      <c r="F563" t="s">
        <v>30</v>
      </c>
      <c r="G563" t="s">
        <v>71</v>
      </c>
      <c r="H563">
        <v>8.6999999999999993</v>
      </c>
      <c r="I563" t="s">
        <v>43</v>
      </c>
      <c r="J563" t="s">
        <v>42</v>
      </c>
      <c r="K563" t="s">
        <v>84</v>
      </c>
      <c r="L563">
        <v>3.88</v>
      </c>
      <c r="M563">
        <v>7</v>
      </c>
      <c r="N563" t="s">
        <v>66</v>
      </c>
      <c r="O563" t="s">
        <v>57</v>
      </c>
      <c r="P563" t="b">
        <v>0</v>
      </c>
      <c r="Q563" t="b">
        <v>0</v>
      </c>
      <c r="R563" t="b">
        <v>0</v>
      </c>
      <c r="S563" t="b">
        <v>0</v>
      </c>
      <c r="T563" t="b">
        <v>0</v>
      </c>
      <c r="U563">
        <v>0.1</v>
      </c>
      <c r="V563">
        <v>7.6</v>
      </c>
      <c r="W563">
        <v>1</v>
      </c>
      <c r="X563">
        <v>10.4</v>
      </c>
      <c r="Y563">
        <v>2.0099999999999998</v>
      </c>
      <c r="Z563">
        <v>3</v>
      </c>
      <c r="AA563" t="s">
        <v>46</v>
      </c>
    </row>
    <row r="564" spans="1:27" x14ac:dyDescent="0.3">
      <c r="A564" t="s">
        <v>655</v>
      </c>
      <c r="B564">
        <v>16</v>
      </c>
      <c r="C564" t="s">
        <v>28</v>
      </c>
      <c r="D564">
        <v>7.6</v>
      </c>
      <c r="E564" t="s">
        <v>48</v>
      </c>
      <c r="F564" t="s">
        <v>128</v>
      </c>
      <c r="G564" t="s">
        <v>86</v>
      </c>
      <c r="H564">
        <v>3.3</v>
      </c>
      <c r="I564" t="s">
        <v>78</v>
      </c>
      <c r="J564" t="s">
        <v>74</v>
      </c>
      <c r="K564" t="s">
        <v>51</v>
      </c>
      <c r="L564">
        <v>1.73</v>
      </c>
      <c r="N564" t="s">
        <v>56</v>
      </c>
      <c r="O564" t="s">
        <v>57</v>
      </c>
      <c r="P564" t="b">
        <v>1</v>
      </c>
      <c r="Q564" t="b">
        <v>0</v>
      </c>
      <c r="R564" t="b">
        <v>0</v>
      </c>
      <c r="S564" t="b">
        <v>0</v>
      </c>
      <c r="T564" t="b">
        <v>1</v>
      </c>
      <c r="U564">
        <v>4.5999999999999996</v>
      </c>
      <c r="V564">
        <v>6.9</v>
      </c>
      <c r="W564">
        <v>3</v>
      </c>
      <c r="X564">
        <v>4.0999999999999996</v>
      </c>
      <c r="Y564">
        <v>42.16</v>
      </c>
      <c r="Z564">
        <v>1</v>
      </c>
      <c r="AA564" t="s">
        <v>64</v>
      </c>
    </row>
    <row r="565" spans="1:27" x14ac:dyDescent="0.3">
      <c r="A565" t="s">
        <v>656</v>
      </c>
      <c r="B565">
        <v>22</v>
      </c>
      <c r="C565" t="s">
        <v>28</v>
      </c>
      <c r="D565">
        <v>4.5</v>
      </c>
      <c r="E565" t="s">
        <v>76</v>
      </c>
      <c r="F565" t="s">
        <v>77</v>
      </c>
      <c r="G565" t="s">
        <v>86</v>
      </c>
      <c r="H565">
        <v>6.9</v>
      </c>
      <c r="I565" t="s">
        <v>51</v>
      </c>
      <c r="J565" t="s">
        <v>33</v>
      </c>
      <c r="K565" t="s">
        <v>34</v>
      </c>
      <c r="L565">
        <v>1.54</v>
      </c>
      <c r="M565">
        <v>10</v>
      </c>
      <c r="N565" t="s">
        <v>69</v>
      </c>
      <c r="O565" t="s">
        <v>33</v>
      </c>
      <c r="P565" t="b">
        <v>0</v>
      </c>
      <c r="Q565" t="b">
        <v>0</v>
      </c>
      <c r="R565" t="b">
        <v>0</v>
      </c>
      <c r="S565" t="b">
        <v>1</v>
      </c>
      <c r="T565" t="b">
        <v>0</v>
      </c>
      <c r="U565">
        <v>2.7</v>
      </c>
      <c r="V565">
        <v>7.1</v>
      </c>
      <c r="W565">
        <v>2</v>
      </c>
      <c r="X565">
        <v>11.8</v>
      </c>
      <c r="Y565">
        <v>92.49</v>
      </c>
      <c r="Z565">
        <v>8</v>
      </c>
      <c r="AA565" t="s">
        <v>46</v>
      </c>
    </row>
    <row r="566" spans="1:27" x14ac:dyDescent="0.3">
      <c r="A566" t="s">
        <v>657</v>
      </c>
      <c r="B566">
        <v>23</v>
      </c>
      <c r="C566" t="s">
        <v>152</v>
      </c>
      <c r="D566">
        <v>4.5999999999999996</v>
      </c>
      <c r="E566" t="s">
        <v>76</v>
      </c>
      <c r="F566" t="s">
        <v>110</v>
      </c>
      <c r="G566" t="s">
        <v>86</v>
      </c>
      <c r="H566">
        <v>6.3</v>
      </c>
      <c r="I566" t="s">
        <v>41</v>
      </c>
      <c r="J566" t="s">
        <v>45</v>
      </c>
      <c r="K566" t="s">
        <v>34</v>
      </c>
      <c r="M566">
        <v>6</v>
      </c>
      <c r="N566" t="s">
        <v>66</v>
      </c>
      <c r="O566" t="s">
        <v>36</v>
      </c>
      <c r="P566" t="b">
        <v>0</v>
      </c>
      <c r="Q566" t="b">
        <v>0</v>
      </c>
      <c r="R566" t="b">
        <v>0</v>
      </c>
      <c r="S566" t="b">
        <v>0</v>
      </c>
      <c r="T566" t="b">
        <v>0</v>
      </c>
      <c r="U566">
        <v>0.8</v>
      </c>
      <c r="V566">
        <v>6.8</v>
      </c>
      <c r="W566">
        <v>4</v>
      </c>
      <c r="X566">
        <v>10.9</v>
      </c>
      <c r="Y566">
        <v>134.52000000000001</v>
      </c>
      <c r="Z566">
        <v>11</v>
      </c>
      <c r="AA566" t="s">
        <v>46</v>
      </c>
    </row>
    <row r="567" spans="1:27" x14ac:dyDescent="0.3">
      <c r="A567" t="s">
        <v>658</v>
      </c>
      <c r="B567">
        <v>18</v>
      </c>
      <c r="C567" t="s">
        <v>28</v>
      </c>
      <c r="D567">
        <v>2.2999999999999998</v>
      </c>
      <c r="E567" t="s">
        <v>82</v>
      </c>
      <c r="F567" t="s">
        <v>167</v>
      </c>
      <c r="G567" t="s">
        <v>71</v>
      </c>
      <c r="H567">
        <v>7.3</v>
      </c>
      <c r="I567" t="s">
        <v>43</v>
      </c>
      <c r="J567" t="s">
        <v>33</v>
      </c>
      <c r="K567" t="s">
        <v>62</v>
      </c>
      <c r="L567">
        <v>1.63</v>
      </c>
      <c r="N567" t="s">
        <v>66</v>
      </c>
      <c r="O567" t="s">
        <v>42</v>
      </c>
      <c r="P567" t="b">
        <v>0</v>
      </c>
      <c r="Q567" t="b">
        <v>0</v>
      </c>
      <c r="R567" t="b">
        <v>0</v>
      </c>
      <c r="S567" t="b">
        <v>0</v>
      </c>
      <c r="T567" t="b">
        <v>0</v>
      </c>
      <c r="U567">
        <v>0.4</v>
      </c>
      <c r="V567">
        <v>9.8000000000000007</v>
      </c>
      <c r="W567">
        <v>1</v>
      </c>
      <c r="X567">
        <v>13.1</v>
      </c>
      <c r="Y567">
        <v>35.89</v>
      </c>
      <c r="Z567">
        <v>2</v>
      </c>
      <c r="AA567" t="s">
        <v>46</v>
      </c>
    </row>
    <row r="568" spans="1:27" x14ac:dyDescent="0.3">
      <c r="A568" t="s">
        <v>659</v>
      </c>
      <c r="B568">
        <v>25</v>
      </c>
      <c r="C568" t="s">
        <v>53</v>
      </c>
      <c r="D568">
        <v>5.3</v>
      </c>
      <c r="E568" t="s">
        <v>39</v>
      </c>
      <c r="F568" t="s">
        <v>120</v>
      </c>
      <c r="G568" t="s">
        <v>86</v>
      </c>
      <c r="H568">
        <v>6</v>
      </c>
      <c r="I568" t="s">
        <v>51</v>
      </c>
      <c r="J568" t="s">
        <v>36</v>
      </c>
      <c r="K568" t="s">
        <v>34</v>
      </c>
      <c r="M568">
        <v>3</v>
      </c>
      <c r="N568" t="s">
        <v>105</v>
      </c>
      <c r="O568" t="s">
        <v>57</v>
      </c>
      <c r="P568" t="b">
        <v>0</v>
      </c>
      <c r="Q568" t="b">
        <v>0</v>
      </c>
      <c r="R568" t="b">
        <v>0</v>
      </c>
      <c r="S568" t="b">
        <v>1</v>
      </c>
      <c r="T568" t="b">
        <v>0</v>
      </c>
      <c r="U568">
        <v>0.6</v>
      </c>
      <c r="V568">
        <v>8.8000000000000007</v>
      </c>
      <c r="W568">
        <v>2</v>
      </c>
      <c r="X568">
        <v>6.3</v>
      </c>
      <c r="Y568">
        <v>123.9</v>
      </c>
      <c r="Z568">
        <v>6</v>
      </c>
      <c r="AA568" t="s">
        <v>46</v>
      </c>
    </row>
    <row r="569" spans="1:27" x14ac:dyDescent="0.3">
      <c r="A569" t="s">
        <v>660</v>
      </c>
      <c r="B569">
        <v>20</v>
      </c>
      <c r="C569" t="s">
        <v>28</v>
      </c>
      <c r="D569">
        <v>8</v>
      </c>
      <c r="E569" t="s">
        <v>39</v>
      </c>
      <c r="F569" t="s">
        <v>40</v>
      </c>
      <c r="G569" t="s">
        <v>50</v>
      </c>
      <c r="H569">
        <v>5.8</v>
      </c>
      <c r="I569" t="s">
        <v>51</v>
      </c>
      <c r="J569" t="s">
        <v>42</v>
      </c>
      <c r="K569" t="s">
        <v>34</v>
      </c>
      <c r="L569">
        <v>2.75</v>
      </c>
      <c r="M569">
        <v>6</v>
      </c>
      <c r="N569" t="s">
        <v>69</v>
      </c>
      <c r="O569" t="s">
        <v>45</v>
      </c>
      <c r="P569" t="b">
        <v>1</v>
      </c>
      <c r="Q569" t="b">
        <v>1</v>
      </c>
      <c r="R569" t="b">
        <v>1</v>
      </c>
      <c r="S569" t="b">
        <v>0</v>
      </c>
      <c r="T569" t="b">
        <v>1</v>
      </c>
      <c r="U569">
        <v>1.2</v>
      </c>
      <c r="V569">
        <v>4.7</v>
      </c>
      <c r="W569">
        <v>5</v>
      </c>
      <c r="X569">
        <v>6.2</v>
      </c>
      <c r="Y569">
        <v>42.42</v>
      </c>
      <c r="Z569">
        <v>3</v>
      </c>
      <c r="AA569" t="s">
        <v>37</v>
      </c>
    </row>
    <row r="570" spans="1:27" x14ac:dyDescent="0.3">
      <c r="A570" t="s">
        <v>661</v>
      </c>
      <c r="B570">
        <v>13</v>
      </c>
      <c r="C570" t="s">
        <v>28</v>
      </c>
      <c r="D570">
        <v>2.2999999999999998</v>
      </c>
      <c r="E570" t="s">
        <v>39</v>
      </c>
      <c r="F570" t="s">
        <v>93</v>
      </c>
      <c r="G570" t="s">
        <v>86</v>
      </c>
      <c r="H570">
        <v>8.1999999999999993</v>
      </c>
      <c r="I570" t="s">
        <v>41</v>
      </c>
      <c r="J570" t="s">
        <v>74</v>
      </c>
      <c r="K570" t="s">
        <v>34</v>
      </c>
      <c r="L570">
        <v>2.99</v>
      </c>
      <c r="N570" t="s">
        <v>66</v>
      </c>
      <c r="O570" t="s">
        <v>33</v>
      </c>
      <c r="P570" t="b">
        <v>0</v>
      </c>
      <c r="Q570" t="b">
        <v>0</v>
      </c>
      <c r="R570" t="b">
        <v>0</v>
      </c>
      <c r="S570" t="b">
        <v>0</v>
      </c>
      <c r="T570" t="b">
        <v>0</v>
      </c>
      <c r="U570">
        <v>0.1</v>
      </c>
      <c r="V570">
        <v>10.6</v>
      </c>
      <c r="W570">
        <v>1</v>
      </c>
      <c r="X570">
        <v>10.7</v>
      </c>
      <c r="Y570">
        <v>13.49</v>
      </c>
      <c r="Z570">
        <v>1</v>
      </c>
      <c r="AA570" t="s">
        <v>46</v>
      </c>
    </row>
    <row r="571" spans="1:27" x14ac:dyDescent="0.3">
      <c r="A571" t="s">
        <v>662</v>
      </c>
      <c r="B571">
        <v>34</v>
      </c>
      <c r="C571" t="s">
        <v>28</v>
      </c>
      <c r="D571">
        <v>3.9</v>
      </c>
      <c r="E571" t="s">
        <v>39</v>
      </c>
      <c r="F571" t="s">
        <v>40</v>
      </c>
      <c r="G571" t="s">
        <v>31</v>
      </c>
      <c r="H571">
        <v>5.0999999999999996</v>
      </c>
      <c r="I571" t="s">
        <v>41</v>
      </c>
      <c r="J571" t="s">
        <v>33</v>
      </c>
      <c r="K571" t="s">
        <v>84</v>
      </c>
      <c r="M571">
        <v>2</v>
      </c>
      <c r="N571" t="s">
        <v>44</v>
      </c>
      <c r="O571" t="s">
        <v>33</v>
      </c>
      <c r="P571" t="b">
        <v>0</v>
      </c>
      <c r="Q571" t="b">
        <v>0</v>
      </c>
      <c r="R571" t="b">
        <v>0</v>
      </c>
      <c r="S571" t="b">
        <v>0</v>
      </c>
      <c r="T571" t="b">
        <v>0</v>
      </c>
      <c r="U571">
        <v>0.1</v>
      </c>
      <c r="V571">
        <v>6.5</v>
      </c>
      <c r="W571">
        <v>2</v>
      </c>
      <c r="X571">
        <v>8.8000000000000007</v>
      </c>
      <c r="Y571">
        <v>23.55</v>
      </c>
      <c r="Z571">
        <v>17</v>
      </c>
      <c r="AA571" t="s">
        <v>46</v>
      </c>
    </row>
    <row r="572" spans="1:27" x14ac:dyDescent="0.3">
      <c r="A572" t="s">
        <v>663</v>
      </c>
      <c r="B572">
        <v>28</v>
      </c>
      <c r="C572" t="s">
        <v>53</v>
      </c>
      <c r="D572">
        <v>7.8</v>
      </c>
      <c r="E572" t="s">
        <v>60</v>
      </c>
      <c r="F572" t="s">
        <v>96</v>
      </c>
      <c r="G572" t="s">
        <v>86</v>
      </c>
      <c r="H572">
        <v>4.7</v>
      </c>
      <c r="I572" t="s">
        <v>41</v>
      </c>
      <c r="J572" t="s">
        <v>42</v>
      </c>
      <c r="K572" t="s">
        <v>51</v>
      </c>
      <c r="M572">
        <v>1</v>
      </c>
      <c r="N572" t="s">
        <v>35</v>
      </c>
      <c r="O572" t="s">
        <v>42</v>
      </c>
      <c r="P572" t="b">
        <v>1</v>
      </c>
      <c r="Q572" t="b">
        <v>1</v>
      </c>
      <c r="R572" t="b">
        <v>1</v>
      </c>
      <c r="S572" t="b">
        <v>1</v>
      </c>
      <c r="T572" t="b">
        <v>1</v>
      </c>
      <c r="U572">
        <v>0.8</v>
      </c>
      <c r="V572">
        <v>4</v>
      </c>
      <c r="W572">
        <v>6</v>
      </c>
      <c r="X572">
        <v>2.7</v>
      </c>
      <c r="Y572">
        <v>88.65</v>
      </c>
      <c r="Z572">
        <v>14</v>
      </c>
      <c r="AA572" t="s">
        <v>37</v>
      </c>
    </row>
    <row r="573" spans="1:27" x14ac:dyDescent="0.3">
      <c r="A573" t="s">
        <v>664</v>
      </c>
      <c r="B573">
        <v>17</v>
      </c>
      <c r="C573" t="s">
        <v>28</v>
      </c>
      <c r="D573">
        <v>8.4</v>
      </c>
      <c r="E573" t="s">
        <v>76</v>
      </c>
      <c r="F573" t="s">
        <v>110</v>
      </c>
      <c r="G573" t="s">
        <v>71</v>
      </c>
      <c r="H573">
        <v>3.4</v>
      </c>
      <c r="I573" t="s">
        <v>51</v>
      </c>
      <c r="J573" t="s">
        <v>74</v>
      </c>
      <c r="K573" t="s">
        <v>62</v>
      </c>
      <c r="L573">
        <v>3.69</v>
      </c>
      <c r="N573" t="s">
        <v>63</v>
      </c>
      <c r="O573" t="s">
        <v>33</v>
      </c>
      <c r="P573" t="b">
        <v>1</v>
      </c>
      <c r="Q573" t="b">
        <v>0</v>
      </c>
      <c r="R573" t="b">
        <v>1</v>
      </c>
      <c r="S573" t="b">
        <v>0</v>
      </c>
      <c r="T573" t="b">
        <v>0</v>
      </c>
      <c r="U573">
        <v>2.7</v>
      </c>
      <c r="V573">
        <v>7.9</v>
      </c>
      <c r="W573">
        <v>3</v>
      </c>
      <c r="X573">
        <v>2.7</v>
      </c>
      <c r="Y573">
        <v>76.72</v>
      </c>
      <c r="Z573">
        <v>1</v>
      </c>
      <c r="AA573" t="s">
        <v>58</v>
      </c>
    </row>
    <row r="574" spans="1:27" x14ac:dyDescent="0.3">
      <c r="A574" t="s">
        <v>665</v>
      </c>
      <c r="B574">
        <v>20</v>
      </c>
      <c r="C574" t="s">
        <v>28</v>
      </c>
      <c r="D574">
        <v>5.3</v>
      </c>
      <c r="E574" t="s">
        <v>82</v>
      </c>
      <c r="F574" t="s">
        <v>167</v>
      </c>
      <c r="G574" t="s">
        <v>50</v>
      </c>
      <c r="H574">
        <v>5.5</v>
      </c>
      <c r="I574" t="s">
        <v>32</v>
      </c>
      <c r="J574" t="s">
        <v>33</v>
      </c>
      <c r="K574" t="s">
        <v>51</v>
      </c>
      <c r="L574">
        <v>2.34</v>
      </c>
      <c r="M574">
        <v>6</v>
      </c>
      <c r="N574" t="s">
        <v>44</v>
      </c>
      <c r="O574" t="s">
        <v>33</v>
      </c>
      <c r="P574" t="b">
        <v>0</v>
      </c>
      <c r="Q574" t="b">
        <v>0</v>
      </c>
      <c r="R574" t="b">
        <v>0</v>
      </c>
      <c r="S574" t="b">
        <v>1</v>
      </c>
      <c r="T574" t="b">
        <v>0</v>
      </c>
      <c r="U574">
        <v>1.3</v>
      </c>
      <c r="V574">
        <v>8.5</v>
      </c>
      <c r="W574">
        <v>4</v>
      </c>
      <c r="X574">
        <v>8.6999999999999993</v>
      </c>
      <c r="Y574">
        <v>140.81</v>
      </c>
      <c r="Z574">
        <v>5</v>
      </c>
      <c r="AA574" t="s">
        <v>46</v>
      </c>
    </row>
    <row r="575" spans="1:27" x14ac:dyDescent="0.3">
      <c r="A575" t="s">
        <v>666</v>
      </c>
      <c r="B575">
        <v>23</v>
      </c>
      <c r="C575" t="s">
        <v>28</v>
      </c>
      <c r="D575">
        <v>3.5</v>
      </c>
      <c r="E575" t="s">
        <v>60</v>
      </c>
      <c r="F575" t="s">
        <v>96</v>
      </c>
      <c r="G575" t="s">
        <v>50</v>
      </c>
      <c r="H575">
        <v>6.9</v>
      </c>
      <c r="I575" t="s">
        <v>32</v>
      </c>
      <c r="J575" t="s">
        <v>45</v>
      </c>
      <c r="K575" t="s">
        <v>34</v>
      </c>
      <c r="M575">
        <v>2</v>
      </c>
      <c r="N575" t="s">
        <v>80</v>
      </c>
      <c r="O575" t="s">
        <v>45</v>
      </c>
      <c r="P575" t="b">
        <v>0</v>
      </c>
      <c r="Q575" t="b">
        <v>0</v>
      </c>
      <c r="R575" t="b">
        <v>0</v>
      </c>
      <c r="S575" t="b">
        <v>0</v>
      </c>
      <c r="T575" t="b">
        <v>0</v>
      </c>
      <c r="U575">
        <v>0.4</v>
      </c>
      <c r="V575">
        <v>9.4</v>
      </c>
      <c r="W575">
        <v>3</v>
      </c>
      <c r="X575">
        <v>12.1</v>
      </c>
      <c r="Y575">
        <v>11.59</v>
      </c>
      <c r="Z575">
        <v>2</v>
      </c>
      <c r="AA575" t="s">
        <v>46</v>
      </c>
    </row>
    <row r="576" spans="1:27" x14ac:dyDescent="0.3">
      <c r="A576" t="s">
        <v>667</v>
      </c>
      <c r="B576">
        <v>23</v>
      </c>
      <c r="C576" t="s">
        <v>28</v>
      </c>
      <c r="D576">
        <v>4.3</v>
      </c>
      <c r="E576" t="s">
        <v>54</v>
      </c>
      <c r="F576" t="s">
        <v>89</v>
      </c>
      <c r="G576" t="s">
        <v>31</v>
      </c>
      <c r="H576">
        <v>5.5</v>
      </c>
      <c r="I576" t="s">
        <v>51</v>
      </c>
      <c r="J576" t="s">
        <v>45</v>
      </c>
      <c r="K576" t="s">
        <v>62</v>
      </c>
      <c r="M576">
        <v>1</v>
      </c>
      <c r="N576" t="s">
        <v>105</v>
      </c>
      <c r="O576" t="s">
        <v>45</v>
      </c>
      <c r="P576" t="b">
        <v>0</v>
      </c>
      <c r="Q576" t="b">
        <v>0</v>
      </c>
      <c r="R576" t="b">
        <v>0</v>
      </c>
      <c r="S576" t="b">
        <v>0</v>
      </c>
      <c r="T576" t="b">
        <v>0</v>
      </c>
      <c r="U576">
        <v>2.4</v>
      </c>
      <c r="V576">
        <v>6.4</v>
      </c>
      <c r="W576">
        <v>1</v>
      </c>
      <c r="X576">
        <v>12.6</v>
      </c>
      <c r="Y576">
        <v>6.68</v>
      </c>
      <c r="Z576">
        <v>6</v>
      </c>
      <c r="AA576" t="s">
        <v>46</v>
      </c>
    </row>
    <row r="577" spans="1:27" x14ac:dyDescent="0.3">
      <c r="A577" t="s">
        <v>668</v>
      </c>
      <c r="B577">
        <v>21</v>
      </c>
      <c r="C577" t="s">
        <v>28</v>
      </c>
      <c r="D577">
        <v>6.5</v>
      </c>
      <c r="E577" t="s">
        <v>54</v>
      </c>
      <c r="F577" t="s">
        <v>55</v>
      </c>
      <c r="G577" t="s">
        <v>86</v>
      </c>
      <c r="H577">
        <v>5.7</v>
      </c>
      <c r="I577" t="s">
        <v>51</v>
      </c>
      <c r="J577" t="s">
        <v>33</v>
      </c>
      <c r="K577" t="s">
        <v>129</v>
      </c>
      <c r="L577">
        <v>1.76</v>
      </c>
      <c r="M577">
        <v>7</v>
      </c>
      <c r="N577" t="s">
        <v>35</v>
      </c>
      <c r="O577" t="s">
        <v>33</v>
      </c>
      <c r="P577" t="b">
        <v>1</v>
      </c>
      <c r="Q577" t="b">
        <v>1</v>
      </c>
      <c r="R577" t="b">
        <v>0</v>
      </c>
      <c r="S577" t="b">
        <v>1</v>
      </c>
      <c r="T577" t="b">
        <v>1</v>
      </c>
      <c r="U577">
        <v>1</v>
      </c>
      <c r="V577">
        <v>6.2</v>
      </c>
      <c r="W577">
        <v>4</v>
      </c>
      <c r="X577">
        <v>5.4</v>
      </c>
      <c r="Y577">
        <v>132.29</v>
      </c>
      <c r="Z577">
        <v>4</v>
      </c>
      <c r="AA577" t="s">
        <v>58</v>
      </c>
    </row>
    <row r="578" spans="1:27" x14ac:dyDescent="0.3">
      <c r="A578" t="s">
        <v>669</v>
      </c>
      <c r="B578">
        <v>19</v>
      </c>
      <c r="C578" t="s">
        <v>53</v>
      </c>
      <c r="D578">
        <v>1.3</v>
      </c>
      <c r="E578" t="s">
        <v>54</v>
      </c>
      <c r="F578" t="s">
        <v>55</v>
      </c>
      <c r="G578" t="s">
        <v>71</v>
      </c>
      <c r="H578">
        <v>9</v>
      </c>
      <c r="I578" t="s">
        <v>43</v>
      </c>
      <c r="J578" t="s">
        <v>36</v>
      </c>
      <c r="K578" t="s">
        <v>84</v>
      </c>
      <c r="L578">
        <v>3.45</v>
      </c>
      <c r="M578">
        <v>10</v>
      </c>
      <c r="N578" t="s">
        <v>121</v>
      </c>
      <c r="O578" t="s">
        <v>33</v>
      </c>
      <c r="P578" t="b">
        <v>0</v>
      </c>
      <c r="Q578" t="b">
        <v>0</v>
      </c>
      <c r="R578" t="b">
        <v>0</v>
      </c>
      <c r="S578" t="b">
        <v>0</v>
      </c>
      <c r="T578" t="b">
        <v>0</v>
      </c>
      <c r="U578">
        <v>0.1</v>
      </c>
      <c r="V578">
        <v>11.3</v>
      </c>
      <c r="W578">
        <v>1</v>
      </c>
      <c r="X578">
        <v>11.5</v>
      </c>
      <c r="Y578">
        <v>25.35</v>
      </c>
      <c r="Z578">
        <v>5</v>
      </c>
      <c r="AA578" t="s">
        <v>46</v>
      </c>
    </row>
    <row r="579" spans="1:27" x14ac:dyDescent="0.3">
      <c r="A579" t="s">
        <v>670</v>
      </c>
      <c r="B579">
        <v>17</v>
      </c>
      <c r="C579" t="s">
        <v>53</v>
      </c>
      <c r="D579">
        <v>7.1</v>
      </c>
      <c r="E579" t="s">
        <v>60</v>
      </c>
      <c r="F579" t="s">
        <v>96</v>
      </c>
      <c r="G579" t="s">
        <v>31</v>
      </c>
      <c r="H579">
        <v>5.2</v>
      </c>
      <c r="I579" t="s">
        <v>32</v>
      </c>
      <c r="J579" t="s">
        <v>33</v>
      </c>
      <c r="K579" t="s">
        <v>34</v>
      </c>
      <c r="L579">
        <v>3.36</v>
      </c>
      <c r="N579" t="s">
        <v>44</v>
      </c>
      <c r="O579" t="s">
        <v>45</v>
      </c>
      <c r="P579" t="b">
        <v>1</v>
      </c>
      <c r="Q579" t="b">
        <v>0</v>
      </c>
      <c r="R579" t="b">
        <v>0</v>
      </c>
      <c r="S579" t="b">
        <v>0</v>
      </c>
      <c r="T579" t="b">
        <v>1</v>
      </c>
      <c r="U579">
        <v>2.8</v>
      </c>
      <c r="V579">
        <v>4.5</v>
      </c>
      <c r="W579">
        <v>5</v>
      </c>
      <c r="X579">
        <v>9.1999999999999993</v>
      </c>
      <c r="Y579">
        <v>86.64</v>
      </c>
      <c r="Z579">
        <v>5</v>
      </c>
      <c r="AA579" t="s">
        <v>64</v>
      </c>
    </row>
    <row r="580" spans="1:27" x14ac:dyDescent="0.3">
      <c r="A580" t="s">
        <v>671</v>
      </c>
      <c r="B580">
        <v>21</v>
      </c>
      <c r="C580" t="s">
        <v>53</v>
      </c>
      <c r="D580">
        <v>2.7</v>
      </c>
      <c r="E580" t="s">
        <v>29</v>
      </c>
      <c r="F580" t="s">
        <v>30</v>
      </c>
      <c r="G580" t="s">
        <v>71</v>
      </c>
      <c r="H580">
        <v>8.1999999999999993</v>
      </c>
      <c r="I580" t="s">
        <v>43</v>
      </c>
      <c r="J580" t="s">
        <v>74</v>
      </c>
      <c r="K580" t="s">
        <v>84</v>
      </c>
      <c r="L580">
        <v>3.63</v>
      </c>
      <c r="M580">
        <v>9</v>
      </c>
      <c r="N580" t="s">
        <v>66</v>
      </c>
      <c r="O580" t="s">
        <v>45</v>
      </c>
      <c r="P580" t="b">
        <v>0</v>
      </c>
      <c r="Q580" t="b">
        <v>0</v>
      </c>
      <c r="R580" t="b">
        <v>0</v>
      </c>
      <c r="S580" t="b">
        <v>0</v>
      </c>
      <c r="T580" t="b">
        <v>0</v>
      </c>
      <c r="U580">
        <v>0.4</v>
      </c>
      <c r="V580">
        <v>10</v>
      </c>
      <c r="W580">
        <v>2</v>
      </c>
      <c r="X580">
        <v>13.2</v>
      </c>
      <c r="Y580">
        <v>34.35</v>
      </c>
      <c r="Z580">
        <v>3</v>
      </c>
      <c r="AA580" t="s">
        <v>46</v>
      </c>
    </row>
    <row r="581" spans="1:27" x14ac:dyDescent="0.3">
      <c r="A581" t="s">
        <v>672</v>
      </c>
      <c r="B581">
        <v>21</v>
      </c>
      <c r="C581" t="s">
        <v>28</v>
      </c>
      <c r="D581">
        <v>5.9</v>
      </c>
      <c r="E581" t="s">
        <v>82</v>
      </c>
      <c r="F581" t="s">
        <v>83</v>
      </c>
      <c r="G581" t="s">
        <v>71</v>
      </c>
      <c r="H581">
        <v>5.0999999999999996</v>
      </c>
      <c r="I581" t="s">
        <v>51</v>
      </c>
      <c r="J581" t="s">
        <v>33</v>
      </c>
      <c r="K581" t="s">
        <v>51</v>
      </c>
      <c r="L581">
        <v>2.78</v>
      </c>
      <c r="M581">
        <v>7</v>
      </c>
      <c r="N581" t="s">
        <v>66</v>
      </c>
      <c r="O581" t="s">
        <v>36</v>
      </c>
      <c r="P581" t="b">
        <v>0</v>
      </c>
      <c r="Q581" t="b">
        <v>0</v>
      </c>
      <c r="R581" t="b">
        <v>0</v>
      </c>
      <c r="S581" t="b">
        <v>1</v>
      </c>
      <c r="T581" t="b">
        <v>1</v>
      </c>
      <c r="U581">
        <v>2.2000000000000002</v>
      </c>
      <c r="V581">
        <v>5.7</v>
      </c>
      <c r="W581">
        <v>2</v>
      </c>
      <c r="X581">
        <v>6.4</v>
      </c>
      <c r="Y581">
        <v>57.6</v>
      </c>
      <c r="Z581">
        <v>8</v>
      </c>
      <c r="AA581" t="s">
        <v>46</v>
      </c>
    </row>
    <row r="582" spans="1:27" x14ac:dyDescent="0.3">
      <c r="A582" t="s">
        <v>673</v>
      </c>
      <c r="B582">
        <v>18</v>
      </c>
      <c r="C582" t="s">
        <v>53</v>
      </c>
      <c r="D582">
        <v>6.4</v>
      </c>
      <c r="E582" t="s">
        <v>60</v>
      </c>
      <c r="F582" t="s">
        <v>200</v>
      </c>
      <c r="G582" t="s">
        <v>86</v>
      </c>
      <c r="H582">
        <v>6.2</v>
      </c>
      <c r="I582" t="s">
        <v>32</v>
      </c>
      <c r="J582" t="s">
        <v>45</v>
      </c>
      <c r="K582" t="s">
        <v>34</v>
      </c>
      <c r="L582">
        <v>1.23</v>
      </c>
      <c r="N582" t="s">
        <v>35</v>
      </c>
      <c r="O582" t="s">
        <v>57</v>
      </c>
      <c r="P582" t="b">
        <v>0</v>
      </c>
      <c r="Q582" t="b">
        <v>1</v>
      </c>
      <c r="R582" t="b">
        <v>0</v>
      </c>
      <c r="S582" t="b">
        <v>1</v>
      </c>
      <c r="T582" t="b">
        <v>1</v>
      </c>
      <c r="U582">
        <v>0.9</v>
      </c>
      <c r="V582">
        <v>5.9</v>
      </c>
      <c r="W582">
        <v>4</v>
      </c>
      <c r="X582">
        <v>10.7</v>
      </c>
      <c r="Y582">
        <v>34.21</v>
      </c>
      <c r="Z582">
        <v>4</v>
      </c>
      <c r="AA582" t="s">
        <v>64</v>
      </c>
    </row>
    <row r="583" spans="1:27" x14ac:dyDescent="0.3">
      <c r="A583" t="s">
        <v>674</v>
      </c>
      <c r="B583">
        <v>17</v>
      </c>
      <c r="C583" t="s">
        <v>53</v>
      </c>
      <c r="D583">
        <v>8.3000000000000007</v>
      </c>
      <c r="E583" t="s">
        <v>48</v>
      </c>
      <c r="F583" t="s">
        <v>68</v>
      </c>
      <c r="G583" t="s">
        <v>71</v>
      </c>
      <c r="H583">
        <v>3.7</v>
      </c>
      <c r="I583" t="s">
        <v>51</v>
      </c>
      <c r="J583" t="s">
        <v>45</v>
      </c>
      <c r="K583" t="s">
        <v>43</v>
      </c>
      <c r="L583">
        <v>3.97</v>
      </c>
      <c r="N583" t="s">
        <v>63</v>
      </c>
      <c r="O583" t="s">
        <v>42</v>
      </c>
      <c r="P583" t="b">
        <v>1</v>
      </c>
      <c r="Q583" t="b">
        <v>1</v>
      </c>
      <c r="R583" t="b">
        <v>1</v>
      </c>
      <c r="S583" t="b">
        <v>1</v>
      </c>
      <c r="T583" t="b">
        <v>1</v>
      </c>
      <c r="U583">
        <v>0.2</v>
      </c>
      <c r="V583">
        <v>4</v>
      </c>
      <c r="W583">
        <v>6</v>
      </c>
      <c r="X583">
        <v>6.7</v>
      </c>
      <c r="Y583">
        <v>40.049999999999997</v>
      </c>
      <c r="Z583">
        <v>5</v>
      </c>
      <c r="AA583" t="s">
        <v>37</v>
      </c>
    </row>
    <row r="584" spans="1:27" x14ac:dyDescent="0.3">
      <c r="A584" t="s">
        <v>675</v>
      </c>
      <c r="B584">
        <v>18</v>
      </c>
      <c r="C584" t="s">
        <v>28</v>
      </c>
      <c r="D584">
        <v>9.5</v>
      </c>
      <c r="E584" t="s">
        <v>54</v>
      </c>
      <c r="F584" t="s">
        <v>98</v>
      </c>
      <c r="G584" t="s">
        <v>71</v>
      </c>
      <c r="H584">
        <v>4.5999999999999996</v>
      </c>
      <c r="I584" t="s">
        <v>51</v>
      </c>
      <c r="J584" t="s">
        <v>74</v>
      </c>
      <c r="K584" t="s">
        <v>62</v>
      </c>
      <c r="L584">
        <v>3.66</v>
      </c>
      <c r="N584" t="s">
        <v>35</v>
      </c>
      <c r="O584" t="s">
        <v>42</v>
      </c>
      <c r="P584" t="b">
        <v>0</v>
      </c>
      <c r="Q584" t="b">
        <v>0</v>
      </c>
      <c r="R584" t="b">
        <v>0</v>
      </c>
      <c r="S584" t="b">
        <v>1</v>
      </c>
      <c r="T584" t="b">
        <v>1</v>
      </c>
      <c r="U584">
        <v>0.5</v>
      </c>
      <c r="V584">
        <v>7</v>
      </c>
      <c r="W584">
        <v>4</v>
      </c>
      <c r="X584">
        <v>3.8</v>
      </c>
      <c r="Y584">
        <v>327.63</v>
      </c>
      <c r="Z584">
        <v>3</v>
      </c>
      <c r="AA584" t="s">
        <v>64</v>
      </c>
    </row>
    <row r="585" spans="1:27" x14ac:dyDescent="0.3">
      <c r="A585" t="s">
        <v>676</v>
      </c>
      <c r="B585">
        <v>17</v>
      </c>
      <c r="C585" t="s">
        <v>53</v>
      </c>
      <c r="D585">
        <v>7.8</v>
      </c>
      <c r="E585" t="s">
        <v>54</v>
      </c>
      <c r="F585" t="s">
        <v>55</v>
      </c>
      <c r="G585" t="s">
        <v>86</v>
      </c>
      <c r="H585">
        <v>5.7</v>
      </c>
      <c r="I585" t="s">
        <v>51</v>
      </c>
      <c r="J585" t="s">
        <v>36</v>
      </c>
      <c r="K585" t="s">
        <v>62</v>
      </c>
      <c r="L585">
        <v>2.75</v>
      </c>
      <c r="N585" t="s">
        <v>63</v>
      </c>
      <c r="O585" t="s">
        <v>42</v>
      </c>
      <c r="P585" t="b">
        <v>1</v>
      </c>
      <c r="Q585" t="b">
        <v>1</v>
      </c>
      <c r="R585" t="b">
        <v>0</v>
      </c>
      <c r="S585" t="b">
        <v>1</v>
      </c>
      <c r="T585" t="b">
        <v>0</v>
      </c>
      <c r="U585">
        <v>2.2000000000000002</v>
      </c>
      <c r="V585">
        <v>5.5</v>
      </c>
      <c r="W585">
        <v>4</v>
      </c>
      <c r="X585">
        <v>5.7</v>
      </c>
      <c r="Y585">
        <v>80.16</v>
      </c>
      <c r="Z585">
        <v>4</v>
      </c>
      <c r="AA585" t="s">
        <v>58</v>
      </c>
    </row>
    <row r="586" spans="1:27" x14ac:dyDescent="0.3">
      <c r="A586" t="s">
        <v>677</v>
      </c>
      <c r="B586">
        <v>21</v>
      </c>
      <c r="C586" t="s">
        <v>28</v>
      </c>
      <c r="D586">
        <v>8.3000000000000007</v>
      </c>
      <c r="E586" t="s">
        <v>76</v>
      </c>
      <c r="F586" t="s">
        <v>126</v>
      </c>
      <c r="G586" t="s">
        <v>31</v>
      </c>
      <c r="H586">
        <v>3.8</v>
      </c>
      <c r="I586" t="s">
        <v>41</v>
      </c>
      <c r="J586" t="s">
        <v>45</v>
      </c>
      <c r="K586" t="s">
        <v>51</v>
      </c>
      <c r="L586">
        <v>1.36</v>
      </c>
      <c r="M586">
        <v>4</v>
      </c>
      <c r="N586" t="s">
        <v>63</v>
      </c>
      <c r="O586" t="s">
        <v>36</v>
      </c>
      <c r="P586" t="b">
        <v>1</v>
      </c>
      <c r="Q586" t="b">
        <v>1</v>
      </c>
      <c r="R586" t="b">
        <v>1</v>
      </c>
      <c r="S586" t="b">
        <v>0</v>
      </c>
      <c r="T586" t="b">
        <v>0</v>
      </c>
      <c r="U586">
        <v>2.8</v>
      </c>
      <c r="V586">
        <v>7.9</v>
      </c>
      <c r="W586">
        <v>5</v>
      </c>
      <c r="X586">
        <v>4.9000000000000004</v>
      </c>
      <c r="Y586">
        <v>76.849999999999994</v>
      </c>
      <c r="Z586">
        <v>7</v>
      </c>
      <c r="AA586" t="s">
        <v>37</v>
      </c>
    </row>
    <row r="587" spans="1:27" x14ac:dyDescent="0.3">
      <c r="A587" t="s">
        <v>678</v>
      </c>
      <c r="B587">
        <v>16</v>
      </c>
      <c r="C587" t="s">
        <v>28</v>
      </c>
      <c r="D587">
        <v>1</v>
      </c>
      <c r="E587" t="s">
        <v>54</v>
      </c>
      <c r="F587" t="s">
        <v>55</v>
      </c>
      <c r="G587" t="s">
        <v>50</v>
      </c>
      <c r="H587">
        <v>7.4</v>
      </c>
      <c r="I587" t="s">
        <v>43</v>
      </c>
      <c r="J587" t="s">
        <v>45</v>
      </c>
      <c r="K587" t="s">
        <v>84</v>
      </c>
      <c r="L587">
        <v>2.61</v>
      </c>
      <c r="N587" t="s">
        <v>121</v>
      </c>
      <c r="O587" t="s">
        <v>42</v>
      </c>
      <c r="P587" t="b">
        <v>0</v>
      </c>
      <c r="Q587" t="b">
        <v>0</v>
      </c>
      <c r="R587" t="b">
        <v>0</v>
      </c>
      <c r="S587" t="b">
        <v>0</v>
      </c>
      <c r="T587" t="b">
        <v>0</v>
      </c>
      <c r="U587">
        <v>0.2</v>
      </c>
      <c r="V587">
        <v>7.6</v>
      </c>
      <c r="W587">
        <v>1</v>
      </c>
      <c r="X587">
        <v>13.7</v>
      </c>
      <c r="Y587">
        <v>4.9000000000000004</v>
      </c>
      <c r="Z587">
        <v>6</v>
      </c>
      <c r="AA587" t="s">
        <v>46</v>
      </c>
    </row>
    <row r="588" spans="1:27" x14ac:dyDescent="0.3">
      <c r="A588" t="s">
        <v>679</v>
      </c>
      <c r="B588">
        <v>19</v>
      </c>
      <c r="C588" t="s">
        <v>53</v>
      </c>
      <c r="D588">
        <v>8.4</v>
      </c>
      <c r="E588" t="s">
        <v>54</v>
      </c>
      <c r="F588" t="s">
        <v>55</v>
      </c>
      <c r="G588" t="s">
        <v>31</v>
      </c>
      <c r="H588">
        <v>3.8</v>
      </c>
      <c r="I588" t="s">
        <v>51</v>
      </c>
      <c r="J588" t="s">
        <v>33</v>
      </c>
      <c r="K588" t="s">
        <v>51</v>
      </c>
      <c r="L588">
        <v>1.69</v>
      </c>
      <c r="M588">
        <v>7</v>
      </c>
      <c r="N588" t="s">
        <v>80</v>
      </c>
      <c r="O588" t="s">
        <v>45</v>
      </c>
      <c r="P588" t="b">
        <v>0</v>
      </c>
      <c r="Q588" t="b">
        <v>1</v>
      </c>
      <c r="R588" t="b">
        <v>0</v>
      </c>
      <c r="S588" t="b">
        <v>1</v>
      </c>
      <c r="T588" t="b">
        <v>1</v>
      </c>
      <c r="U588">
        <v>1.9</v>
      </c>
      <c r="V588">
        <v>5.4</v>
      </c>
      <c r="W588">
        <v>6</v>
      </c>
      <c r="X588">
        <v>2.6</v>
      </c>
      <c r="Y588">
        <v>94.45</v>
      </c>
      <c r="Z588">
        <v>9</v>
      </c>
      <c r="AA588" t="s">
        <v>64</v>
      </c>
    </row>
    <row r="589" spans="1:27" x14ac:dyDescent="0.3">
      <c r="A589" t="s">
        <v>680</v>
      </c>
      <c r="B589">
        <v>16</v>
      </c>
      <c r="C589" t="s">
        <v>28</v>
      </c>
      <c r="D589">
        <v>6.9</v>
      </c>
      <c r="E589" t="s">
        <v>76</v>
      </c>
      <c r="F589" t="s">
        <v>126</v>
      </c>
      <c r="G589" t="s">
        <v>50</v>
      </c>
      <c r="H589">
        <v>4.7</v>
      </c>
      <c r="I589" t="s">
        <v>51</v>
      </c>
      <c r="J589" t="s">
        <v>74</v>
      </c>
      <c r="K589" t="s">
        <v>34</v>
      </c>
      <c r="L589">
        <v>2.13</v>
      </c>
      <c r="N589" t="s">
        <v>63</v>
      </c>
      <c r="O589" t="s">
        <v>57</v>
      </c>
      <c r="P589" t="b">
        <v>0</v>
      </c>
      <c r="Q589" t="b">
        <v>0</v>
      </c>
      <c r="R589" t="b">
        <v>0</v>
      </c>
      <c r="S589" t="b">
        <v>0</v>
      </c>
      <c r="T589" t="b">
        <v>1</v>
      </c>
      <c r="U589">
        <v>0.2</v>
      </c>
      <c r="V589">
        <v>8.1999999999999993</v>
      </c>
      <c r="W589">
        <v>4</v>
      </c>
      <c r="X589">
        <v>8.4</v>
      </c>
      <c r="Y589">
        <v>11.92</v>
      </c>
      <c r="Z589">
        <v>2</v>
      </c>
      <c r="AA589" t="s">
        <v>46</v>
      </c>
    </row>
    <row r="590" spans="1:27" x14ac:dyDescent="0.3">
      <c r="A590" t="s">
        <v>681</v>
      </c>
      <c r="B590">
        <v>24</v>
      </c>
      <c r="C590" t="s">
        <v>53</v>
      </c>
      <c r="D590">
        <v>8.4</v>
      </c>
      <c r="E590" t="s">
        <v>60</v>
      </c>
      <c r="F590" t="s">
        <v>200</v>
      </c>
      <c r="G590" t="s">
        <v>71</v>
      </c>
      <c r="H590">
        <v>5.2</v>
      </c>
      <c r="I590" t="s">
        <v>32</v>
      </c>
      <c r="J590" t="s">
        <v>42</v>
      </c>
      <c r="K590" t="s">
        <v>51</v>
      </c>
      <c r="M590">
        <v>4</v>
      </c>
      <c r="N590" t="s">
        <v>44</v>
      </c>
      <c r="O590" t="s">
        <v>42</v>
      </c>
      <c r="P590" t="b">
        <v>1</v>
      </c>
      <c r="Q590" t="b">
        <v>1</v>
      </c>
      <c r="R590" t="b">
        <v>0</v>
      </c>
      <c r="S590" t="b">
        <v>0</v>
      </c>
      <c r="T590" t="b">
        <v>1</v>
      </c>
      <c r="U590">
        <v>0.7</v>
      </c>
      <c r="V590">
        <v>5.5</v>
      </c>
      <c r="W590">
        <v>5</v>
      </c>
      <c r="X590">
        <v>4.5</v>
      </c>
      <c r="Y590">
        <v>144.35</v>
      </c>
      <c r="Z590">
        <v>14</v>
      </c>
      <c r="AA590" t="s">
        <v>58</v>
      </c>
    </row>
    <row r="591" spans="1:27" x14ac:dyDescent="0.3">
      <c r="A591" t="s">
        <v>682</v>
      </c>
      <c r="B591">
        <v>22</v>
      </c>
      <c r="C591" t="s">
        <v>28</v>
      </c>
      <c r="D591">
        <v>1.7</v>
      </c>
      <c r="E591" t="s">
        <v>76</v>
      </c>
      <c r="F591" t="s">
        <v>126</v>
      </c>
      <c r="G591" t="s">
        <v>86</v>
      </c>
      <c r="H591">
        <v>7.1</v>
      </c>
      <c r="I591" t="s">
        <v>43</v>
      </c>
      <c r="J591" t="s">
        <v>33</v>
      </c>
      <c r="K591" t="s">
        <v>62</v>
      </c>
      <c r="L591">
        <v>1.77</v>
      </c>
      <c r="M591">
        <v>7</v>
      </c>
      <c r="N591" t="s">
        <v>66</v>
      </c>
      <c r="O591" t="s">
        <v>42</v>
      </c>
      <c r="P591" t="b">
        <v>0</v>
      </c>
      <c r="Q591" t="b">
        <v>0</v>
      </c>
      <c r="R591" t="b">
        <v>0</v>
      </c>
      <c r="S591" t="b">
        <v>0</v>
      </c>
      <c r="T591" t="b">
        <v>0</v>
      </c>
      <c r="U591">
        <v>0.1</v>
      </c>
      <c r="V591">
        <v>7.6</v>
      </c>
      <c r="W591">
        <v>1</v>
      </c>
      <c r="X591">
        <v>11.1</v>
      </c>
      <c r="Y591">
        <v>42.67</v>
      </c>
      <c r="Z591">
        <v>11</v>
      </c>
      <c r="AA591" t="s">
        <v>46</v>
      </c>
    </row>
    <row r="592" spans="1:27" x14ac:dyDescent="0.3">
      <c r="A592" t="s">
        <v>683</v>
      </c>
      <c r="B592">
        <v>18</v>
      </c>
      <c r="C592" t="s">
        <v>53</v>
      </c>
      <c r="D592">
        <v>6.3</v>
      </c>
      <c r="E592" t="s">
        <v>76</v>
      </c>
      <c r="F592" t="s">
        <v>110</v>
      </c>
      <c r="G592" t="s">
        <v>31</v>
      </c>
      <c r="H592">
        <v>5.2</v>
      </c>
      <c r="I592" t="s">
        <v>41</v>
      </c>
      <c r="J592" t="s">
        <v>42</v>
      </c>
      <c r="K592" t="s">
        <v>43</v>
      </c>
      <c r="L592">
        <v>1.96</v>
      </c>
      <c r="N592" t="s">
        <v>121</v>
      </c>
      <c r="O592" t="s">
        <v>57</v>
      </c>
      <c r="P592" t="b">
        <v>0</v>
      </c>
      <c r="Q592" t="b">
        <v>1</v>
      </c>
      <c r="R592" t="b">
        <v>0</v>
      </c>
      <c r="S592" t="b">
        <v>1</v>
      </c>
      <c r="T592" t="b">
        <v>1</v>
      </c>
      <c r="U592">
        <v>1.8</v>
      </c>
      <c r="V592">
        <v>6.5</v>
      </c>
      <c r="W592">
        <v>3</v>
      </c>
      <c r="X592">
        <v>7.4</v>
      </c>
      <c r="Y592">
        <v>29.37</v>
      </c>
      <c r="Z592">
        <v>3</v>
      </c>
      <c r="AA592" t="s">
        <v>64</v>
      </c>
    </row>
    <row r="593" spans="1:27" x14ac:dyDescent="0.3">
      <c r="A593" t="s">
        <v>684</v>
      </c>
      <c r="B593">
        <v>20</v>
      </c>
      <c r="C593" t="s">
        <v>28</v>
      </c>
      <c r="D593">
        <v>5.8</v>
      </c>
      <c r="E593" t="s">
        <v>54</v>
      </c>
      <c r="F593" t="s">
        <v>89</v>
      </c>
      <c r="G593" t="s">
        <v>50</v>
      </c>
      <c r="H593">
        <v>5.4</v>
      </c>
      <c r="I593" t="s">
        <v>43</v>
      </c>
      <c r="J593" t="s">
        <v>36</v>
      </c>
      <c r="K593" t="s">
        <v>34</v>
      </c>
      <c r="L593">
        <v>1.5</v>
      </c>
      <c r="M593">
        <v>3</v>
      </c>
      <c r="N593" t="s">
        <v>69</v>
      </c>
      <c r="O593" t="s">
        <v>33</v>
      </c>
      <c r="P593" t="b">
        <v>0</v>
      </c>
      <c r="Q593" t="b">
        <v>0</v>
      </c>
      <c r="R593" t="b">
        <v>0</v>
      </c>
      <c r="S593" t="b">
        <v>1</v>
      </c>
      <c r="T593" t="b">
        <v>0</v>
      </c>
      <c r="U593">
        <v>0.2</v>
      </c>
      <c r="V593">
        <v>5.0999999999999996</v>
      </c>
      <c r="W593">
        <v>4</v>
      </c>
      <c r="X593">
        <v>8.3000000000000007</v>
      </c>
      <c r="Y593">
        <v>125.21</v>
      </c>
      <c r="Z593">
        <v>4</v>
      </c>
      <c r="AA593" t="s">
        <v>46</v>
      </c>
    </row>
    <row r="594" spans="1:27" x14ac:dyDescent="0.3">
      <c r="A594" t="s">
        <v>685</v>
      </c>
      <c r="B594">
        <v>17</v>
      </c>
      <c r="C594" t="s">
        <v>53</v>
      </c>
      <c r="D594">
        <v>1.5</v>
      </c>
      <c r="E594" t="s">
        <v>76</v>
      </c>
      <c r="F594" t="s">
        <v>126</v>
      </c>
      <c r="G594" t="s">
        <v>31</v>
      </c>
      <c r="H594">
        <v>9</v>
      </c>
      <c r="I594" t="s">
        <v>43</v>
      </c>
      <c r="J594" t="s">
        <v>74</v>
      </c>
      <c r="K594" t="s">
        <v>43</v>
      </c>
      <c r="L594">
        <v>3.35</v>
      </c>
      <c r="N594" t="s">
        <v>80</v>
      </c>
      <c r="O594" t="s">
        <v>33</v>
      </c>
      <c r="P594" t="b">
        <v>0</v>
      </c>
      <c r="Q594" t="b">
        <v>0</v>
      </c>
      <c r="R594" t="b">
        <v>0</v>
      </c>
      <c r="S594" t="b">
        <v>0</v>
      </c>
      <c r="T594" t="b">
        <v>0</v>
      </c>
      <c r="U594">
        <v>0.3</v>
      </c>
      <c r="V594">
        <v>8</v>
      </c>
      <c r="W594">
        <v>1</v>
      </c>
      <c r="X594">
        <v>12.2</v>
      </c>
      <c r="Y594">
        <v>4.91</v>
      </c>
      <c r="Z594">
        <v>2</v>
      </c>
      <c r="AA594" t="s">
        <v>46</v>
      </c>
    </row>
    <row r="595" spans="1:27" x14ac:dyDescent="0.3">
      <c r="A595" t="s">
        <v>686</v>
      </c>
      <c r="B595">
        <v>21</v>
      </c>
      <c r="C595" t="s">
        <v>28</v>
      </c>
      <c r="D595">
        <v>8.6</v>
      </c>
      <c r="E595" t="s">
        <v>82</v>
      </c>
      <c r="F595" t="s">
        <v>83</v>
      </c>
      <c r="G595" t="s">
        <v>31</v>
      </c>
      <c r="H595">
        <v>5</v>
      </c>
      <c r="I595" t="s">
        <v>41</v>
      </c>
      <c r="J595" t="s">
        <v>33</v>
      </c>
      <c r="K595" t="s">
        <v>34</v>
      </c>
      <c r="L595">
        <v>2.71</v>
      </c>
      <c r="M595">
        <v>3</v>
      </c>
      <c r="N595" t="s">
        <v>35</v>
      </c>
      <c r="O595" t="s">
        <v>57</v>
      </c>
      <c r="P595" t="b">
        <v>1</v>
      </c>
      <c r="Q595" t="b">
        <v>0</v>
      </c>
      <c r="R595" t="b">
        <v>1</v>
      </c>
      <c r="S595" t="b">
        <v>1</v>
      </c>
      <c r="T595" t="b">
        <v>1</v>
      </c>
      <c r="U595">
        <v>4</v>
      </c>
      <c r="V595">
        <v>6</v>
      </c>
      <c r="W595">
        <v>5</v>
      </c>
      <c r="X595">
        <v>1.6</v>
      </c>
      <c r="Y595">
        <v>314.32</v>
      </c>
      <c r="Z595">
        <v>1</v>
      </c>
      <c r="AA595" t="s">
        <v>37</v>
      </c>
    </row>
    <row r="596" spans="1:27" x14ac:dyDescent="0.3">
      <c r="A596" t="s">
        <v>687</v>
      </c>
      <c r="B596">
        <v>21</v>
      </c>
      <c r="C596" t="s">
        <v>53</v>
      </c>
      <c r="D596">
        <v>6.5</v>
      </c>
      <c r="E596" t="s">
        <v>76</v>
      </c>
      <c r="F596" t="s">
        <v>110</v>
      </c>
      <c r="G596" t="s">
        <v>50</v>
      </c>
      <c r="H596">
        <v>6.9</v>
      </c>
      <c r="I596" t="s">
        <v>41</v>
      </c>
      <c r="J596" t="s">
        <v>36</v>
      </c>
      <c r="K596" t="s">
        <v>34</v>
      </c>
      <c r="L596">
        <v>1.4</v>
      </c>
      <c r="M596">
        <v>9</v>
      </c>
      <c r="N596" t="s">
        <v>44</v>
      </c>
      <c r="O596" t="s">
        <v>45</v>
      </c>
      <c r="P596" t="b">
        <v>0</v>
      </c>
      <c r="Q596" t="b">
        <v>1</v>
      </c>
      <c r="R596" t="b">
        <v>0</v>
      </c>
      <c r="S596" t="b">
        <v>1</v>
      </c>
      <c r="T596" t="b">
        <v>1</v>
      </c>
      <c r="U596">
        <v>1.3</v>
      </c>
      <c r="V596">
        <v>5.9</v>
      </c>
      <c r="W596">
        <v>3</v>
      </c>
      <c r="X596">
        <v>9.9</v>
      </c>
      <c r="Y596">
        <v>119.21</v>
      </c>
      <c r="Z596">
        <v>2</v>
      </c>
      <c r="AA596" t="s">
        <v>64</v>
      </c>
    </row>
    <row r="597" spans="1:27" x14ac:dyDescent="0.3">
      <c r="A597" t="s">
        <v>688</v>
      </c>
      <c r="B597">
        <v>27</v>
      </c>
      <c r="C597" t="s">
        <v>53</v>
      </c>
      <c r="D597">
        <v>3.9</v>
      </c>
      <c r="E597" t="s">
        <v>39</v>
      </c>
      <c r="F597" t="s">
        <v>120</v>
      </c>
      <c r="G597" t="s">
        <v>50</v>
      </c>
      <c r="H597">
        <v>5.6</v>
      </c>
      <c r="I597" t="s">
        <v>41</v>
      </c>
      <c r="J597" t="s">
        <v>42</v>
      </c>
      <c r="K597" t="s">
        <v>34</v>
      </c>
      <c r="M597">
        <v>2</v>
      </c>
      <c r="N597" t="s">
        <v>35</v>
      </c>
      <c r="O597" t="s">
        <v>36</v>
      </c>
      <c r="P597" t="b">
        <v>0</v>
      </c>
      <c r="Q597" t="b">
        <v>0</v>
      </c>
      <c r="R597" t="b">
        <v>0</v>
      </c>
      <c r="S597" t="b">
        <v>0</v>
      </c>
      <c r="T597" t="b">
        <v>0</v>
      </c>
      <c r="U597">
        <v>1.1000000000000001</v>
      </c>
      <c r="V597">
        <v>8.8000000000000007</v>
      </c>
      <c r="W597">
        <v>2</v>
      </c>
      <c r="X597">
        <v>10.7</v>
      </c>
      <c r="Y597">
        <v>37.270000000000003</v>
      </c>
      <c r="Z597">
        <v>15</v>
      </c>
      <c r="AA597" t="s">
        <v>46</v>
      </c>
    </row>
    <row r="598" spans="1:27" x14ac:dyDescent="0.3">
      <c r="A598" t="s">
        <v>689</v>
      </c>
      <c r="B598">
        <v>22</v>
      </c>
      <c r="C598" t="s">
        <v>28</v>
      </c>
      <c r="D598">
        <v>6</v>
      </c>
      <c r="E598" t="s">
        <v>29</v>
      </c>
      <c r="F598" t="s">
        <v>104</v>
      </c>
      <c r="G598" t="s">
        <v>31</v>
      </c>
      <c r="H598">
        <v>7</v>
      </c>
      <c r="I598" t="s">
        <v>41</v>
      </c>
      <c r="J598" t="s">
        <v>36</v>
      </c>
      <c r="K598" t="s">
        <v>62</v>
      </c>
      <c r="L598">
        <v>3.21</v>
      </c>
      <c r="M598">
        <v>7</v>
      </c>
      <c r="N598" t="s">
        <v>105</v>
      </c>
      <c r="O598" t="s">
        <v>57</v>
      </c>
      <c r="P598" t="b">
        <v>0</v>
      </c>
      <c r="Q598" t="b">
        <v>1</v>
      </c>
      <c r="R598" t="b">
        <v>0</v>
      </c>
      <c r="S598" t="b">
        <v>1</v>
      </c>
      <c r="T598" t="b">
        <v>0</v>
      </c>
      <c r="U598">
        <v>3.1</v>
      </c>
      <c r="V598">
        <v>8.3000000000000007</v>
      </c>
      <c r="W598">
        <v>4</v>
      </c>
      <c r="X598">
        <v>8</v>
      </c>
      <c r="Y598">
        <v>114.69</v>
      </c>
      <c r="Z598">
        <v>3</v>
      </c>
      <c r="AA598" t="s">
        <v>64</v>
      </c>
    </row>
    <row r="599" spans="1:27" x14ac:dyDescent="0.3">
      <c r="A599" t="s">
        <v>690</v>
      </c>
      <c r="B599">
        <v>16</v>
      </c>
      <c r="C599" t="s">
        <v>53</v>
      </c>
      <c r="D599">
        <v>9.3000000000000007</v>
      </c>
      <c r="E599" t="s">
        <v>82</v>
      </c>
      <c r="F599" t="s">
        <v>167</v>
      </c>
      <c r="G599" t="s">
        <v>50</v>
      </c>
      <c r="H599">
        <v>4.7</v>
      </c>
      <c r="I599" t="s">
        <v>51</v>
      </c>
      <c r="J599" t="s">
        <v>45</v>
      </c>
      <c r="K599" t="s">
        <v>34</v>
      </c>
      <c r="L599">
        <v>3.22</v>
      </c>
      <c r="N599" t="s">
        <v>66</v>
      </c>
      <c r="O599" t="s">
        <v>57</v>
      </c>
      <c r="P599" t="b">
        <v>0</v>
      </c>
      <c r="Q599" t="b">
        <v>1</v>
      </c>
      <c r="R599" t="b">
        <v>1</v>
      </c>
      <c r="S599" t="b">
        <v>1</v>
      </c>
      <c r="T599" t="b">
        <v>0</v>
      </c>
      <c r="U599">
        <v>3</v>
      </c>
      <c r="V599">
        <v>6.9</v>
      </c>
      <c r="W599">
        <v>5</v>
      </c>
      <c r="X599">
        <v>6.7</v>
      </c>
      <c r="Y599">
        <v>69.400000000000006</v>
      </c>
      <c r="Z599">
        <v>6</v>
      </c>
      <c r="AA599" t="s">
        <v>37</v>
      </c>
    </row>
    <row r="600" spans="1:27" x14ac:dyDescent="0.3">
      <c r="A600" t="s">
        <v>691</v>
      </c>
      <c r="B600">
        <v>19</v>
      </c>
      <c r="C600" t="s">
        <v>28</v>
      </c>
      <c r="D600">
        <v>7.5</v>
      </c>
      <c r="E600" t="s">
        <v>54</v>
      </c>
      <c r="F600" t="s">
        <v>98</v>
      </c>
      <c r="G600" t="s">
        <v>71</v>
      </c>
      <c r="H600">
        <v>3.2</v>
      </c>
      <c r="I600" t="s">
        <v>51</v>
      </c>
      <c r="J600" t="s">
        <v>33</v>
      </c>
      <c r="K600" t="s">
        <v>129</v>
      </c>
      <c r="L600">
        <v>1.89</v>
      </c>
      <c r="M600">
        <v>1</v>
      </c>
      <c r="N600" t="s">
        <v>105</v>
      </c>
      <c r="O600" t="s">
        <v>42</v>
      </c>
      <c r="P600" t="b">
        <v>1</v>
      </c>
      <c r="Q600" t="b">
        <v>1</v>
      </c>
      <c r="R600" t="b">
        <v>1</v>
      </c>
      <c r="S600" t="b">
        <v>1</v>
      </c>
      <c r="T600" t="b">
        <v>1</v>
      </c>
      <c r="U600">
        <v>0.9</v>
      </c>
      <c r="V600">
        <v>6.9</v>
      </c>
      <c r="W600">
        <v>7</v>
      </c>
      <c r="X600">
        <v>6</v>
      </c>
      <c r="Y600">
        <v>128.77000000000001</v>
      </c>
      <c r="Z600">
        <v>4</v>
      </c>
      <c r="AA600" t="s">
        <v>37</v>
      </c>
    </row>
    <row r="601" spans="1:27" x14ac:dyDescent="0.3">
      <c r="A601" t="s">
        <v>692</v>
      </c>
      <c r="B601">
        <v>21</v>
      </c>
      <c r="C601" t="s">
        <v>53</v>
      </c>
      <c r="D601">
        <v>5.8</v>
      </c>
      <c r="E601" t="s">
        <v>60</v>
      </c>
      <c r="F601" t="s">
        <v>200</v>
      </c>
      <c r="G601" t="s">
        <v>86</v>
      </c>
      <c r="H601">
        <v>5.3</v>
      </c>
      <c r="I601" t="s">
        <v>41</v>
      </c>
      <c r="J601" t="s">
        <v>45</v>
      </c>
      <c r="K601" t="s">
        <v>62</v>
      </c>
      <c r="L601">
        <v>3.36</v>
      </c>
      <c r="M601">
        <v>3</v>
      </c>
      <c r="N601" t="s">
        <v>69</v>
      </c>
      <c r="O601" t="s">
        <v>36</v>
      </c>
      <c r="P601" t="b">
        <v>0</v>
      </c>
      <c r="Q601" t="b">
        <v>0</v>
      </c>
      <c r="R601" t="b">
        <v>0</v>
      </c>
      <c r="S601" t="b">
        <v>0</v>
      </c>
      <c r="T601" t="b">
        <v>1</v>
      </c>
      <c r="U601">
        <v>0.8</v>
      </c>
      <c r="V601">
        <v>6.9</v>
      </c>
      <c r="W601">
        <v>4</v>
      </c>
      <c r="X601">
        <v>7.4</v>
      </c>
      <c r="Y601">
        <v>88.08</v>
      </c>
      <c r="Z601">
        <v>7</v>
      </c>
      <c r="AA601" t="s">
        <v>46</v>
      </c>
    </row>
    <row r="602" spans="1:27" x14ac:dyDescent="0.3">
      <c r="A602" t="s">
        <v>693</v>
      </c>
      <c r="B602">
        <v>20</v>
      </c>
      <c r="C602" t="s">
        <v>28</v>
      </c>
      <c r="D602">
        <v>1.1000000000000001</v>
      </c>
      <c r="E602" t="s">
        <v>54</v>
      </c>
      <c r="F602" t="s">
        <v>89</v>
      </c>
      <c r="G602" t="s">
        <v>31</v>
      </c>
      <c r="H602">
        <v>8.4</v>
      </c>
      <c r="I602" t="s">
        <v>51</v>
      </c>
      <c r="J602" t="s">
        <v>42</v>
      </c>
      <c r="K602" t="s">
        <v>84</v>
      </c>
      <c r="L602">
        <v>2.65</v>
      </c>
      <c r="M602">
        <v>10</v>
      </c>
      <c r="N602" t="s">
        <v>66</v>
      </c>
      <c r="O602" t="s">
        <v>42</v>
      </c>
      <c r="P602" t="b">
        <v>0</v>
      </c>
      <c r="Q602" t="b">
        <v>0</v>
      </c>
      <c r="R602" t="b">
        <v>0</v>
      </c>
      <c r="S602" t="b">
        <v>0</v>
      </c>
      <c r="T602" t="b">
        <v>0</v>
      </c>
      <c r="U602">
        <v>0.2</v>
      </c>
      <c r="V602">
        <v>9.4</v>
      </c>
      <c r="W602">
        <v>1</v>
      </c>
      <c r="X602">
        <v>15.4</v>
      </c>
      <c r="Y602">
        <v>44.51</v>
      </c>
      <c r="Z602">
        <v>7</v>
      </c>
      <c r="AA602" t="s">
        <v>46</v>
      </c>
    </row>
    <row r="603" spans="1:27" x14ac:dyDescent="0.3">
      <c r="A603" t="s">
        <v>694</v>
      </c>
      <c r="B603">
        <v>16</v>
      </c>
      <c r="C603" t="s">
        <v>28</v>
      </c>
      <c r="D603">
        <v>4.2</v>
      </c>
      <c r="E603" t="s">
        <v>82</v>
      </c>
      <c r="F603" t="s">
        <v>167</v>
      </c>
      <c r="G603" t="s">
        <v>71</v>
      </c>
      <c r="H603">
        <v>5.8</v>
      </c>
      <c r="I603" t="s">
        <v>43</v>
      </c>
      <c r="J603" t="s">
        <v>74</v>
      </c>
      <c r="K603" t="s">
        <v>34</v>
      </c>
      <c r="L603">
        <v>2.21</v>
      </c>
      <c r="N603" t="s">
        <v>105</v>
      </c>
      <c r="O603" t="s">
        <v>57</v>
      </c>
      <c r="P603" t="b">
        <v>0</v>
      </c>
      <c r="Q603" t="b">
        <v>0</v>
      </c>
      <c r="R603" t="b">
        <v>0</v>
      </c>
      <c r="S603" t="b">
        <v>0</v>
      </c>
      <c r="T603" t="b">
        <v>0</v>
      </c>
      <c r="U603">
        <v>1.3</v>
      </c>
      <c r="V603">
        <v>6.6</v>
      </c>
      <c r="W603">
        <v>2</v>
      </c>
      <c r="X603">
        <v>12</v>
      </c>
      <c r="Y603">
        <v>34.04</v>
      </c>
      <c r="Z603">
        <v>2</v>
      </c>
      <c r="AA603" t="s">
        <v>46</v>
      </c>
    </row>
    <row r="604" spans="1:27" x14ac:dyDescent="0.3">
      <c r="A604" t="s">
        <v>695</v>
      </c>
      <c r="B604">
        <v>14</v>
      </c>
      <c r="C604" t="s">
        <v>53</v>
      </c>
      <c r="D604">
        <v>7.4</v>
      </c>
      <c r="E604" t="s">
        <v>82</v>
      </c>
      <c r="F604" t="s">
        <v>167</v>
      </c>
      <c r="G604" t="s">
        <v>86</v>
      </c>
      <c r="H604">
        <v>3.4</v>
      </c>
      <c r="I604" t="s">
        <v>32</v>
      </c>
      <c r="J604" t="s">
        <v>74</v>
      </c>
      <c r="K604" t="s">
        <v>34</v>
      </c>
      <c r="L604">
        <v>2.1800000000000002</v>
      </c>
      <c r="N604" t="s">
        <v>56</v>
      </c>
      <c r="O604" t="s">
        <v>45</v>
      </c>
      <c r="P604" t="b">
        <v>0</v>
      </c>
      <c r="Q604" t="b">
        <v>1</v>
      </c>
      <c r="R604" t="b">
        <v>0</v>
      </c>
      <c r="S604" t="b">
        <v>1</v>
      </c>
      <c r="T604" t="b">
        <v>1</v>
      </c>
      <c r="U604">
        <v>0</v>
      </c>
      <c r="V604">
        <v>7.1</v>
      </c>
      <c r="W604">
        <v>4</v>
      </c>
      <c r="X604">
        <v>8.6999999999999993</v>
      </c>
      <c r="Y604">
        <v>87.18</v>
      </c>
      <c r="Z604">
        <v>3</v>
      </c>
      <c r="AA604" t="s">
        <v>64</v>
      </c>
    </row>
    <row r="605" spans="1:27" x14ac:dyDescent="0.3">
      <c r="A605" t="s">
        <v>696</v>
      </c>
      <c r="B605">
        <v>21</v>
      </c>
      <c r="C605" t="s">
        <v>28</v>
      </c>
      <c r="D605">
        <v>4.8</v>
      </c>
      <c r="E605" t="s">
        <v>29</v>
      </c>
      <c r="F605" t="s">
        <v>104</v>
      </c>
      <c r="G605" t="s">
        <v>31</v>
      </c>
      <c r="H605">
        <v>6.9</v>
      </c>
      <c r="I605" t="s">
        <v>41</v>
      </c>
      <c r="J605" t="s">
        <v>45</v>
      </c>
      <c r="K605" t="s">
        <v>34</v>
      </c>
      <c r="L605">
        <v>2.2799999999999998</v>
      </c>
      <c r="M605">
        <v>5</v>
      </c>
      <c r="N605" t="s">
        <v>69</v>
      </c>
      <c r="O605" t="s">
        <v>57</v>
      </c>
      <c r="P605" t="b">
        <v>0</v>
      </c>
      <c r="Q605" t="b">
        <v>0</v>
      </c>
      <c r="R605" t="b">
        <v>0</v>
      </c>
      <c r="S605" t="b">
        <v>1</v>
      </c>
      <c r="T605" t="b">
        <v>0</v>
      </c>
      <c r="U605">
        <v>1</v>
      </c>
      <c r="V605">
        <v>6.4</v>
      </c>
      <c r="W605">
        <v>4</v>
      </c>
      <c r="X605">
        <v>6.4</v>
      </c>
      <c r="Y605">
        <v>29.12</v>
      </c>
      <c r="Z605">
        <v>10</v>
      </c>
      <c r="AA605" t="s">
        <v>46</v>
      </c>
    </row>
    <row r="606" spans="1:27" x14ac:dyDescent="0.3">
      <c r="A606" t="s">
        <v>697</v>
      </c>
      <c r="B606">
        <v>19</v>
      </c>
      <c r="C606" t="s">
        <v>28</v>
      </c>
      <c r="D606">
        <v>7.4</v>
      </c>
      <c r="E606" t="s">
        <v>39</v>
      </c>
      <c r="F606" t="s">
        <v>93</v>
      </c>
      <c r="G606" t="s">
        <v>86</v>
      </c>
      <c r="H606">
        <v>5.8</v>
      </c>
      <c r="I606" t="s">
        <v>32</v>
      </c>
      <c r="J606" t="s">
        <v>36</v>
      </c>
      <c r="K606" t="s">
        <v>43</v>
      </c>
      <c r="L606">
        <v>3.54</v>
      </c>
      <c r="M606">
        <v>5</v>
      </c>
      <c r="N606" t="s">
        <v>80</v>
      </c>
      <c r="O606" t="s">
        <v>42</v>
      </c>
      <c r="P606" t="b">
        <v>1</v>
      </c>
      <c r="Q606" t="b">
        <v>0</v>
      </c>
      <c r="R606" t="b">
        <v>0</v>
      </c>
      <c r="S606" t="b">
        <v>1</v>
      </c>
      <c r="T606" t="b">
        <v>1</v>
      </c>
      <c r="U606">
        <v>3.2</v>
      </c>
      <c r="V606">
        <v>7.1</v>
      </c>
      <c r="W606">
        <v>5</v>
      </c>
      <c r="X606">
        <v>6.6</v>
      </c>
      <c r="Y606">
        <v>130.69</v>
      </c>
      <c r="Z606">
        <v>6</v>
      </c>
      <c r="AA606" t="s">
        <v>64</v>
      </c>
    </row>
    <row r="607" spans="1:27" x14ac:dyDescent="0.3">
      <c r="A607" t="s">
        <v>698</v>
      </c>
      <c r="B607">
        <v>22</v>
      </c>
      <c r="C607" t="s">
        <v>53</v>
      </c>
      <c r="D607">
        <v>11.4</v>
      </c>
      <c r="E607" t="s">
        <v>60</v>
      </c>
      <c r="F607" t="s">
        <v>96</v>
      </c>
      <c r="G607" t="s">
        <v>50</v>
      </c>
      <c r="H607">
        <v>4.3</v>
      </c>
      <c r="I607" t="s">
        <v>51</v>
      </c>
      <c r="J607" t="s">
        <v>36</v>
      </c>
      <c r="K607" t="s">
        <v>51</v>
      </c>
      <c r="L607">
        <v>1.95</v>
      </c>
      <c r="M607">
        <v>5</v>
      </c>
      <c r="N607" t="s">
        <v>80</v>
      </c>
      <c r="O607" t="s">
        <v>57</v>
      </c>
      <c r="P607" t="b">
        <v>1</v>
      </c>
      <c r="Q607" t="b">
        <v>1</v>
      </c>
      <c r="R607" t="b">
        <v>0</v>
      </c>
      <c r="S607" t="b">
        <v>0</v>
      </c>
      <c r="T607" t="b">
        <v>1</v>
      </c>
      <c r="U607">
        <v>2.1</v>
      </c>
      <c r="V607">
        <v>4.5</v>
      </c>
      <c r="W607">
        <v>6</v>
      </c>
      <c r="X607">
        <v>3.7</v>
      </c>
      <c r="Y607">
        <v>90.88</v>
      </c>
      <c r="Z607">
        <v>11</v>
      </c>
      <c r="AA607" t="s">
        <v>37</v>
      </c>
    </row>
    <row r="608" spans="1:27" x14ac:dyDescent="0.3">
      <c r="A608" t="s">
        <v>699</v>
      </c>
      <c r="B608">
        <v>15</v>
      </c>
      <c r="C608" t="s">
        <v>28</v>
      </c>
      <c r="D608">
        <v>13.2</v>
      </c>
      <c r="E608" t="s">
        <v>54</v>
      </c>
      <c r="F608" t="s">
        <v>98</v>
      </c>
      <c r="G608" t="s">
        <v>50</v>
      </c>
      <c r="H608">
        <v>4.2</v>
      </c>
      <c r="I608" t="s">
        <v>78</v>
      </c>
      <c r="J608" t="s">
        <v>42</v>
      </c>
      <c r="K608" t="s">
        <v>51</v>
      </c>
      <c r="L608">
        <v>3.63</v>
      </c>
      <c r="N608" t="s">
        <v>44</v>
      </c>
      <c r="O608" t="s">
        <v>42</v>
      </c>
      <c r="P608" t="b">
        <v>1</v>
      </c>
      <c r="Q608" t="b">
        <v>0</v>
      </c>
      <c r="R608" t="b">
        <v>0</v>
      </c>
      <c r="S608" t="b">
        <v>0</v>
      </c>
      <c r="T608" t="b">
        <v>0</v>
      </c>
      <c r="U608">
        <v>6.5</v>
      </c>
      <c r="V608">
        <v>5.5</v>
      </c>
      <c r="W608">
        <v>8</v>
      </c>
      <c r="X608">
        <v>0</v>
      </c>
      <c r="Y608">
        <v>475.36</v>
      </c>
      <c r="Z608">
        <v>2</v>
      </c>
      <c r="AA608" t="s">
        <v>58</v>
      </c>
    </row>
    <row r="609" spans="1:27" x14ac:dyDescent="0.3">
      <c r="A609" t="s">
        <v>700</v>
      </c>
      <c r="B609">
        <v>16</v>
      </c>
      <c r="C609" t="s">
        <v>28</v>
      </c>
      <c r="D609">
        <v>4.5999999999999996</v>
      </c>
      <c r="E609" t="s">
        <v>76</v>
      </c>
      <c r="F609" t="s">
        <v>110</v>
      </c>
      <c r="G609" t="s">
        <v>71</v>
      </c>
      <c r="H609">
        <v>6.5</v>
      </c>
      <c r="I609" t="s">
        <v>41</v>
      </c>
      <c r="J609" t="s">
        <v>74</v>
      </c>
      <c r="K609" t="s">
        <v>43</v>
      </c>
      <c r="L609">
        <v>1.25</v>
      </c>
      <c r="N609" t="s">
        <v>69</v>
      </c>
      <c r="O609" t="s">
        <v>57</v>
      </c>
      <c r="P609" t="b">
        <v>0</v>
      </c>
      <c r="Q609" t="b">
        <v>0</v>
      </c>
      <c r="R609" t="b">
        <v>0</v>
      </c>
      <c r="S609" t="b">
        <v>1</v>
      </c>
      <c r="T609" t="b">
        <v>0</v>
      </c>
      <c r="U609">
        <v>0.8</v>
      </c>
      <c r="V609">
        <v>6.5</v>
      </c>
      <c r="W609">
        <v>5</v>
      </c>
      <c r="X609">
        <v>6</v>
      </c>
      <c r="Y609">
        <v>70.11</v>
      </c>
      <c r="Z609">
        <v>5</v>
      </c>
      <c r="AA609" t="s">
        <v>46</v>
      </c>
    </row>
    <row r="610" spans="1:27" x14ac:dyDescent="0.3">
      <c r="A610" t="s">
        <v>701</v>
      </c>
      <c r="B610">
        <v>17</v>
      </c>
      <c r="C610" t="s">
        <v>28</v>
      </c>
      <c r="D610">
        <v>8.6999999999999993</v>
      </c>
      <c r="E610" t="s">
        <v>60</v>
      </c>
      <c r="F610" t="s">
        <v>102</v>
      </c>
      <c r="G610" t="s">
        <v>71</v>
      </c>
      <c r="H610">
        <v>4.7</v>
      </c>
      <c r="I610" t="s">
        <v>51</v>
      </c>
      <c r="J610" t="s">
        <v>45</v>
      </c>
      <c r="K610" t="s">
        <v>62</v>
      </c>
      <c r="L610">
        <v>3.48</v>
      </c>
      <c r="N610" t="s">
        <v>121</v>
      </c>
      <c r="O610" t="s">
        <v>36</v>
      </c>
      <c r="P610" t="b">
        <v>0</v>
      </c>
      <c r="Q610" t="b">
        <v>0</v>
      </c>
      <c r="R610" t="b">
        <v>0</v>
      </c>
      <c r="S610" t="b">
        <v>1</v>
      </c>
      <c r="T610" t="b">
        <v>0</v>
      </c>
      <c r="U610">
        <v>1.9</v>
      </c>
      <c r="V610">
        <v>6.6</v>
      </c>
      <c r="W610">
        <v>6</v>
      </c>
      <c r="X610">
        <v>1.8</v>
      </c>
      <c r="Y610">
        <v>119.98</v>
      </c>
      <c r="Z610">
        <v>3</v>
      </c>
      <c r="AA610" t="s">
        <v>64</v>
      </c>
    </row>
    <row r="611" spans="1:27" x14ac:dyDescent="0.3">
      <c r="A611" t="s">
        <v>702</v>
      </c>
      <c r="B611">
        <v>26</v>
      </c>
      <c r="C611" t="s">
        <v>53</v>
      </c>
      <c r="D611">
        <v>4.8</v>
      </c>
      <c r="E611" t="s">
        <v>60</v>
      </c>
      <c r="F611" t="s">
        <v>61</v>
      </c>
      <c r="G611" t="s">
        <v>50</v>
      </c>
      <c r="H611">
        <v>6.7</v>
      </c>
      <c r="I611" t="s">
        <v>43</v>
      </c>
      <c r="J611" t="s">
        <v>33</v>
      </c>
      <c r="K611" t="s">
        <v>34</v>
      </c>
      <c r="M611">
        <v>2</v>
      </c>
      <c r="N611" t="s">
        <v>35</v>
      </c>
      <c r="O611" t="s">
        <v>42</v>
      </c>
      <c r="P611" t="b">
        <v>0</v>
      </c>
      <c r="Q611" t="b">
        <v>0</v>
      </c>
      <c r="R611" t="b">
        <v>0</v>
      </c>
      <c r="S611" t="b">
        <v>1</v>
      </c>
      <c r="T611" t="b">
        <v>0</v>
      </c>
      <c r="U611">
        <v>2.7</v>
      </c>
      <c r="V611">
        <v>8.1</v>
      </c>
      <c r="W611">
        <v>3</v>
      </c>
      <c r="X611">
        <v>9.3000000000000007</v>
      </c>
      <c r="Y611">
        <v>75.94</v>
      </c>
      <c r="Z611">
        <v>13</v>
      </c>
      <c r="AA611" t="s">
        <v>46</v>
      </c>
    </row>
    <row r="612" spans="1:27" x14ac:dyDescent="0.3">
      <c r="A612" t="s">
        <v>703</v>
      </c>
      <c r="B612">
        <v>20</v>
      </c>
      <c r="C612" t="s">
        <v>28</v>
      </c>
      <c r="D612">
        <v>6.4</v>
      </c>
      <c r="E612" t="s">
        <v>48</v>
      </c>
      <c r="F612" t="s">
        <v>68</v>
      </c>
      <c r="G612" t="s">
        <v>71</v>
      </c>
      <c r="H612">
        <v>5.4</v>
      </c>
      <c r="I612" t="s">
        <v>51</v>
      </c>
      <c r="J612" t="s">
        <v>36</v>
      </c>
      <c r="K612" t="s">
        <v>62</v>
      </c>
      <c r="L612">
        <v>1.28</v>
      </c>
      <c r="M612">
        <v>6</v>
      </c>
      <c r="N612" t="s">
        <v>66</v>
      </c>
      <c r="O612" t="s">
        <v>36</v>
      </c>
      <c r="P612" t="b">
        <v>0</v>
      </c>
      <c r="Q612" t="b">
        <v>0</v>
      </c>
      <c r="R612" t="b">
        <v>0</v>
      </c>
      <c r="S612" t="b">
        <v>1</v>
      </c>
      <c r="T612" t="b">
        <v>1</v>
      </c>
      <c r="U612">
        <v>3.9</v>
      </c>
      <c r="V612">
        <v>5.9</v>
      </c>
      <c r="W612">
        <v>2</v>
      </c>
      <c r="X612">
        <v>7.2</v>
      </c>
      <c r="Y612">
        <v>80.75</v>
      </c>
      <c r="Z612">
        <v>6</v>
      </c>
      <c r="AA612" t="s">
        <v>46</v>
      </c>
    </row>
    <row r="613" spans="1:27" x14ac:dyDescent="0.3">
      <c r="A613" t="s">
        <v>704</v>
      </c>
      <c r="B613">
        <v>20</v>
      </c>
      <c r="C613" t="s">
        <v>28</v>
      </c>
      <c r="D613">
        <v>5.4</v>
      </c>
      <c r="E613" t="s">
        <v>76</v>
      </c>
      <c r="F613" t="s">
        <v>77</v>
      </c>
      <c r="G613" t="s">
        <v>86</v>
      </c>
      <c r="H613">
        <v>6</v>
      </c>
      <c r="I613" t="s">
        <v>51</v>
      </c>
      <c r="J613" t="s">
        <v>74</v>
      </c>
      <c r="K613" t="s">
        <v>84</v>
      </c>
      <c r="L613">
        <v>2.81</v>
      </c>
      <c r="M613">
        <v>6</v>
      </c>
      <c r="N613" t="s">
        <v>66</v>
      </c>
      <c r="O613" t="s">
        <v>33</v>
      </c>
      <c r="P613" t="b">
        <v>0</v>
      </c>
      <c r="Q613" t="b">
        <v>0</v>
      </c>
      <c r="R613" t="b">
        <v>0</v>
      </c>
      <c r="S613" t="b">
        <v>1</v>
      </c>
      <c r="T613" t="b">
        <v>0</v>
      </c>
      <c r="U613">
        <v>1.1000000000000001</v>
      </c>
      <c r="V613">
        <v>6.7</v>
      </c>
      <c r="W613">
        <v>3</v>
      </c>
      <c r="X613">
        <v>10.199999999999999</v>
      </c>
      <c r="Y613">
        <v>98.4</v>
      </c>
      <c r="Z613">
        <v>4</v>
      </c>
      <c r="AA613" t="s">
        <v>46</v>
      </c>
    </row>
    <row r="614" spans="1:27" x14ac:dyDescent="0.3">
      <c r="A614" t="s">
        <v>705</v>
      </c>
      <c r="B614">
        <v>19</v>
      </c>
      <c r="C614" t="s">
        <v>28</v>
      </c>
      <c r="D614">
        <v>2.6</v>
      </c>
      <c r="E614" t="s">
        <v>60</v>
      </c>
      <c r="F614" t="s">
        <v>102</v>
      </c>
      <c r="G614" t="s">
        <v>86</v>
      </c>
      <c r="H614">
        <v>8.6</v>
      </c>
      <c r="I614" t="s">
        <v>41</v>
      </c>
      <c r="J614" t="s">
        <v>74</v>
      </c>
      <c r="K614" t="s">
        <v>51</v>
      </c>
      <c r="L614">
        <v>2.48</v>
      </c>
      <c r="M614">
        <v>1</v>
      </c>
      <c r="N614" t="s">
        <v>35</v>
      </c>
      <c r="O614" t="s">
        <v>57</v>
      </c>
      <c r="P614" t="b">
        <v>0</v>
      </c>
      <c r="Q614" t="b">
        <v>0</v>
      </c>
      <c r="R614" t="b">
        <v>0</v>
      </c>
      <c r="S614" t="b">
        <v>0</v>
      </c>
      <c r="T614" t="b">
        <v>0</v>
      </c>
      <c r="U614">
        <v>0.9</v>
      </c>
      <c r="V614">
        <v>8.1999999999999993</v>
      </c>
      <c r="W614">
        <v>2</v>
      </c>
      <c r="X614">
        <v>11.2</v>
      </c>
      <c r="Y614">
        <v>19.48</v>
      </c>
      <c r="Z614">
        <v>7</v>
      </c>
      <c r="AA614" t="s">
        <v>46</v>
      </c>
    </row>
    <row r="615" spans="1:27" x14ac:dyDescent="0.3">
      <c r="A615" t="s">
        <v>706</v>
      </c>
      <c r="B615">
        <v>17</v>
      </c>
      <c r="C615" t="s">
        <v>28</v>
      </c>
      <c r="D615">
        <v>1.3</v>
      </c>
      <c r="E615" t="s">
        <v>39</v>
      </c>
      <c r="F615" t="s">
        <v>120</v>
      </c>
      <c r="G615" t="s">
        <v>31</v>
      </c>
      <c r="H615">
        <v>8.4</v>
      </c>
      <c r="I615" t="s">
        <v>43</v>
      </c>
      <c r="J615" t="s">
        <v>42</v>
      </c>
      <c r="K615" t="s">
        <v>62</v>
      </c>
      <c r="L615">
        <v>3.15</v>
      </c>
      <c r="N615" t="s">
        <v>66</v>
      </c>
      <c r="O615" t="s">
        <v>36</v>
      </c>
      <c r="P615" t="b">
        <v>0</v>
      </c>
      <c r="Q615" t="b">
        <v>0</v>
      </c>
      <c r="R615" t="b">
        <v>0</v>
      </c>
      <c r="S615" t="b">
        <v>0</v>
      </c>
      <c r="T615" t="b">
        <v>0</v>
      </c>
      <c r="U615">
        <v>0.2</v>
      </c>
      <c r="V615">
        <v>11.1</v>
      </c>
      <c r="W615">
        <v>1</v>
      </c>
      <c r="X615">
        <v>16.100000000000001</v>
      </c>
      <c r="Y615">
        <v>1.18</v>
      </c>
      <c r="Z615">
        <v>5</v>
      </c>
      <c r="AA615" t="s">
        <v>46</v>
      </c>
    </row>
    <row r="616" spans="1:27" x14ac:dyDescent="0.3">
      <c r="A616" t="s">
        <v>707</v>
      </c>
      <c r="B616">
        <v>18</v>
      </c>
      <c r="C616" t="s">
        <v>53</v>
      </c>
      <c r="D616">
        <v>3.7</v>
      </c>
      <c r="E616" t="s">
        <v>48</v>
      </c>
      <c r="F616" t="s">
        <v>214</v>
      </c>
      <c r="G616" t="s">
        <v>50</v>
      </c>
      <c r="H616">
        <v>5</v>
      </c>
      <c r="I616" t="s">
        <v>51</v>
      </c>
      <c r="J616" t="s">
        <v>45</v>
      </c>
      <c r="K616" t="s">
        <v>34</v>
      </c>
      <c r="L616">
        <v>3.55</v>
      </c>
      <c r="N616" t="s">
        <v>69</v>
      </c>
      <c r="O616" t="s">
        <v>33</v>
      </c>
      <c r="P616" t="b">
        <v>0</v>
      </c>
      <c r="Q616" t="b">
        <v>0</v>
      </c>
      <c r="R616" t="b">
        <v>0</v>
      </c>
      <c r="S616" t="b">
        <v>0</v>
      </c>
      <c r="T616" t="b">
        <v>0</v>
      </c>
      <c r="U616">
        <v>2</v>
      </c>
      <c r="V616">
        <v>9.4</v>
      </c>
      <c r="W616">
        <v>2</v>
      </c>
      <c r="X616">
        <v>11.5</v>
      </c>
      <c r="Y616">
        <v>46.28</v>
      </c>
      <c r="Z616">
        <v>6</v>
      </c>
      <c r="AA616" t="s">
        <v>46</v>
      </c>
    </row>
    <row r="617" spans="1:27" x14ac:dyDescent="0.3">
      <c r="A617" t="s">
        <v>708</v>
      </c>
      <c r="B617">
        <v>18</v>
      </c>
      <c r="C617" t="s">
        <v>53</v>
      </c>
      <c r="D617">
        <v>4.7</v>
      </c>
      <c r="E617" t="s">
        <v>60</v>
      </c>
      <c r="F617" t="s">
        <v>96</v>
      </c>
      <c r="G617" t="s">
        <v>86</v>
      </c>
      <c r="H617">
        <v>6</v>
      </c>
      <c r="I617" t="s">
        <v>43</v>
      </c>
      <c r="J617" t="s">
        <v>74</v>
      </c>
      <c r="K617" t="s">
        <v>62</v>
      </c>
      <c r="L617">
        <v>2.82</v>
      </c>
      <c r="N617" t="s">
        <v>80</v>
      </c>
      <c r="O617" t="s">
        <v>45</v>
      </c>
      <c r="P617" t="b">
        <v>0</v>
      </c>
      <c r="Q617" t="b">
        <v>0</v>
      </c>
      <c r="R617" t="b">
        <v>0</v>
      </c>
      <c r="S617" t="b">
        <v>1</v>
      </c>
      <c r="T617" t="b">
        <v>0</v>
      </c>
      <c r="U617">
        <v>0.1</v>
      </c>
      <c r="V617">
        <v>6.6</v>
      </c>
      <c r="W617">
        <v>2</v>
      </c>
      <c r="X617">
        <v>6.6</v>
      </c>
      <c r="Y617">
        <v>127.9</v>
      </c>
      <c r="Z617">
        <v>4</v>
      </c>
      <c r="AA617" t="s">
        <v>46</v>
      </c>
    </row>
    <row r="618" spans="1:27" x14ac:dyDescent="0.3">
      <c r="A618" t="s">
        <v>709</v>
      </c>
      <c r="B618">
        <v>24</v>
      </c>
      <c r="C618" t="s">
        <v>28</v>
      </c>
      <c r="D618">
        <v>8.4</v>
      </c>
      <c r="E618" t="s">
        <v>76</v>
      </c>
      <c r="F618" t="s">
        <v>77</v>
      </c>
      <c r="G618" t="s">
        <v>50</v>
      </c>
      <c r="H618">
        <v>4.2</v>
      </c>
      <c r="I618" t="s">
        <v>78</v>
      </c>
      <c r="J618" t="s">
        <v>45</v>
      </c>
      <c r="K618" t="s">
        <v>129</v>
      </c>
      <c r="M618">
        <v>8</v>
      </c>
      <c r="N618" t="s">
        <v>35</v>
      </c>
      <c r="O618" t="s">
        <v>36</v>
      </c>
      <c r="P618" t="b">
        <v>0</v>
      </c>
      <c r="Q618" t="b">
        <v>0</v>
      </c>
      <c r="R618" t="b">
        <v>1</v>
      </c>
      <c r="S618" t="b">
        <v>1</v>
      </c>
      <c r="T618" t="b">
        <v>1</v>
      </c>
      <c r="U618">
        <v>1.8</v>
      </c>
      <c r="V618">
        <v>5.5</v>
      </c>
      <c r="W618">
        <v>4</v>
      </c>
      <c r="X618">
        <v>7.8</v>
      </c>
      <c r="Y618">
        <v>111.33</v>
      </c>
      <c r="Z618">
        <v>7</v>
      </c>
      <c r="AA618" t="s">
        <v>64</v>
      </c>
    </row>
    <row r="619" spans="1:27" x14ac:dyDescent="0.3">
      <c r="A619" t="s">
        <v>710</v>
      </c>
      <c r="B619">
        <v>30</v>
      </c>
      <c r="C619" t="s">
        <v>28</v>
      </c>
      <c r="D619">
        <v>7.2</v>
      </c>
      <c r="E619" t="s">
        <v>39</v>
      </c>
      <c r="F619" t="s">
        <v>120</v>
      </c>
      <c r="G619" t="s">
        <v>86</v>
      </c>
      <c r="H619">
        <v>4</v>
      </c>
      <c r="I619" t="s">
        <v>51</v>
      </c>
      <c r="J619" t="s">
        <v>33</v>
      </c>
      <c r="K619" t="s">
        <v>34</v>
      </c>
      <c r="M619">
        <v>3</v>
      </c>
      <c r="N619" t="s">
        <v>44</v>
      </c>
      <c r="O619" t="s">
        <v>33</v>
      </c>
      <c r="P619" t="b">
        <v>1</v>
      </c>
      <c r="Q619" t="b">
        <v>1</v>
      </c>
      <c r="R619" t="b">
        <v>0</v>
      </c>
      <c r="S619" t="b">
        <v>0</v>
      </c>
      <c r="T619" t="b">
        <v>1</v>
      </c>
      <c r="U619">
        <v>1.8</v>
      </c>
      <c r="V619">
        <v>6.3</v>
      </c>
      <c r="W619">
        <v>5</v>
      </c>
      <c r="X619">
        <v>6.3</v>
      </c>
      <c r="Y619">
        <v>74.44</v>
      </c>
      <c r="Z619">
        <v>12</v>
      </c>
      <c r="AA619" t="s">
        <v>58</v>
      </c>
    </row>
    <row r="620" spans="1:27" x14ac:dyDescent="0.3">
      <c r="A620" t="s">
        <v>711</v>
      </c>
      <c r="B620">
        <v>21</v>
      </c>
      <c r="C620" t="s">
        <v>28</v>
      </c>
      <c r="D620">
        <v>6.4</v>
      </c>
      <c r="E620" t="s">
        <v>29</v>
      </c>
      <c r="F620" t="s">
        <v>118</v>
      </c>
      <c r="G620" t="s">
        <v>50</v>
      </c>
      <c r="H620">
        <v>5.6</v>
      </c>
      <c r="I620" t="s">
        <v>43</v>
      </c>
      <c r="J620" t="s">
        <v>36</v>
      </c>
      <c r="K620" t="s">
        <v>84</v>
      </c>
      <c r="L620">
        <v>2.4300000000000002</v>
      </c>
      <c r="M620">
        <v>5</v>
      </c>
      <c r="N620" t="s">
        <v>80</v>
      </c>
      <c r="O620" t="s">
        <v>45</v>
      </c>
      <c r="P620" t="b">
        <v>0</v>
      </c>
      <c r="Q620" t="b">
        <v>1</v>
      </c>
      <c r="R620" t="b">
        <v>0</v>
      </c>
      <c r="S620" t="b">
        <v>1</v>
      </c>
      <c r="T620" t="b">
        <v>1</v>
      </c>
      <c r="U620">
        <v>1.2</v>
      </c>
      <c r="V620">
        <v>7.6</v>
      </c>
      <c r="W620">
        <v>4</v>
      </c>
      <c r="X620">
        <v>8.9</v>
      </c>
      <c r="Y620">
        <v>112.63</v>
      </c>
      <c r="Z620">
        <v>4</v>
      </c>
      <c r="AA620" t="s">
        <v>64</v>
      </c>
    </row>
    <row r="621" spans="1:27" x14ac:dyDescent="0.3">
      <c r="A621" t="s">
        <v>712</v>
      </c>
      <c r="B621">
        <v>15</v>
      </c>
      <c r="C621" t="s">
        <v>28</v>
      </c>
      <c r="D621">
        <v>2.6</v>
      </c>
      <c r="E621" t="s">
        <v>29</v>
      </c>
      <c r="F621" t="s">
        <v>73</v>
      </c>
      <c r="G621" t="s">
        <v>50</v>
      </c>
      <c r="H621">
        <v>7.8</v>
      </c>
      <c r="I621" t="s">
        <v>43</v>
      </c>
      <c r="J621" t="s">
        <v>74</v>
      </c>
      <c r="K621" t="s">
        <v>43</v>
      </c>
      <c r="L621">
        <v>2.19</v>
      </c>
      <c r="N621" t="s">
        <v>66</v>
      </c>
      <c r="O621" t="s">
        <v>42</v>
      </c>
      <c r="P621" t="b">
        <v>0</v>
      </c>
      <c r="Q621" t="b">
        <v>0</v>
      </c>
      <c r="R621" t="b">
        <v>0</v>
      </c>
      <c r="S621" t="b">
        <v>0</v>
      </c>
      <c r="T621" t="b">
        <v>0</v>
      </c>
      <c r="U621">
        <v>0.7</v>
      </c>
      <c r="V621">
        <v>6.6</v>
      </c>
      <c r="W621">
        <v>1</v>
      </c>
      <c r="X621">
        <v>9.6999999999999993</v>
      </c>
      <c r="Y621">
        <v>32.909999999999997</v>
      </c>
      <c r="Z621">
        <v>3</v>
      </c>
      <c r="AA621" t="s">
        <v>46</v>
      </c>
    </row>
    <row r="622" spans="1:27" x14ac:dyDescent="0.3">
      <c r="A622" t="s">
        <v>713</v>
      </c>
      <c r="B622">
        <v>27</v>
      </c>
      <c r="C622" t="s">
        <v>28</v>
      </c>
      <c r="D622">
        <v>3.4</v>
      </c>
      <c r="E622" t="s">
        <v>48</v>
      </c>
      <c r="F622" t="s">
        <v>214</v>
      </c>
      <c r="G622" t="s">
        <v>50</v>
      </c>
      <c r="H622">
        <v>8.4</v>
      </c>
      <c r="I622" t="s">
        <v>43</v>
      </c>
      <c r="J622" t="s">
        <v>36</v>
      </c>
      <c r="K622" t="s">
        <v>84</v>
      </c>
      <c r="M622">
        <v>2</v>
      </c>
      <c r="N622" t="s">
        <v>66</v>
      </c>
      <c r="O622" t="s">
        <v>33</v>
      </c>
      <c r="P622" t="b">
        <v>0</v>
      </c>
      <c r="Q622" t="b">
        <v>0</v>
      </c>
      <c r="R622" t="b">
        <v>0</v>
      </c>
      <c r="S622" t="b">
        <v>0</v>
      </c>
      <c r="T622" t="b">
        <v>0</v>
      </c>
      <c r="U622">
        <v>1.1000000000000001</v>
      </c>
      <c r="V622">
        <v>8.5</v>
      </c>
      <c r="W622">
        <v>1</v>
      </c>
      <c r="X622">
        <v>12.2</v>
      </c>
      <c r="Y622">
        <v>29.73</v>
      </c>
      <c r="Z622">
        <v>12</v>
      </c>
      <c r="AA622" t="s">
        <v>46</v>
      </c>
    </row>
    <row r="623" spans="1:27" x14ac:dyDescent="0.3">
      <c r="A623" t="s">
        <v>714</v>
      </c>
      <c r="B623">
        <v>15</v>
      </c>
      <c r="C623" t="s">
        <v>53</v>
      </c>
      <c r="D623">
        <v>7</v>
      </c>
      <c r="E623" t="s">
        <v>29</v>
      </c>
      <c r="F623" t="s">
        <v>30</v>
      </c>
      <c r="G623" t="s">
        <v>50</v>
      </c>
      <c r="H623">
        <v>4.7</v>
      </c>
      <c r="I623" t="s">
        <v>51</v>
      </c>
      <c r="J623" t="s">
        <v>45</v>
      </c>
      <c r="K623" t="s">
        <v>51</v>
      </c>
      <c r="L623">
        <v>3.52</v>
      </c>
      <c r="N623" t="s">
        <v>35</v>
      </c>
      <c r="O623" t="s">
        <v>57</v>
      </c>
      <c r="P623" t="b">
        <v>0</v>
      </c>
      <c r="Q623" t="b">
        <v>0</v>
      </c>
      <c r="R623" t="b">
        <v>0</v>
      </c>
      <c r="S623" t="b">
        <v>1</v>
      </c>
      <c r="T623" t="b">
        <v>0</v>
      </c>
      <c r="U623">
        <v>0.8</v>
      </c>
      <c r="V623">
        <v>5.9</v>
      </c>
      <c r="W623">
        <v>6</v>
      </c>
      <c r="X623">
        <v>7.6</v>
      </c>
      <c r="Y623">
        <v>54.93</v>
      </c>
      <c r="Z623">
        <v>5</v>
      </c>
      <c r="AA623" t="s">
        <v>46</v>
      </c>
    </row>
    <row r="624" spans="1:27" x14ac:dyDescent="0.3">
      <c r="A624" t="s">
        <v>715</v>
      </c>
      <c r="B624">
        <v>27</v>
      </c>
      <c r="C624" t="s">
        <v>53</v>
      </c>
      <c r="D624">
        <v>1.6</v>
      </c>
      <c r="E624" t="s">
        <v>48</v>
      </c>
      <c r="F624" t="s">
        <v>68</v>
      </c>
      <c r="G624" t="s">
        <v>50</v>
      </c>
      <c r="H624">
        <v>7.5</v>
      </c>
      <c r="I624" t="s">
        <v>41</v>
      </c>
      <c r="J624" t="s">
        <v>36</v>
      </c>
      <c r="K624" t="s">
        <v>62</v>
      </c>
      <c r="M624">
        <v>9</v>
      </c>
      <c r="N624" t="s">
        <v>66</v>
      </c>
      <c r="O624" t="s">
        <v>36</v>
      </c>
      <c r="P624" t="b">
        <v>0</v>
      </c>
      <c r="Q624" t="b">
        <v>0</v>
      </c>
      <c r="R624" t="b">
        <v>0</v>
      </c>
      <c r="S624" t="b">
        <v>0</v>
      </c>
      <c r="T624" t="b">
        <v>0</v>
      </c>
      <c r="U624">
        <v>0.2</v>
      </c>
      <c r="V624">
        <v>9</v>
      </c>
      <c r="W624">
        <v>2</v>
      </c>
      <c r="X624">
        <v>15.5</v>
      </c>
      <c r="Y624">
        <v>24.49</v>
      </c>
      <c r="Z624">
        <v>11</v>
      </c>
      <c r="AA624" t="s">
        <v>46</v>
      </c>
    </row>
    <row r="625" spans="1:27" x14ac:dyDescent="0.3">
      <c r="A625" t="s">
        <v>716</v>
      </c>
      <c r="B625">
        <v>19</v>
      </c>
      <c r="C625" t="s">
        <v>28</v>
      </c>
      <c r="D625">
        <v>7.7</v>
      </c>
      <c r="E625" t="s">
        <v>39</v>
      </c>
      <c r="F625" t="s">
        <v>40</v>
      </c>
      <c r="G625" t="s">
        <v>50</v>
      </c>
      <c r="H625">
        <v>3.5</v>
      </c>
      <c r="I625" t="s">
        <v>32</v>
      </c>
      <c r="J625" t="s">
        <v>33</v>
      </c>
      <c r="K625" t="s">
        <v>62</v>
      </c>
      <c r="L625">
        <v>1.1000000000000001</v>
      </c>
      <c r="M625">
        <v>6</v>
      </c>
      <c r="N625" t="s">
        <v>44</v>
      </c>
      <c r="O625" t="s">
        <v>45</v>
      </c>
      <c r="P625" t="b">
        <v>0</v>
      </c>
      <c r="Q625" t="b">
        <v>1</v>
      </c>
      <c r="R625" t="b">
        <v>0</v>
      </c>
      <c r="S625" t="b">
        <v>1</v>
      </c>
      <c r="T625" t="b">
        <v>0</v>
      </c>
      <c r="U625">
        <v>3.6</v>
      </c>
      <c r="V625">
        <v>7.8</v>
      </c>
      <c r="W625">
        <v>6</v>
      </c>
      <c r="X625">
        <v>6</v>
      </c>
      <c r="Y625">
        <v>33.950000000000003</v>
      </c>
      <c r="Z625">
        <v>6</v>
      </c>
      <c r="AA625" t="s">
        <v>64</v>
      </c>
    </row>
    <row r="626" spans="1:27" x14ac:dyDescent="0.3">
      <c r="A626" t="s">
        <v>717</v>
      </c>
      <c r="B626">
        <v>20</v>
      </c>
      <c r="C626" t="s">
        <v>28</v>
      </c>
      <c r="D626">
        <v>4.8</v>
      </c>
      <c r="E626" t="s">
        <v>39</v>
      </c>
      <c r="F626" t="s">
        <v>40</v>
      </c>
      <c r="G626" t="s">
        <v>86</v>
      </c>
      <c r="H626">
        <v>5.5</v>
      </c>
      <c r="I626" t="s">
        <v>51</v>
      </c>
      <c r="J626" t="s">
        <v>74</v>
      </c>
      <c r="K626" t="s">
        <v>62</v>
      </c>
      <c r="L626">
        <v>2.5</v>
      </c>
      <c r="M626">
        <v>2</v>
      </c>
      <c r="N626" t="s">
        <v>105</v>
      </c>
      <c r="O626" t="s">
        <v>33</v>
      </c>
      <c r="P626" t="b">
        <v>0</v>
      </c>
      <c r="Q626" t="b">
        <v>0</v>
      </c>
      <c r="R626" t="b">
        <v>0</v>
      </c>
      <c r="S626" t="b">
        <v>1</v>
      </c>
      <c r="T626" t="b">
        <v>0</v>
      </c>
      <c r="U626">
        <v>0.8</v>
      </c>
      <c r="V626">
        <v>8.8000000000000007</v>
      </c>
      <c r="W626">
        <v>4</v>
      </c>
      <c r="X626">
        <v>6.8</v>
      </c>
      <c r="Y626">
        <v>94.88</v>
      </c>
      <c r="Z626">
        <v>2</v>
      </c>
      <c r="AA626" t="s">
        <v>46</v>
      </c>
    </row>
    <row r="627" spans="1:27" x14ac:dyDescent="0.3">
      <c r="A627" t="s">
        <v>718</v>
      </c>
      <c r="B627">
        <v>35</v>
      </c>
      <c r="C627" t="s">
        <v>28</v>
      </c>
      <c r="D627">
        <v>6.9</v>
      </c>
      <c r="E627" t="s">
        <v>82</v>
      </c>
      <c r="F627" t="s">
        <v>83</v>
      </c>
      <c r="G627" t="s">
        <v>86</v>
      </c>
      <c r="H627">
        <v>5.2</v>
      </c>
      <c r="I627" t="s">
        <v>32</v>
      </c>
      <c r="J627" t="s">
        <v>45</v>
      </c>
      <c r="K627" t="s">
        <v>129</v>
      </c>
      <c r="M627">
        <v>8</v>
      </c>
      <c r="N627" t="s">
        <v>66</v>
      </c>
      <c r="O627" t="s">
        <v>36</v>
      </c>
      <c r="P627" t="b">
        <v>1</v>
      </c>
      <c r="Q627" t="b">
        <v>1</v>
      </c>
      <c r="R627" t="b">
        <v>0</v>
      </c>
      <c r="S627" t="b">
        <v>1</v>
      </c>
      <c r="T627" t="b">
        <v>0</v>
      </c>
      <c r="U627">
        <v>2.2999999999999998</v>
      </c>
      <c r="V627">
        <v>7.8</v>
      </c>
      <c r="W627">
        <v>5</v>
      </c>
      <c r="X627">
        <v>5.7</v>
      </c>
      <c r="Y627">
        <v>105.61</v>
      </c>
      <c r="Z627">
        <v>7</v>
      </c>
      <c r="AA627" t="s">
        <v>58</v>
      </c>
    </row>
    <row r="628" spans="1:27" x14ac:dyDescent="0.3">
      <c r="A628" t="s">
        <v>719</v>
      </c>
      <c r="B628">
        <v>22</v>
      </c>
      <c r="C628" t="s">
        <v>53</v>
      </c>
      <c r="D628">
        <v>4.8</v>
      </c>
      <c r="E628" t="s">
        <v>82</v>
      </c>
      <c r="F628" t="s">
        <v>134</v>
      </c>
      <c r="G628" t="s">
        <v>50</v>
      </c>
      <c r="H628">
        <v>6</v>
      </c>
      <c r="I628" t="s">
        <v>41</v>
      </c>
      <c r="J628" t="s">
        <v>42</v>
      </c>
      <c r="K628" t="s">
        <v>43</v>
      </c>
      <c r="L628">
        <v>1.74</v>
      </c>
      <c r="M628">
        <v>8</v>
      </c>
      <c r="N628" t="s">
        <v>44</v>
      </c>
      <c r="O628" t="s">
        <v>45</v>
      </c>
      <c r="P628" t="b">
        <v>0</v>
      </c>
      <c r="Q628" t="b">
        <v>0</v>
      </c>
      <c r="R628" t="b">
        <v>0</v>
      </c>
      <c r="S628" t="b">
        <v>1</v>
      </c>
      <c r="T628" t="b">
        <v>0</v>
      </c>
      <c r="U628">
        <v>0.9</v>
      </c>
      <c r="V628">
        <v>7.5</v>
      </c>
      <c r="W628">
        <v>4</v>
      </c>
      <c r="X628">
        <v>7.9</v>
      </c>
      <c r="Y628">
        <v>19.11</v>
      </c>
      <c r="Z628">
        <v>12</v>
      </c>
      <c r="AA628" t="s">
        <v>46</v>
      </c>
    </row>
    <row r="629" spans="1:27" x14ac:dyDescent="0.3">
      <c r="A629" t="s">
        <v>720</v>
      </c>
      <c r="B629">
        <v>16</v>
      </c>
      <c r="C629" t="s">
        <v>28</v>
      </c>
      <c r="D629">
        <v>4.5</v>
      </c>
      <c r="E629" t="s">
        <v>76</v>
      </c>
      <c r="F629" t="s">
        <v>77</v>
      </c>
      <c r="G629" t="s">
        <v>31</v>
      </c>
      <c r="H629">
        <v>5.6</v>
      </c>
      <c r="I629" t="s">
        <v>51</v>
      </c>
      <c r="J629" t="s">
        <v>33</v>
      </c>
      <c r="K629" t="s">
        <v>34</v>
      </c>
      <c r="L629">
        <v>2.23</v>
      </c>
      <c r="N629" t="s">
        <v>35</v>
      </c>
      <c r="O629" t="s">
        <v>45</v>
      </c>
      <c r="P629" t="b">
        <v>0</v>
      </c>
      <c r="Q629" t="b">
        <v>0</v>
      </c>
      <c r="R629" t="b">
        <v>0</v>
      </c>
      <c r="S629" t="b">
        <v>0</v>
      </c>
      <c r="T629" t="b">
        <v>0</v>
      </c>
      <c r="U629">
        <v>2</v>
      </c>
      <c r="V629">
        <v>7</v>
      </c>
      <c r="W629">
        <v>3</v>
      </c>
      <c r="X629">
        <v>8.9</v>
      </c>
      <c r="Y629">
        <v>77.900000000000006</v>
      </c>
      <c r="Z629">
        <v>2</v>
      </c>
      <c r="AA629" t="s">
        <v>46</v>
      </c>
    </row>
    <row r="630" spans="1:27" x14ac:dyDescent="0.3">
      <c r="A630" t="s">
        <v>721</v>
      </c>
      <c r="B630">
        <v>21</v>
      </c>
      <c r="C630" t="s">
        <v>53</v>
      </c>
      <c r="D630">
        <v>3.6</v>
      </c>
      <c r="E630" t="s">
        <v>48</v>
      </c>
      <c r="F630" t="s">
        <v>214</v>
      </c>
      <c r="G630" t="s">
        <v>86</v>
      </c>
      <c r="H630">
        <v>5.4</v>
      </c>
      <c r="I630" t="s">
        <v>43</v>
      </c>
      <c r="J630" t="s">
        <v>45</v>
      </c>
      <c r="K630" t="s">
        <v>43</v>
      </c>
      <c r="L630">
        <v>3.09</v>
      </c>
      <c r="M630">
        <v>3</v>
      </c>
      <c r="N630" t="s">
        <v>56</v>
      </c>
      <c r="O630" t="s">
        <v>36</v>
      </c>
      <c r="P630" t="b">
        <v>0</v>
      </c>
      <c r="Q630" t="b">
        <v>0</v>
      </c>
      <c r="R630" t="b">
        <v>0</v>
      </c>
      <c r="S630" t="b">
        <v>0</v>
      </c>
      <c r="T630" t="b">
        <v>0</v>
      </c>
      <c r="U630">
        <v>1.9</v>
      </c>
      <c r="V630">
        <v>6.1</v>
      </c>
      <c r="W630">
        <v>3</v>
      </c>
      <c r="X630">
        <v>8</v>
      </c>
      <c r="Y630">
        <v>40.97</v>
      </c>
      <c r="Z630">
        <v>11</v>
      </c>
      <c r="AA630" t="s">
        <v>46</v>
      </c>
    </row>
    <row r="631" spans="1:27" x14ac:dyDescent="0.3">
      <c r="A631" t="s">
        <v>722</v>
      </c>
      <c r="B631">
        <v>27</v>
      </c>
      <c r="C631" t="s">
        <v>53</v>
      </c>
      <c r="D631">
        <v>12</v>
      </c>
      <c r="E631" t="s">
        <v>60</v>
      </c>
      <c r="F631" t="s">
        <v>61</v>
      </c>
      <c r="G631" t="s">
        <v>71</v>
      </c>
      <c r="H631">
        <v>5.2</v>
      </c>
      <c r="I631" t="s">
        <v>32</v>
      </c>
      <c r="J631" t="s">
        <v>74</v>
      </c>
      <c r="K631" t="s">
        <v>62</v>
      </c>
      <c r="M631">
        <v>4</v>
      </c>
      <c r="N631" t="s">
        <v>80</v>
      </c>
      <c r="O631" t="s">
        <v>33</v>
      </c>
      <c r="P631" t="b">
        <v>1</v>
      </c>
      <c r="Q631" t="b">
        <v>0</v>
      </c>
      <c r="R631" t="b">
        <v>1</v>
      </c>
      <c r="S631" t="b">
        <v>1</v>
      </c>
      <c r="T631" t="b">
        <v>1</v>
      </c>
      <c r="U631">
        <v>3.2</v>
      </c>
      <c r="V631">
        <v>4.9000000000000004</v>
      </c>
      <c r="W631">
        <v>9</v>
      </c>
      <c r="X631">
        <v>0</v>
      </c>
      <c r="Y631">
        <v>348.26</v>
      </c>
      <c r="Z631">
        <v>16</v>
      </c>
      <c r="AA631" t="s">
        <v>37</v>
      </c>
    </row>
    <row r="632" spans="1:27" x14ac:dyDescent="0.3">
      <c r="A632" t="s">
        <v>723</v>
      </c>
      <c r="B632">
        <v>16</v>
      </c>
      <c r="C632" t="s">
        <v>53</v>
      </c>
      <c r="D632">
        <v>5.4</v>
      </c>
      <c r="E632" t="s">
        <v>48</v>
      </c>
      <c r="F632" t="s">
        <v>49</v>
      </c>
      <c r="G632" t="s">
        <v>71</v>
      </c>
      <c r="H632">
        <v>5.8</v>
      </c>
      <c r="I632" t="s">
        <v>51</v>
      </c>
      <c r="J632" t="s">
        <v>74</v>
      </c>
      <c r="K632" t="s">
        <v>51</v>
      </c>
      <c r="L632">
        <v>2.81</v>
      </c>
      <c r="N632" t="s">
        <v>44</v>
      </c>
      <c r="O632" t="s">
        <v>57</v>
      </c>
      <c r="P632" t="b">
        <v>0</v>
      </c>
      <c r="Q632" t="b">
        <v>0</v>
      </c>
      <c r="R632" t="b">
        <v>0</v>
      </c>
      <c r="S632" t="b">
        <v>0</v>
      </c>
      <c r="T632" t="b">
        <v>0</v>
      </c>
      <c r="U632">
        <v>0.4</v>
      </c>
      <c r="V632">
        <v>8.3000000000000007</v>
      </c>
      <c r="W632">
        <v>2</v>
      </c>
      <c r="X632">
        <v>6</v>
      </c>
      <c r="Y632">
        <v>34.869999999999997</v>
      </c>
      <c r="Z632">
        <v>4</v>
      </c>
      <c r="AA632" t="s">
        <v>46</v>
      </c>
    </row>
    <row r="633" spans="1:27" x14ac:dyDescent="0.3">
      <c r="A633" t="s">
        <v>724</v>
      </c>
      <c r="B633">
        <v>23</v>
      </c>
      <c r="C633" t="s">
        <v>28</v>
      </c>
      <c r="D633">
        <v>7</v>
      </c>
      <c r="E633" t="s">
        <v>29</v>
      </c>
      <c r="F633" t="s">
        <v>30</v>
      </c>
      <c r="G633" t="s">
        <v>31</v>
      </c>
      <c r="H633">
        <v>3.8</v>
      </c>
      <c r="I633" t="s">
        <v>51</v>
      </c>
      <c r="J633" t="s">
        <v>36</v>
      </c>
      <c r="K633" t="s">
        <v>62</v>
      </c>
      <c r="M633">
        <v>9</v>
      </c>
      <c r="N633" t="s">
        <v>105</v>
      </c>
      <c r="O633" t="s">
        <v>45</v>
      </c>
      <c r="P633" t="b">
        <v>1</v>
      </c>
      <c r="Q633" t="b">
        <v>1</v>
      </c>
      <c r="R633" t="b">
        <v>0</v>
      </c>
      <c r="S633" t="b">
        <v>1</v>
      </c>
      <c r="T633" t="b">
        <v>0</v>
      </c>
      <c r="U633">
        <v>6.2</v>
      </c>
      <c r="V633">
        <v>4.8</v>
      </c>
      <c r="W633">
        <v>5</v>
      </c>
      <c r="X633">
        <v>9.5</v>
      </c>
      <c r="Y633">
        <v>128.77000000000001</v>
      </c>
      <c r="Z633">
        <v>5</v>
      </c>
      <c r="AA633" t="s">
        <v>58</v>
      </c>
    </row>
    <row r="634" spans="1:27" x14ac:dyDescent="0.3">
      <c r="A634" t="s">
        <v>725</v>
      </c>
      <c r="B634">
        <v>25</v>
      </c>
      <c r="C634" t="s">
        <v>28</v>
      </c>
      <c r="D634">
        <v>6.2</v>
      </c>
      <c r="E634" t="s">
        <v>82</v>
      </c>
      <c r="F634" t="s">
        <v>134</v>
      </c>
      <c r="G634" t="s">
        <v>71</v>
      </c>
      <c r="H634">
        <v>5.9</v>
      </c>
      <c r="I634" t="s">
        <v>41</v>
      </c>
      <c r="J634" t="s">
        <v>45</v>
      </c>
      <c r="K634" t="s">
        <v>34</v>
      </c>
      <c r="M634">
        <v>8</v>
      </c>
      <c r="N634" t="s">
        <v>80</v>
      </c>
      <c r="O634" t="s">
        <v>57</v>
      </c>
      <c r="P634" t="b">
        <v>0</v>
      </c>
      <c r="Q634" t="b">
        <v>1</v>
      </c>
      <c r="R634" t="b">
        <v>0</v>
      </c>
      <c r="S634" t="b">
        <v>0</v>
      </c>
      <c r="T634" t="b">
        <v>1</v>
      </c>
      <c r="U634">
        <v>0</v>
      </c>
      <c r="V634">
        <v>8</v>
      </c>
      <c r="W634">
        <v>6</v>
      </c>
      <c r="X634">
        <v>10.199999999999999</v>
      </c>
      <c r="Y634">
        <v>30.42</v>
      </c>
      <c r="Z634">
        <v>4</v>
      </c>
      <c r="AA634" t="s">
        <v>64</v>
      </c>
    </row>
    <row r="635" spans="1:27" x14ac:dyDescent="0.3">
      <c r="A635" t="s">
        <v>726</v>
      </c>
      <c r="B635">
        <v>24</v>
      </c>
      <c r="C635" t="s">
        <v>28</v>
      </c>
      <c r="D635">
        <v>5.7</v>
      </c>
      <c r="E635" t="s">
        <v>76</v>
      </c>
      <c r="F635" t="s">
        <v>126</v>
      </c>
      <c r="G635" t="s">
        <v>86</v>
      </c>
      <c r="H635">
        <v>5.7</v>
      </c>
      <c r="I635" t="s">
        <v>51</v>
      </c>
      <c r="J635" t="s">
        <v>33</v>
      </c>
      <c r="K635" t="s">
        <v>43</v>
      </c>
      <c r="M635">
        <v>1</v>
      </c>
      <c r="N635" t="s">
        <v>35</v>
      </c>
      <c r="O635" t="s">
        <v>42</v>
      </c>
      <c r="P635" t="b">
        <v>0</v>
      </c>
      <c r="Q635" t="b">
        <v>1</v>
      </c>
      <c r="R635" t="b">
        <v>0</v>
      </c>
      <c r="S635" t="b">
        <v>1</v>
      </c>
      <c r="T635" t="b">
        <v>0</v>
      </c>
      <c r="U635">
        <v>0.1</v>
      </c>
      <c r="V635">
        <v>6.5</v>
      </c>
      <c r="W635">
        <v>3</v>
      </c>
      <c r="X635">
        <v>8.6</v>
      </c>
      <c r="Y635">
        <v>76.37</v>
      </c>
      <c r="Z635">
        <v>5</v>
      </c>
      <c r="AA635" t="s">
        <v>64</v>
      </c>
    </row>
    <row r="636" spans="1:27" x14ac:dyDescent="0.3">
      <c r="A636" t="s">
        <v>727</v>
      </c>
      <c r="B636">
        <v>16</v>
      </c>
      <c r="C636" t="s">
        <v>53</v>
      </c>
      <c r="D636">
        <v>6.2</v>
      </c>
      <c r="E636" t="s">
        <v>39</v>
      </c>
      <c r="F636" t="s">
        <v>120</v>
      </c>
      <c r="G636" t="s">
        <v>50</v>
      </c>
      <c r="H636">
        <v>5.8</v>
      </c>
      <c r="I636" t="s">
        <v>51</v>
      </c>
      <c r="J636" t="s">
        <v>33</v>
      </c>
      <c r="K636" t="s">
        <v>43</v>
      </c>
      <c r="L636">
        <v>3.53</v>
      </c>
      <c r="N636" t="s">
        <v>80</v>
      </c>
      <c r="O636" t="s">
        <v>42</v>
      </c>
      <c r="P636" t="b">
        <v>0</v>
      </c>
      <c r="Q636" t="b">
        <v>1</v>
      </c>
      <c r="R636" t="b">
        <v>0</v>
      </c>
      <c r="S636" t="b">
        <v>0</v>
      </c>
      <c r="T636" t="b">
        <v>1</v>
      </c>
      <c r="U636">
        <v>1.2</v>
      </c>
      <c r="V636">
        <v>5.4</v>
      </c>
      <c r="W636">
        <v>4</v>
      </c>
      <c r="X636">
        <v>8.6999999999999993</v>
      </c>
      <c r="Y636">
        <v>57.17</v>
      </c>
      <c r="Z636">
        <v>2</v>
      </c>
      <c r="AA636" t="s">
        <v>64</v>
      </c>
    </row>
    <row r="637" spans="1:27" x14ac:dyDescent="0.3">
      <c r="A637" t="s">
        <v>728</v>
      </c>
      <c r="B637">
        <v>19</v>
      </c>
      <c r="C637" t="s">
        <v>28</v>
      </c>
      <c r="D637">
        <v>9.6</v>
      </c>
      <c r="E637" t="s">
        <v>54</v>
      </c>
      <c r="F637" t="s">
        <v>89</v>
      </c>
      <c r="G637" t="s">
        <v>71</v>
      </c>
      <c r="H637">
        <v>3.6</v>
      </c>
      <c r="I637" t="s">
        <v>51</v>
      </c>
      <c r="J637" t="s">
        <v>33</v>
      </c>
      <c r="K637" t="s">
        <v>43</v>
      </c>
      <c r="L637">
        <v>2.57</v>
      </c>
      <c r="M637">
        <v>8</v>
      </c>
      <c r="N637" t="s">
        <v>80</v>
      </c>
      <c r="O637" t="s">
        <v>33</v>
      </c>
      <c r="P637" t="b">
        <v>0</v>
      </c>
      <c r="Q637" t="b">
        <v>1</v>
      </c>
      <c r="R637" t="b">
        <v>0</v>
      </c>
      <c r="S637" t="b">
        <v>0</v>
      </c>
      <c r="T637" t="b">
        <v>1</v>
      </c>
      <c r="U637">
        <v>4.7</v>
      </c>
      <c r="V637">
        <v>7</v>
      </c>
      <c r="W637">
        <v>7</v>
      </c>
      <c r="X637">
        <v>0.5</v>
      </c>
      <c r="Y637">
        <v>451.73</v>
      </c>
      <c r="Z637">
        <v>8</v>
      </c>
      <c r="AA637" t="s">
        <v>58</v>
      </c>
    </row>
    <row r="638" spans="1:27" x14ac:dyDescent="0.3">
      <c r="A638" t="s">
        <v>729</v>
      </c>
      <c r="B638">
        <v>19</v>
      </c>
      <c r="C638" t="s">
        <v>28</v>
      </c>
      <c r="D638">
        <v>11.1</v>
      </c>
      <c r="E638" t="s">
        <v>76</v>
      </c>
      <c r="F638" t="s">
        <v>126</v>
      </c>
      <c r="G638" t="s">
        <v>50</v>
      </c>
      <c r="H638">
        <v>5.9</v>
      </c>
      <c r="I638" t="s">
        <v>41</v>
      </c>
      <c r="J638" t="s">
        <v>42</v>
      </c>
      <c r="K638" t="s">
        <v>84</v>
      </c>
      <c r="L638">
        <v>1.58</v>
      </c>
      <c r="M638">
        <v>9</v>
      </c>
      <c r="N638" t="s">
        <v>63</v>
      </c>
      <c r="O638" t="s">
        <v>33</v>
      </c>
      <c r="P638" t="b">
        <v>0</v>
      </c>
      <c r="Q638" t="b">
        <v>1</v>
      </c>
      <c r="R638" t="b">
        <v>0</v>
      </c>
      <c r="S638" t="b">
        <v>0</v>
      </c>
      <c r="T638" t="b">
        <v>1</v>
      </c>
      <c r="U638">
        <v>5.3</v>
      </c>
      <c r="V638">
        <v>3.8</v>
      </c>
      <c r="W638">
        <v>8</v>
      </c>
      <c r="X638">
        <v>0.8</v>
      </c>
      <c r="Y638">
        <v>80.87</v>
      </c>
      <c r="Z638">
        <v>8</v>
      </c>
      <c r="AA638" t="s">
        <v>58</v>
      </c>
    </row>
    <row r="639" spans="1:27" x14ac:dyDescent="0.3">
      <c r="A639" t="s">
        <v>730</v>
      </c>
      <c r="B639">
        <v>24</v>
      </c>
      <c r="C639" t="s">
        <v>28</v>
      </c>
      <c r="D639">
        <v>7.8</v>
      </c>
      <c r="E639" t="s">
        <v>29</v>
      </c>
      <c r="F639" t="s">
        <v>30</v>
      </c>
      <c r="G639" t="s">
        <v>71</v>
      </c>
      <c r="H639">
        <v>5.9</v>
      </c>
      <c r="I639" t="s">
        <v>78</v>
      </c>
      <c r="J639" t="s">
        <v>45</v>
      </c>
      <c r="K639" t="s">
        <v>51</v>
      </c>
      <c r="M639">
        <v>6</v>
      </c>
      <c r="N639" t="s">
        <v>63</v>
      </c>
      <c r="O639" t="s">
        <v>57</v>
      </c>
      <c r="P639" t="b">
        <v>0</v>
      </c>
      <c r="Q639" t="b">
        <v>1</v>
      </c>
      <c r="R639" t="b">
        <v>1</v>
      </c>
      <c r="S639" t="b">
        <v>1</v>
      </c>
      <c r="T639" t="b">
        <v>1</v>
      </c>
      <c r="U639">
        <v>0</v>
      </c>
      <c r="V639">
        <v>7</v>
      </c>
      <c r="W639">
        <v>3</v>
      </c>
      <c r="X639">
        <v>8</v>
      </c>
      <c r="Y639">
        <v>143.11000000000001</v>
      </c>
      <c r="Z639">
        <v>10</v>
      </c>
      <c r="AA639" t="s">
        <v>58</v>
      </c>
    </row>
    <row r="640" spans="1:27" x14ac:dyDescent="0.3">
      <c r="A640" t="s">
        <v>731</v>
      </c>
      <c r="B640">
        <v>20</v>
      </c>
      <c r="C640" t="s">
        <v>28</v>
      </c>
      <c r="D640">
        <v>6</v>
      </c>
      <c r="E640" t="s">
        <v>60</v>
      </c>
      <c r="F640" t="s">
        <v>102</v>
      </c>
      <c r="G640" t="s">
        <v>71</v>
      </c>
      <c r="H640">
        <v>5.5</v>
      </c>
      <c r="I640" t="s">
        <v>43</v>
      </c>
      <c r="J640" t="s">
        <v>45</v>
      </c>
      <c r="K640" t="s">
        <v>129</v>
      </c>
      <c r="L640">
        <v>3.88</v>
      </c>
      <c r="M640">
        <v>8</v>
      </c>
      <c r="N640" t="s">
        <v>80</v>
      </c>
      <c r="O640" t="s">
        <v>36</v>
      </c>
      <c r="P640" t="b">
        <v>0</v>
      </c>
      <c r="Q640" t="b">
        <v>1</v>
      </c>
      <c r="R640" t="b">
        <v>0</v>
      </c>
      <c r="S640" t="b">
        <v>1</v>
      </c>
      <c r="T640" t="b">
        <v>1</v>
      </c>
      <c r="U640">
        <v>0.2</v>
      </c>
      <c r="V640">
        <v>6</v>
      </c>
      <c r="W640">
        <v>6</v>
      </c>
      <c r="X640">
        <v>10.7</v>
      </c>
      <c r="Y640">
        <v>33.26</v>
      </c>
      <c r="Z640">
        <v>4</v>
      </c>
      <c r="AA640" t="s">
        <v>64</v>
      </c>
    </row>
    <row r="641" spans="1:27" x14ac:dyDescent="0.3">
      <c r="A641" t="s">
        <v>732</v>
      </c>
      <c r="B641">
        <v>14</v>
      </c>
      <c r="C641" t="s">
        <v>53</v>
      </c>
      <c r="D641">
        <v>3.1</v>
      </c>
      <c r="E641" t="s">
        <v>39</v>
      </c>
      <c r="F641" t="s">
        <v>40</v>
      </c>
      <c r="G641" t="s">
        <v>86</v>
      </c>
      <c r="H641">
        <v>7</v>
      </c>
      <c r="I641" t="s">
        <v>43</v>
      </c>
      <c r="J641" t="s">
        <v>45</v>
      </c>
      <c r="K641" t="s">
        <v>84</v>
      </c>
      <c r="L641">
        <v>2.8</v>
      </c>
      <c r="N641" t="s">
        <v>66</v>
      </c>
      <c r="O641" t="s">
        <v>57</v>
      </c>
      <c r="P641" t="b">
        <v>0</v>
      </c>
      <c r="Q641" t="b">
        <v>0</v>
      </c>
      <c r="R641" t="b">
        <v>0</v>
      </c>
      <c r="S641" t="b">
        <v>0</v>
      </c>
      <c r="T641" t="b">
        <v>0</v>
      </c>
      <c r="U641">
        <v>1.5</v>
      </c>
      <c r="V641">
        <v>8.4</v>
      </c>
      <c r="W641">
        <v>1</v>
      </c>
      <c r="X641">
        <v>13.4</v>
      </c>
      <c r="Y641">
        <v>37.549999999999997</v>
      </c>
      <c r="Z641">
        <v>1</v>
      </c>
      <c r="AA641" t="s">
        <v>46</v>
      </c>
    </row>
    <row r="642" spans="1:27" x14ac:dyDescent="0.3">
      <c r="A642" t="s">
        <v>733</v>
      </c>
      <c r="B642">
        <v>25</v>
      </c>
      <c r="C642" t="s">
        <v>53</v>
      </c>
      <c r="D642">
        <v>7.2</v>
      </c>
      <c r="E642" t="s">
        <v>82</v>
      </c>
      <c r="F642" t="s">
        <v>167</v>
      </c>
      <c r="G642" t="s">
        <v>71</v>
      </c>
      <c r="H642">
        <v>4.4000000000000004</v>
      </c>
      <c r="I642" t="s">
        <v>41</v>
      </c>
      <c r="J642" t="s">
        <v>74</v>
      </c>
      <c r="K642" t="s">
        <v>34</v>
      </c>
      <c r="M642">
        <v>1</v>
      </c>
      <c r="N642" t="s">
        <v>44</v>
      </c>
      <c r="O642" t="s">
        <v>36</v>
      </c>
      <c r="P642" t="b">
        <v>1</v>
      </c>
      <c r="Q642" t="b">
        <v>1</v>
      </c>
      <c r="R642" t="b">
        <v>0</v>
      </c>
      <c r="S642" t="b">
        <v>1</v>
      </c>
      <c r="T642" t="b">
        <v>0</v>
      </c>
      <c r="U642">
        <v>1.4</v>
      </c>
      <c r="V642">
        <v>7.3</v>
      </c>
      <c r="W642">
        <v>4</v>
      </c>
      <c r="X642">
        <v>6.8</v>
      </c>
      <c r="Y642">
        <v>135.46</v>
      </c>
      <c r="Z642">
        <v>5</v>
      </c>
      <c r="AA642" t="s">
        <v>58</v>
      </c>
    </row>
    <row r="643" spans="1:27" x14ac:dyDescent="0.3">
      <c r="A643" t="s">
        <v>734</v>
      </c>
      <c r="B643">
        <v>22</v>
      </c>
      <c r="C643" t="s">
        <v>28</v>
      </c>
      <c r="D643">
        <v>6.9</v>
      </c>
      <c r="E643" t="s">
        <v>29</v>
      </c>
      <c r="F643" t="s">
        <v>73</v>
      </c>
      <c r="G643" t="s">
        <v>86</v>
      </c>
      <c r="H643">
        <v>6</v>
      </c>
      <c r="I643" t="s">
        <v>41</v>
      </c>
      <c r="J643" t="s">
        <v>42</v>
      </c>
      <c r="K643" t="s">
        <v>34</v>
      </c>
      <c r="L643">
        <v>3.05</v>
      </c>
      <c r="M643">
        <v>8</v>
      </c>
      <c r="N643" t="s">
        <v>69</v>
      </c>
      <c r="O643" t="s">
        <v>33</v>
      </c>
      <c r="P643" t="b">
        <v>1</v>
      </c>
      <c r="Q643" t="b">
        <v>0</v>
      </c>
      <c r="R643" t="b">
        <v>0</v>
      </c>
      <c r="S643" t="b">
        <v>1</v>
      </c>
      <c r="T643" t="b">
        <v>1</v>
      </c>
      <c r="U643">
        <v>0.2</v>
      </c>
      <c r="V643">
        <v>7.7</v>
      </c>
      <c r="W643">
        <v>4</v>
      </c>
      <c r="X643">
        <v>5</v>
      </c>
      <c r="Y643">
        <v>140.63999999999999</v>
      </c>
      <c r="Z643">
        <v>11</v>
      </c>
      <c r="AA643" t="s">
        <v>64</v>
      </c>
    </row>
    <row r="644" spans="1:27" x14ac:dyDescent="0.3">
      <c r="A644" t="s">
        <v>735</v>
      </c>
      <c r="B644">
        <v>22</v>
      </c>
      <c r="C644" t="s">
        <v>28</v>
      </c>
      <c r="D644">
        <v>2.5</v>
      </c>
      <c r="E644" t="s">
        <v>48</v>
      </c>
      <c r="F644" t="s">
        <v>128</v>
      </c>
      <c r="G644" t="s">
        <v>86</v>
      </c>
      <c r="H644">
        <v>8.1</v>
      </c>
      <c r="I644" t="s">
        <v>41</v>
      </c>
      <c r="J644" t="s">
        <v>74</v>
      </c>
      <c r="K644" t="s">
        <v>34</v>
      </c>
      <c r="L644">
        <v>3.54</v>
      </c>
      <c r="M644">
        <v>2</v>
      </c>
      <c r="N644" t="s">
        <v>66</v>
      </c>
      <c r="O644" t="s">
        <v>36</v>
      </c>
      <c r="P644" t="b">
        <v>0</v>
      </c>
      <c r="Q644" t="b">
        <v>0</v>
      </c>
      <c r="R644" t="b">
        <v>0</v>
      </c>
      <c r="S644" t="b">
        <v>0</v>
      </c>
      <c r="T644" t="b">
        <v>0</v>
      </c>
      <c r="U644">
        <v>0</v>
      </c>
      <c r="V644">
        <v>8.6999999999999993</v>
      </c>
      <c r="W644">
        <v>3</v>
      </c>
      <c r="X644">
        <v>10.5</v>
      </c>
      <c r="Y644">
        <v>28.41</v>
      </c>
      <c r="Z644">
        <v>3</v>
      </c>
      <c r="AA644" t="s">
        <v>46</v>
      </c>
    </row>
    <row r="645" spans="1:27" x14ac:dyDescent="0.3">
      <c r="A645" t="s">
        <v>736</v>
      </c>
      <c r="B645">
        <v>28</v>
      </c>
      <c r="C645" t="s">
        <v>53</v>
      </c>
      <c r="D645">
        <v>5.9</v>
      </c>
      <c r="E645" t="s">
        <v>54</v>
      </c>
      <c r="F645" t="s">
        <v>55</v>
      </c>
      <c r="G645" t="s">
        <v>86</v>
      </c>
      <c r="H645">
        <v>6.6</v>
      </c>
      <c r="I645" t="s">
        <v>43</v>
      </c>
      <c r="J645" t="s">
        <v>42</v>
      </c>
      <c r="K645" t="s">
        <v>84</v>
      </c>
      <c r="M645">
        <v>3</v>
      </c>
      <c r="N645" t="s">
        <v>35</v>
      </c>
      <c r="O645" t="s">
        <v>42</v>
      </c>
      <c r="P645" t="b">
        <v>0</v>
      </c>
      <c r="Q645" t="b">
        <v>1</v>
      </c>
      <c r="R645" t="b">
        <v>0</v>
      </c>
      <c r="S645" t="b">
        <v>1</v>
      </c>
      <c r="T645" t="b">
        <v>0</v>
      </c>
      <c r="U645">
        <v>0</v>
      </c>
      <c r="V645">
        <v>5.6</v>
      </c>
      <c r="W645">
        <v>3</v>
      </c>
      <c r="X645">
        <v>10.3</v>
      </c>
      <c r="Y645">
        <v>97.31</v>
      </c>
      <c r="Z645">
        <v>5</v>
      </c>
      <c r="AA645" t="s">
        <v>64</v>
      </c>
    </row>
    <row r="646" spans="1:27" x14ac:dyDescent="0.3">
      <c r="A646" t="s">
        <v>737</v>
      </c>
      <c r="B646">
        <v>26</v>
      </c>
      <c r="C646" t="s">
        <v>28</v>
      </c>
      <c r="D646">
        <v>5.9</v>
      </c>
      <c r="E646" t="s">
        <v>54</v>
      </c>
      <c r="F646" t="s">
        <v>55</v>
      </c>
      <c r="G646" t="s">
        <v>31</v>
      </c>
      <c r="H646">
        <v>6.3</v>
      </c>
      <c r="I646" t="s">
        <v>41</v>
      </c>
      <c r="J646" t="s">
        <v>36</v>
      </c>
      <c r="K646" t="s">
        <v>43</v>
      </c>
      <c r="M646">
        <v>6</v>
      </c>
      <c r="N646" t="s">
        <v>80</v>
      </c>
      <c r="O646" t="s">
        <v>42</v>
      </c>
      <c r="P646" t="b">
        <v>0</v>
      </c>
      <c r="Q646" t="b">
        <v>0</v>
      </c>
      <c r="R646" t="b">
        <v>0</v>
      </c>
      <c r="S646" t="b">
        <v>0</v>
      </c>
      <c r="T646" t="b">
        <v>0</v>
      </c>
      <c r="U646">
        <v>1.7</v>
      </c>
      <c r="V646">
        <v>7.3</v>
      </c>
      <c r="W646">
        <v>3</v>
      </c>
      <c r="X646">
        <v>10.6</v>
      </c>
      <c r="Y646">
        <v>112.85</v>
      </c>
      <c r="Z646">
        <v>9</v>
      </c>
      <c r="AA646" t="s">
        <v>46</v>
      </c>
    </row>
    <row r="647" spans="1:27" x14ac:dyDescent="0.3">
      <c r="A647" t="s">
        <v>738</v>
      </c>
      <c r="B647">
        <v>19</v>
      </c>
      <c r="C647" t="s">
        <v>28</v>
      </c>
      <c r="D647">
        <v>4.8</v>
      </c>
      <c r="E647" t="s">
        <v>82</v>
      </c>
      <c r="F647" t="s">
        <v>134</v>
      </c>
      <c r="G647" t="s">
        <v>50</v>
      </c>
      <c r="H647">
        <v>5.9</v>
      </c>
      <c r="I647" t="s">
        <v>51</v>
      </c>
      <c r="J647" t="s">
        <v>45</v>
      </c>
      <c r="K647" t="s">
        <v>43</v>
      </c>
      <c r="L647">
        <v>1.51</v>
      </c>
      <c r="M647">
        <v>9</v>
      </c>
      <c r="N647" t="s">
        <v>66</v>
      </c>
      <c r="O647" t="s">
        <v>42</v>
      </c>
      <c r="P647" t="b">
        <v>0</v>
      </c>
      <c r="Q647" t="b">
        <v>0</v>
      </c>
      <c r="R647" t="b">
        <v>0</v>
      </c>
      <c r="S647" t="b">
        <v>1</v>
      </c>
      <c r="T647" t="b">
        <v>0</v>
      </c>
      <c r="U647">
        <v>3.7</v>
      </c>
      <c r="V647">
        <v>5.5</v>
      </c>
      <c r="W647">
        <v>4</v>
      </c>
      <c r="X647">
        <v>8.1999999999999993</v>
      </c>
      <c r="Y647">
        <v>115.72</v>
      </c>
      <c r="Z647">
        <v>7</v>
      </c>
      <c r="AA647" t="s">
        <v>46</v>
      </c>
    </row>
    <row r="648" spans="1:27" x14ac:dyDescent="0.3">
      <c r="A648" t="s">
        <v>739</v>
      </c>
      <c r="B648">
        <v>17</v>
      </c>
      <c r="C648" t="s">
        <v>53</v>
      </c>
      <c r="D648">
        <v>4.5999999999999996</v>
      </c>
      <c r="E648" t="s">
        <v>39</v>
      </c>
      <c r="F648" t="s">
        <v>40</v>
      </c>
      <c r="G648" t="s">
        <v>50</v>
      </c>
      <c r="H648">
        <v>6</v>
      </c>
      <c r="I648" t="s">
        <v>41</v>
      </c>
      <c r="J648" t="s">
        <v>42</v>
      </c>
      <c r="K648" t="s">
        <v>62</v>
      </c>
      <c r="L648">
        <v>2.23</v>
      </c>
      <c r="N648" t="s">
        <v>44</v>
      </c>
      <c r="O648" t="s">
        <v>42</v>
      </c>
      <c r="P648" t="b">
        <v>0</v>
      </c>
      <c r="Q648" t="b">
        <v>0</v>
      </c>
      <c r="R648" t="b">
        <v>0</v>
      </c>
      <c r="S648" t="b">
        <v>1</v>
      </c>
      <c r="T648" t="b">
        <v>0</v>
      </c>
      <c r="U648">
        <v>1.3</v>
      </c>
      <c r="V648">
        <v>8.1</v>
      </c>
      <c r="W648">
        <v>4</v>
      </c>
      <c r="X648">
        <v>10.5</v>
      </c>
      <c r="Y648">
        <v>20.94</v>
      </c>
      <c r="Z648">
        <v>6</v>
      </c>
      <c r="AA648" t="s">
        <v>46</v>
      </c>
    </row>
    <row r="649" spans="1:27" x14ac:dyDescent="0.3">
      <c r="A649" t="s">
        <v>740</v>
      </c>
      <c r="B649">
        <v>16</v>
      </c>
      <c r="C649" t="s">
        <v>53</v>
      </c>
      <c r="D649">
        <v>5.2</v>
      </c>
      <c r="E649" t="s">
        <v>82</v>
      </c>
      <c r="F649" t="s">
        <v>83</v>
      </c>
      <c r="G649" t="s">
        <v>31</v>
      </c>
      <c r="H649">
        <v>6.3</v>
      </c>
      <c r="I649" t="s">
        <v>41</v>
      </c>
      <c r="J649" t="s">
        <v>45</v>
      </c>
      <c r="K649" t="s">
        <v>43</v>
      </c>
      <c r="L649">
        <v>2.2200000000000002</v>
      </c>
      <c r="N649" t="s">
        <v>44</v>
      </c>
      <c r="O649" t="s">
        <v>33</v>
      </c>
      <c r="P649" t="b">
        <v>0</v>
      </c>
      <c r="Q649" t="b">
        <v>0</v>
      </c>
      <c r="R649" t="b">
        <v>0</v>
      </c>
      <c r="S649" t="b">
        <v>1</v>
      </c>
      <c r="T649" t="b">
        <v>0</v>
      </c>
      <c r="U649">
        <v>3.2</v>
      </c>
      <c r="V649">
        <v>8.9</v>
      </c>
      <c r="W649">
        <v>2</v>
      </c>
      <c r="X649">
        <v>9.1</v>
      </c>
      <c r="Y649">
        <v>10.52</v>
      </c>
      <c r="Z649">
        <v>5</v>
      </c>
      <c r="AA649" t="s">
        <v>46</v>
      </c>
    </row>
    <row r="650" spans="1:27" x14ac:dyDescent="0.3">
      <c r="A650" t="s">
        <v>741</v>
      </c>
      <c r="B650">
        <v>30</v>
      </c>
      <c r="C650" t="s">
        <v>53</v>
      </c>
      <c r="D650">
        <v>5.2</v>
      </c>
      <c r="E650" t="s">
        <v>76</v>
      </c>
      <c r="F650" t="s">
        <v>77</v>
      </c>
      <c r="G650" t="s">
        <v>31</v>
      </c>
      <c r="H650">
        <v>6.5</v>
      </c>
      <c r="I650" t="s">
        <v>43</v>
      </c>
      <c r="J650" t="s">
        <v>45</v>
      </c>
      <c r="K650" t="s">
        <v>43</v>
      </c>
      <c r="M650">
        <v>9</v>
      </c>
      <c r="N650" t="s">
        <v>44</v>
      </c>
      <c r="O650" t="s">
        <v>33</v>
      </c>
      <c r="P650" t="b">
        <v>0</v>
      </c>
      <c r="Q650" t="b">
        <v>0</v>
      </c>
      <c r="R650" t="b">
        <v>0</v>
      </c>
      <c r="S650" t="b">
        <v>1</v>
      </c>
      <c r="T650" t="b">
        <v>0</v>
      </c>
      <c r="U650">
        <v>1.8</v>
      </c>
      <c r="V650">
        <v>8.5</v>
      </c>
      <c r="W650">
        <v>4</v>
      </c>
      <c r="X650">
        <v>8.3000000000000007</v>
      </c>
      <c r="Y650">
        <v>126.54</v>
      </c>
      <c r="Z650">
        <v>18</v>
      </c>
      <c r="AA650" t="s">
        <v>46</v>
      </c>
    </row>
    <row r="651" spans="1:27" x14ac:dyDescent="0.3">
      <c r="A651" t="s">
        <v>742</v>
      </c>
      <c r="B651">
        <v>22</v>
      </c>
      <c r="C651" t="s">
        <v>28</v>
      </c>
      <c r="D651">
        <v>5.6</v>
      </c>
      <c r="E651" t="s">
        <v>76</v>
      </c>
      <c r="F651" t="s">
        <v>110</v>
      </c>
      <c r="G651" t="s">
        <v>86</v>
      </c>
      <c r="H651">
        <v>6.3</v>
      </c>
      <c r="I651" t="s">
        <v>51</v>
      </c>
      <c r="J651" t="s">
        <v>42</v>
      </c>
      <c r="K651" t="s">
        <v>62</v>
      </c>
      <c r="L651">
        <v>3.42</v>
      </c>
      <c r="M651">
        <v>2</v>
      </c>
      <c r="N651" t="s">
        <v>35</v>
      </c>
      <c r="O651" t="s">
        <v>45</v>
      </c>
      <c r="P651" t="b">
        <v>0</v>
      </c>
      <c r="Q651" t="b">
        <v>1</v>
      </c>
      <c r="R651" t="b">
        <v>0</v>
      </c>
      <c r="S651" t="b">
        <v>1</v>
      </c>
      <c r="T651" t="b">
        <v>0</v>
      </c>
      <c r="U651">
        <v>0.3</v>
      </c>
      <c r="V651">
        <v>5.9</v>
      </c>
      <c r="W651">
        <v>4</v>
      </c>
      <c r="X651">
        <v>10.199999999999999</v>
      </c>
      <c r="Y651">
        <v>130</v>
      </c>
      <c r="Z651">
        <v>4</v>
      </c>
      <c r="AA651" t="s">
        <v>64</v>
      </c>
    </row>
    <row r="652" spans="1:27" x14ac:dyDescent="0.3">
      <c r="A652" t="s">
        <v>743</v>
      </c>
      <c r="B652">
        <v>16</v>
      </c>
      <c r="C652" t="s">
        <v>53</v>
      </c>
      <c r="D652">
        <v>5</v>
      </c>
      <c r="E652" t="s">
        <v>76</v>
      </c>
      <c r="F652" t="s">
        <v>110</v>
      </c>
      <c r="G652" t="s">
        <v>71</v>
      </c>
      <c r="H652">
        <v>5.9</v>
      </c>
      <c r="I652" t="s">
        <v>51</v>
      </c>
      <c r="J652" t="s">
        <v>36</v>
      </c>
      <c r="K652" t="s">
        <v>51</v>
      </c>
      <c r="L652">
        <v>2.2599999999999998</v>
      </c>
      <c r="N652" t="s">
        <v>66</v>
      </c>
      <c r="O652" t="s">
        <v>33</v>
      </c>
      <c r="P652" t="b">
        <v>0</v>
      </c>
      <c r="Q652" t="b">
        <v>0</v>
      </c>
      <c r="R652" t="b">
        <v>0</v>
      </c>
      <c r="S652" t="b">
        <v>1</v>
      </c>
      <c r="T652" t="b">
        <v>0</v>
      </c>
      <c r="U652">
        <v>2.1</v>
      </c>
      <c r="V652">
        <v>5.5</v>
      </c>
      <c r="W652">
        <v>3</v>
      </c>
      <c r="X652">
        <v>10.4</v>
      </c>
      <c r="Y652">
        <v>145.08000000000001</v>
      </c>
      <c r="Z652">
        <v>4</v>
      </c>
      <c r="AA652" t="s">
        <v>46</v>
      </c>
    </row>
    <row r="653" spans="1:27" x14ac:dyDescent="0.3">
      <c r="A653" t="s">
        <v>744</v>
      </c>
      <c r="B653">
        <v>21</v>
      </c>
      <c r="C653" t="s">
        <v>28</v>
      </c>
      <c r="D653">
        <v>7</v>
      </c>
      <c r="E653" t="s">
        <v>39</v>
      </c>
      <c r="F653" t="s">
        <v>93</v>
      </c>
      <c r="G653" t="s">
        <v>86</v>
      </c>
      <c r="H653">
        <v>4.8</v>
      </c>
      <c r="I653" t="s">
        <v>32</v>
      </c>
      <c r="J653" t="s">
        <v>45</v>
      </c>
      <c r="K653" t="s">
        <v>51</v>
      </c>
      <c r="L653">
        <v>3.57</v>
      </c>
      <c r="M653">
        <v>4</v>
      </c>
      <c r="N653" t="s">
        <v>63</v>
      </c>
      <c r="O653" t="s">
        <v>42</v>
      </c>
      <c r="P653" t="b">
        <v>0</v>
      </c>
      <c r="Q653" t="b">
        <v>1</v>
      </c>
      <c r="R653" t="b">
        <v>0</v>
      </c>
      <c r="S653" t="b">
        <v>1</v>
      </c>
      <c r="T653" t="b">
        <v>1</v>
      </c>
      <c r="U653">
        <v>1</v>
      </c>
      <c r="V653">
        <v>8.1999999999999993</v>
      </c>
      <c r="W653">
        <v>3</v>
      </c>
      <c r="X653">
        <v>5.0999999999999996</v>
      </c>
      <c r="Y653">
        <v>142.25</v>
      </c>
      <c r="Z653">
        <v>3</v>
      </c>
      <c r="AA653" t="s">
        <v>64</v>
      </c>
    </row>
    <row r="654" spans="1:27" x14ac:dyDescent="0.3">
      <c r="A654" t="s">
        <v>745</v>
      </c>
      <c r="B654">
        <v>19</v>
      </c>
      <c r="C654" t="s">
        <v>28</v>
      </c>
      <c r="D654">
        <v>1.7</v>
      </c>
      <c r="E654" t="s">
        <v>54</v>
      </c>
      <c r="F654" t="s">
        <v>98</v>
      </c>
      <c r="G654" t="s">
        <v>71</v>
      </c>
      <c r="H654">
        <v>8.6999999999999993</v>
      </c>
      <c r="I654" t="s">
        <v>43</v>
      </c>
      <c r="J654" t="s">
        <v>45</v>
      </c>
      <c r="K654" t="s">
        <v>84</v>
      </c>
      <c r="L654">
        <v>2.23</v>
      </c>
      <c r="M654">
        <v>10</v>
      </c>
      <c r="N654" t="s">
        <v>105</v>
      </c>
      <c r="O654" t="s">
        <v>45</v>
      </c>
      <c r="P654" t="b">
        <v>0</v>
      </c>
      <c r="Q654" t="b">
        <v>0</v>
      </c>
      <c r="R654" t="b">
        <v>0</v>
      </c>
      <c r="S654" t="b">
        <v>0</v>
      </c>
      <c r="T654" t="b">
        <v>0</v>
      </c>
      <c r="U654">
        <v>0.4</v>
      </c>
      <c r="V654">
        <v>10.4</v>
      </c>
      <c r="W654">
        <v>2</v>
      </c>
      <c r="X654">
        <v>9.8000000000000007</v>
      </c>
      <c r="Y654">
        <v>36.799999999999997</v>
      </c>
      <c r="Z654">
        <v>2</v>
      </c>
      <c r="AA654" t="s">
        <v>46</v>
      </c>
    </row>
    <row r="655" spans="1:27" x14ac:dyDescent="0.3">
      <c r="A655" t="s">
        <v>746</v>
      </c>
      <c r="B655">
        <v>22</v>
      </c>
      <c r="C655" t="s">
        <v>53</v>
      </c>
      <c r="D655">
        <v>6.4</v>
      </c>
      <c r="E655" t="s">
        <v>60</v>
      </c>
      <c r="F655" t="s">
        <v>96</v>
      </c>
      <c r="G655" t="s">
        <v>50</v>
      </c>
      <c r="H655">
        <v>5.4</v>
      </c>
      <c r="I655" t="s">
        <v>51</v>
      </c>
      <c r="J655" t="s">
        <v>42</v>
      </c>
      <c r="K655" t="s">
        <v>62</v>
      </c>
      <c r="L655">
        <v>3.24</v>
      </c>
      <c r="M655">
        <v>4</v>
      </c>
      <c r="N655" t="s">
        <v>44</v>
      </c>
      <c r="O655" t="s">
        <v>36</v>
      </c>
      <c r="P655" t="b">
        <v>0</v>
      </c>
      <c r="Q655" t="b">
        <v>1</v>
      </c>
      <c r="R655" t="b">
        <v>0</v>
      </c>
      <c r="S655" t="b">
        <v>1</v>
      </c>
      <c r="T655" t="b">
        <v>0</v>
      </c>
      <c r="U655">
        <v>0.3</v>
      </c>
      <c r="V655">
        <v>6.1</v>
      </c>
      <c r="W655">
        <v>2</v>
      </c>
      <c r="X655">
        <v>9.5</v>
      </c>
      <c r="Y655">
        <v>145.93</v>
      </c>
      <c r="Z655">
        <v>1</v>
      </c>
      <c r="AA655" t="s">
        <v>64</v>
      </c>
    </row>
    <row r="656" spans="1:27" x14ac:dyDescent="0.3">
      <c r="A656" t="s">
        <v>747</v>
      </c>
      <c r="B656">
        <v>20</v>
      </c>
      <c r="C656" t="s">
        <v>53</v>
      </c>
      <c r="D656">
        <v>3.3</v>
      </c>
      <c r="E656" t="s">
        <v>29</v>
      </c>
      <c r="F656" t="s">
        <v>118</v>
      </c>
      <c r="G656" t="s">
        <v>86</v>
      </c>
      <c r="H656">
        <v>8.3000000000000007</v>
      </c>
      <c r="I656" t="s">
        <v>43</v>
      </c>
      <c r="J656" t="s">
        <v>33</v>
      </c>
      <c r="K656" t="s">
        <v>84</v>
      </c>
      <c r="L656">
        <v>2.74</v>
      </c>
      <c r="M656">
        <v>3</v>
      </c>
      <c r="N656" t="s">
        <v>66</v>
      </c>
      <c r="O656" t="s">
        <v>57</v>
      </c>
      <c r="P656" t="b">
        <v>0</v>
      </c>
      <c r="Q656" t="b">
        <v>0</v>
      </c>
      <c r="R656" t="b">
        <v>0</v>
      </c>
      <c r="S656" t="b">
        <v>0</v>
      </c>
      <c r="T656" t="b">
        <v>0</v>
      </c>
      <c r="U656">
        <v>1.2</v>
      </c>
      <c r="V656">
        <v>9.1</v>
      </c>
      <c r="W656">
        <v>1</v>
      </c>
      <c r="X656">
        <v>10.7</v>
      </c>
      <c r="Y656">
        <v>13.68</v>
      </c>
      <c r="Z656">
        <v>6</v>
      </c>
      <c r="AA656" t="s">
        <v>46</v>
      </c>
    </row>
    <row r="657" spans="1:27" x14ac:dyDescent="0.3">
      <c r="A657" t="s">
        <v>748</v>
      </c>
      <c r="B657">
        <v>16</v>
      </c>
      <c r="C657" t="s">
        <v>53</v>
      </c>
      <c r="D657">
        <v>9.3000000000000007</v>
      </c>
      <c r="E657" t="s">
        <v>82</v>
      </c>
      <c r="F657" t="s">
        <v>83</v>
      </c>
      <c r="G657" t="s">
        <v>50</v>
      </c>
      <c r="H657">
        <v>3.1</v>
      </c>
      <c r="I657" t="s">
        <v>41</v>
      </c>
      <c r="J657" t="s">
        <v>74</v>
      </c>
      <c r="K657" t="s">
        <v>34</v>
      </c>
      <c r="L657">
        <v>1.82</v>
      </c>
      <c r="N657" t="s">
        <v>44</v>
      </c>
      <c r="O657" t="s">
        <v>33</v>
      </c>
      <c r="P657" t="b">
        <v>0</v>
      </c>
      <c r="Q657" t="b">
        <v>1</v>
      </c>
      <c r="R657" t="b">
        <v>1</v>
      </c>
      <c r="S657" t="b">
        <v>0</v>
      </c>
      <c r="T657" t="b">
        <v>1</v>
      </c>
      <c r="U657">
        <v>0.5</v>
      </c>
      <c r="V657">
        <v>3.7</v>
      </c>
      <c r="W657">
        <v>6</v>
      </c>
      <c r="X657">
        <v>4.5</v>
      </c>
      <c r="Y657">
        <v>90.17</v>
      </c>
      <c r="Z657">
        <v>4</v>
      </c>
      <c r="AA657" t="s">
        <v>37</v>
      </c>
    </row>
    <row r="658" spans="1:27" x14ac:dyDescent="0.3">
      <c r="A658" t="s">
        <v>749</v>
      </c>
      <c r="B658">
        <v>20</v>
      </c>
      <c r="C658" t="s">
        <v>53</v>
      </c>
      <c r="D658">
        <v>6.3</v>
      </c>
      <c r="E658" t="s">
        <v>76</v>
      </c>
      <c r="F658" t="s">
        <v>77</v>
      </c>
      <c r="G658" t="s">
        <v>86</v>
      </c>
      <c r="H658">
        <v>6.2</v>
      </c>
      <c r="I658" t="s">
        <v>51</v>
      </c>
      <c r="J658" t="s">
        <v>42</v>
      </c>
      <c r="K658" t="s">
        <v>62</v>
      </c>
      <c r="L658">
        <v>2.54</v>
      </c>
      <c r="M658">
        <v>5</v>
      </c>
      <c r="N658" t="s">
        <v>66</v>
      </c>
      <c r="O658" t="s">
        <v>42</v>
      </c>
      <c r="P658" t="b">
        <v>0</v>
      </c>
      <c r="Q658" t="b">
        <v>0</v>
      </c>
      <c r="R658" t="b">
        <v>0</v>
      </c>
      <c r="S658" t="b">
        <v>0</v>
      </c>
      <c r="T658" t="b">
        <v>1</v>
      </c>
      <c r="U658">
        <v>3.1</v>
      </c>
      <c r="V658">
        <v>8.5</v>
      </c>
      <c r="W658">
        <v>6</v>
      </c>
      <c r="X658">
        <v>9.5</v>
      </c>
      <c r="Y658">
        <v>80.72</v>
      </c>
      <c r="Z658">
        <v>6</v>
      </c>
      <c r="AA658" t="s">
        <v>46</v>
      </c>
    </row>
    <row r="659" spans="1:27" x14ac:dyDescent="0.3">
      <c r="A659" t="s">
        <v>750</v>
      </c>
      <c r="B659">
        <v>24</v>
      </c>
      <c r="C659" t="s">
        <v>28</v>
      </c>
      <c r="D659">
        <v>13.4</v>
      </c>
      <c r="E659" t="s">
        <v>76</v>
      </c>
      <c r="F659" t="s">
        <v>77</v>
      </c>
      <c r="G659" t="s">
        <v>31</v>
      </c>
      <c r="H659">
        <v>3.9</v>
      </c>
      <c r="I659" t="s">
        <v>32</v>
      </c>
      <c r="J659" t="s">
        <v>36</v>
      </c>
      <c r="K659" t="s">
        <v>34</v>
      </c>
      <c r="M659">
        <v>3</v>
      </c>
      <c r="N659" t="s">
        <v>105</v>
      </c>
      <c r="O659" t="s">
        <v>57</v>
      </c>
      <c r="P659" t="b">
        <v>0</v>
      </c>
      <c r="Q659" t="b">
        <v>1</v>
      </c>
      <c r="R659" t="b">
        <v>0</v>
      </c>
      <c r="S659" t="b">
        <v>1</v>
      </c>
      <c r="T659" t="b">
        <v>0</v>
      </c>
      <c r="U659">
        <v>6.3</v>
      </c>
      <c r="V659">
        <v>5.2</v>
      </c>
      <c r="W659">
        <v>9</v>
      </c>
      <c r="X659">
        <v>1.6</v>
      </c>
      <c r="Y659">
        <v>64.52</v>
      </c>
      <c r="Z659">
        <v>14</v>
      </c>
      <c r="AA659" t="s">
        <v>58</v>
      </c>
    </row>
    <row r="660" spans="1:27" x14ac:dyDescent="0.3">
      <c r="A660" t="s">
        <v>751</v>
      </c>
      <c r="B660">
        <v>18</v>
      </c>
      <c r="C660" t="s">
        <v>28</v>
      </c>
      <c r="D660">
        <v>6.6</v>
      </c>
      <c r="E660" t="s">
        <v>60</v>
      </c>
      <c r="F660" t="s">
        <v>61</v>
      </c>
      <c r="G660" t="s">
        <v>86</v>
      </c>
      <c r="H660">
        <v>5.4</v>
      </c>
      <c r="I660" t="s">
        <v>78</v>
      </c>
      <c r="J660" t="s">
        <v>45</v>
      </c>
      <c r="K660" t="s">
        <v>51</v>
      </c>
      <c r="L660">
        <v>2.34</v>
      </c>
      <c r="N660" t="s">
        <v>80</v>
      </c>
      <c r="O660" t="s">
        <v>45</v>
      </c>
      <c r="P660" t="b">
        <v>0</v>
      </c>
      <c r="Q660" t="b">
        <v>0</v>
      </c>
      <c r="R660" t="b">
        <v>0</v>
      </c>
      <c r="S660" t="b">
        <v>1</v>
      </c>
      <c r="T660" t="b">
        <v>1</v>
      </c>
      <c r="U660">
        <v>0.8</v>
      </c>
      <c r="V660">
        <v>5.6</v>
      </c>
      <c r="W660">
        <v>5</v>
      </c>
      <c r="X660">
        <v>7</v>
      </c>
      <c r="Y660">
        <v>80.91</v>
      </c>
      <c r="Z660">
        <v>4</v>
      </c>
      <c r="AA660" t="s">
        <v>46</v>
      </c>
    </row>
    <row r="661" spans="1:27" x14ac:dyDescent="0.3">
      <c r="A661" t="s">
        <v>752</v>
      </c>
      <c r="B661">
        <v>20</v>
      </c>
      <c r="C661" t="s">
        <v>53</v>
      </c>
      <c r="D661">
        <v>5.3</v>
      </c>
      <c r="E661" t="s">
        <v>76</v>
      </c>
      <c r="F661" t="s">
        <v>110</v>
      </c>
      <c r="G661" t="s">
        <v>71</v>
      </c>
      <c r="H661">
        <v>6.8</v>
      </c>
      <c r="I661" t="s">
        <v>41</v>
      </c>
      <c r="J661" t="s">
        <v>36</v>
      </c>
      <c r="K661" t="s">
        <v>51</v>
      </c>
      <c r="L661">
        <v>3.93</v>
      </c>
      <c r="M661">
        <v>2</v>
      </c>
      <c r="N661" t="s">
        <v>44</v>
      </c>
      <c r="O661" t="s">
        <v>57</v>
      </c>
      <c r="P661" t="b">
        <v>0</v>
      </c>
      <c r="Q661" t="b">
        <v>0</v>
      </c>
      <c r="R661" t="b">
        <v>0</v>
      </c>
      <c r="S661" t="b">
        <v>1</v>
      </c>
      <c r="T661" t="b">
        <v>0</v>
      </c>
      <c r="U661">
        <v>0.4</v>
      </c>
      <c r="V661">
        <v>9</v>
      </c>
      <c r="W661">
        <v>2</v>
      </c>
      <c r="X661">
        <v>7.1</v>
      </c>
      <c r="Y661">
        <v>128.13</v>
      </c>
      <c r="Z661">
        <v>8</v>
      </c>
      <c r="AA661" t="s">
        <v>46</v>
      </c>
    </row>
    <row r="662" spans="1:27" x14ac:dyDescent="0.3">
      <c r="A662" t="s">
        <v>753</v>
      </c>
      <c r="B662">
        <v>16</v>
      </c>
      <c r="C662" t="s">
        <v>28</v>
      </c>
      <c r="D662">
        <v>7.4</v>
      </c>
      <c r="E662" t="s">
        <v>54</v>
      </c>
      <c r="F662" t="s">
        <v>89</v>
      </c>
      <c r="G662" t="s">
        <v>71</v>
      </c>
      <c r="H662">
        <v>5.2</v>
      </c>
      <c r="I662" t="s">
        <v>41</v>
      </c>
      <c r="J662" t="s">
        <v>33</v>
      </c>
      <c r="K662" t="s">
        <v>34</v>
      </c>
      <c r="L662">
        <v>3.68</v>
      </c>
      <c r="N662" t="s">
        <v>44</v>
      </c>
      <c r="O662" t="s">
        <v>45</v>
      </c>
      <c r="P662" t="b">
        <v>1</v>
      </c>
      <c r="Q662" t="b">
        <v>1</v>
      </c>
      <c r="R662" t="b">
        <v>0</v>
      </c>
      <c r="S662" t="b">
        <v>1</v>
      </c>
      <c r="T662" t="b">
        <v>1</v>
      </c>
      <c r="U662">
        <v>2.1</v>
      </c>
      <c r="V662">
        <v>5.8</v>
      </c>
      <c r="W662">
        <v>3</v>
      </c>
      <c r="X662">
        <v>8.6999999999999993</v>
      </c>
      <c r="Y662">
        <v>67.44</v>
      </c>
      <c r="Z662">
        <v>4</v>
      </c>
      <c r="AA662" t="s">
        <v>58</v>
      </c>
    </row>
    <row r="663" spans="1:27" x14ac:dyDescent="0.3">
      <c r="A663" t="s">
        <v>754</v>
      </c>
      <c r="B663">
        <v>22</v>
      </c>
      <c r="C663" t="s">
        <v>53</v>
      </c>
      <c r="D663">
        <v>1.8</v>
      </c>
      <c r="E663" t="s">
        <v>82</v>
      </c>
      <c r="F663" t="s">
        <v>134</v>
      </c>
      <c r="G663" t="s">
        <v>50</v>
      </c>
      <c r="H663">
        <v>8</v>
      </c>
      <c r="I663" t="s">
        <v>43</v>
      </c>
      <c r="J663" t="s">
        <v>42</v>
      </c>
      <c r="K663" t="s">
        <v>84</v>
      </c>
      <c r="L663">
        <v>3.17</v>
      </c>
      <c r="M663">
        <v>10</v>
      </c>
      <c r="N663" t="s">
        <v>80</v>
      </c>
      <c r="O663" t="s">
        <v>45</v>
      </c>
      <c r="P663" t="b">
        <v>0</v>
      </c>
      <c r="Q663" t="b">
        <v>0</v>
      </c>
      <c r="R663" t="b">
        <v>0</v>
      </c>
      <c r="S663" t="b">
        <v>0</v>
      </c>
      <c r="T663" t="b">
        <v>0</v>
      </c>
      <c r="U663">
        <v>0.2</v>
      </c>
      <c r="V663">
        <v>8.9</v>
      </c>
      <c r="W663">
        <v>2</v>
      </c>
      <c r="X663">
        <v>14.2</v>
      </c>
      <c r="Y663">
        <v>40.78</v>
      </c>
      <c r="Z663">
        <v>6</v>
      </c>
      <c r="AA663" t="s">
        <v>46</v>
      </c>
    </row>
    <row r="664" spans="1:27" x14ac:dyDescent="0.3">
      <c r="A664" t="s">
        <v>755</v>
      </c>
      <c r="B664">
        <v>20</v>
      </c>
      <c r="C664" t="s">
        <v>28</v>
      </c>
      <c r="D664">
        <v>4.4000000000000004</v>
      </c>
      <c r="E664" t="s">
        <v>54</v>
      </c>
      <c r="F664" t="s">
        <v>89</v>
      </c>
      <c r="G664" t="s">
        <v>50</v>
      </c>
      <c r="H664">
        <v>6.3</v>
      </c>
      <c r="I664" t="s">
        <v>41</v>
      </c>
      <c r="J664" t="s">
        <v>42</v>
      </c>
      <c r="K664" t="s">
        <v>43</v>
      </c>
      <c r="L664">
        <v>1.51</v>
      </c>
      <c r="M664">
        <v>2</v>
      </c>
      <c r="N664" t="s">
        <v>69</v>
      </c>
      <c r="O664" t="s">
        <v>57</v>
      </c>
      <c r="P664" t="b">
        <v>0</v>
      </c>
      <c r="Q664" t="b">
        <v>0</v>
      </c>
      <c r="R664" t="b">
        <v>0</v>
      </c>
      <c r="S664" t="b">
        <v>0</v>
      </c>
      <c r="T664" t="b">
        <v>0</v>
      </c>
      <c r="U664">
        <v>0.3</v>
      </c>
      <c r="V664">
        <v>7.6</v>
      </c>
      <c r="W664">
        <v>4</v>
      </c>
      <c r="X664">
        <v>8.6999999999999993</v>
      </c>
      <c r="Y664">
        <v>38.47</v>
      </c>
      <c r="Z664">
        <v>9</v>
      </c>
      <c r="AA664" t="s">
        <v>46</v>
      </c>
    </row>
    <row r="665" spans="1:27" x14ac:dyDescent="0.3">
      <c r="A665" t="s">
        <v>756</v>
      </c>
      <c r="B665">
        <v>16</v>
      </c>
      <c r="C665" t="s">
        <v>28</v>
      </c>
      <c r="D665">
        <v>4.5</v>
      </c>
      <c r="E665" t="s">
        <v>48</v>
      </c>
      <c r="F665" t="s">
        <v>128</v>
      </c>
      <c r="G665" t="s">
        <v>71</v>
      </c>
      <c r="H665">
        <v>5.0999999999999996</v>
      </c>
      <c r="I665" t="s">
        <v>51</v>
      </c>
      <c r="J665" t="s">
        <v>36</v>
      </c>
      <c r="K665" t="s">
        <v>62</v>
      </c>
      <c r="L665">
        <v>3.45</v>
      </c>
      <c r="N665" t="s">
        <v>105</v>
      </c>
      <c r="O665" t="s">
        <v>33</v>
      </c>
      <c r="P665" t="b">
        <v>0</v>
      </c>
      <c r="Q665" t="b">
        <v>0</v>
      </c>
      <c r="R665" t="b">
        <v>0</v>
      </c>
      <c r="S665" t="b">
        <v>0</v>
      </c>
      <c r="T665" t="b">
        <v>0</v>
      </c>
      <c r="U665">
        <v>0.4</v>
      </c>
      <c r="V665">
        <v>7</v>
      </c>
      <c r="W665">
        <v>4</v>
      </c>
      <c r="X665">
        <v>6.2</v>
      </c>
      <c r="Y665">
        <v>104.97</v>
      </c>
      <c r="Z665">
        <v>6</v>
      </c>
      <c r="AA665" t="s">
        <v>46</v>
      </c>
    </row>
    <row r="666" spans="1:27" x14ac:dyDescent="0.3">
      <c r="A666" t="s">
        <v>757</v>
      </c>
      <c r="B666">
        <v>33</v>
      </c>
      <c r="C666" t="s">
        <v>53</v>
      </c>
      <c r="D666">
        <v>3.7</v>
      </c>
      <c r="E666" t="s">
        <v>60</v>
      </c>
      <c r="F666" t="s">
        <v>200</v>
      </c>
      <c r="G666" t="s">
        <v>71</v>
      </c>
      <c r="H666">
        <v>6.5</v>
      </c>
      <c r="I666" t="s">
        <v>51</v>
      </c>
      <c r="J666" t="s">
        <v>36</v>
      </c>
      <c r="K666" t="s">
        <v>62</v>
      </c>
      <c r="M666">
        <v>10</v>
      </c>
      <c r="N666" t="s">
        <v>105</v>
      </c>
      <c r="O666" t="s">
        <v>33</v>
      </c>
      <c r="P666" t="b">
        <v>0</v>
      </c>
      <c r="Q666" t="b">
        <v>0</v>
      </c>
      <c r="R666" t="b">
        <v>0</v>
      </c>
      <c r="S666" t="b">
        <v>0</v>
      </c>
      <c r="T666" t="b">
        <v>0</v>
      </c>
      <c r="U666">
        <v>0.1</v>
      </c>
      <c r="V666">
        <v>9.3000000000000007</v>
      </c>
      <c r="W666">
        <v>3</v>
      </c>
      <c r="X666">
        <v>11.5</v>
      </c>
      <c r="Y666">
        <v>23.14</v>
      </c>
      <c r="Z666">
        <v>14</v>
      </c>
      <c r="AA666" t="s">
        <v>46</v>
      </c>
    </row>
    <row r="667" spans="1:27" x14ac:dyDescent="0.3">
      <c r="A667" t="s">
        <v>758</v>
      </c>
      <c r="B667">
        <v>18</v>
      </c>
      <c r="C667" t="s">
        <v>53</v>
      </c>
      <c r="D667">
        <v>1.5</v>
      </c>
      <c r="E667" t="s">
        <v>54</v>
      </c>
      <c r="F667" t="s">
        <v>89</v>
      </c>
      <c r="G667" t="s">
        <v>31</v>
      </c>
      <c r="H667">
        <v>7.1</v>
      </c>
      <c r="I667" t="s">
        <v>41</v>
      </c>
      <c r="J667" t="s">
        <v>42</v>
      </c>
      <c r="K667" t="s">
        <v>43</v>
      </c>
      <c r="L667">
        <v>1.91</v>
      </c>
      <c r="N667" t="s">
        <v>56</v>
      </c>
      <c r="O667" t="s">
        <v>42</v>
      </c>
      <c r="P667" t="b">
        <v>0</v>
      </c>
      <c r="Q667" t="b">
        <v>0</v>
      </c>
      <c r="R667" t="b">
        <v>0</v>
      </c>
      <c r="S667" t="b">
        <v>0</v>
      </c>
      <c r="T667" t="b">
        <v>0</v>
      </c>
      <c r="U667">
        <v>0.7</v>
      </c>
      <c r="V667">
        <v>8.1</v>
      </c>
      <c r="W667">
        <v>1</v>
      </c>
      <c r="X667">
        <v>11.9</v>
      </c>
      <c r="Y667">
        <v>0.1</v>
      </c>
      <c r="Z667">
        <v>7</v>
      </c>
      <c r="AA667" t="s">
        <v>46</v>
      </c>
    </row>
    <row r="668" spans="1:27" x14ac:dyDescent="0.3">
      <c r="A668" t="s">
        <v>759</v>
      </c>
      <c r="B668">
        <v>19</v>
      </c>
      <c r="C668" t="s">
        <v>28</v>
      </c>
      <c r="D668">
        <v>6.7</v>
      </c>
      <c r="E668" t="s">
        <v>60</v>
      </c>
      <c r="F668" t="s">
        <v>61</v>
      </c>
      <c r="G668" t="s">
        <v>86</v>
      </c>
      <c r="H668">
        <v>3.8</v>
      </c>
      <c r="I668" t="s">
        <v>32</v>
      </c>
      <c r="J668" t="s">
        <v>33</v>
      </c>
      <c r="K668" t="s">
        <v>34</v>
      </c>
      <c r="L668">
        <v>3.61</v>
      </c>
      <c r="M668">
        <v>5</v>
      </c>
      <c r="N668" t="s">
        <v>56</v>
      </c>
      <c r="O668" t="s">
        <v>57</v>
      </c>
      <c r="P668" t="b">
        <v>1</v>
      </c>
      <c r="Q668" t="b">
        <v>1</v>
      </c>
      <c r="R668" t="b">
        <v>0</v>
      </c>
      <c r="S668" t="b">
        <v>1</v>
      </c>
      <c r="T668" t="b">
        <v>0</v>
      </c>
      <c r="U668">
        <v>0.4</v>
      </c>
      <c r="V668">
        <v>6.6</v>
      </c>
      <c r="W668">
        <v>2</v>
      </c>
      <c r="X668">
        <v>7.5</v>
      </c>
      <c r="Y668">
        <v>117.79</v>
      </c>
      <c r="Z668">
        <v>8</v>
      </c>
      <c r="AA668" t="s">
        <v>58</v>
      </c>
    </row>
    <row r="669" spans="1:27" x14ac:dyDescent="0.3">
      <c r="A669" t="s">
        <v>760</v>
      </c>
      <c r="B669">
        <v>15</v>
      </c>
      <c r="C669" t="s">
        <v>28</v>
      </c>
      <c r="D669">
        <v>6.5</v>
      </c>
      <c r="E669" t="s">
        <v>76</v>
      </c>
      <c r="F669" t="s">
        <v>110</v>
      </c>
      <c r="G669" t="s">
        <v>86</v>
      </c>
      <c r="H669">
        <v>4.7</v>
      </c>
      <c r="I669" t="s">
        <v>32</v>
      </c>
      <c r="J669" t="s">
        <v>74</v>
      </c>
      <c r="K669" t="s">
        <v>43</v>
      </c>
      <c r="L669">
        <v>3.57</v>
      </c>
      <c r="N669" t="s">
        <v>35</v>
      </c>
      <c r="O669" t="s">
        <v>33</v>
      </c>
      <c r="P669" t="b">
        <v>1</v>
      </c>
      <c r="Q669" t="b">
        <v>0</v>
      </c>
      <c r="R669" t="b">
        <v>0</v>
      </c>
      <c r="S669" t="b">
        <v>1</v>
      </c>
      <c r="T669" t="b">
        <v>0</v>
      </c>
      <c r="U669">
        <v>4.2</v>
      </c>
      <c r="V669">
        <v>5</v>
      </c>
      <c r="W669">
        <v>2</v>
      </c>
      <c r="X669">
        <v>6.9</v>
      </c>
      <c r="Y669">
        <v>109.59</v>
      </c>
      <c r="Z669">
        <v>1</v>
      </c>
      <c r="AA669" t="s">
        <v>64</v>
      </c>
    </row>
    <row r="670" spans="1:27" x14ac:dyDescent="0.3">
      <c r="A670" t="s">
        <v>761</v>
      </c>
      <c r="B670">
        <v>31</v>
      </c>
      <c r="C670" t="s">
        <v>28</v>
      </c>
      <c r="D670">
        <v>1.4</v>
      </c>
      <c r="E670" t="s">
        <v>54</v>
      </c>
      <c r="F670" t="s">
        <v>55</v>
      </c>
      <c r="G670" t="s">
        <v>71</v>
      </c>
      <c r="H670">
        <v>8.8000000000000007</v>
      </c>
      <c r="I670" t="s">
        <v>43</v>
      </c>
      <c r="J670" t="s">
        <v>74</v>
      </c>
      <c r="K670" t="s">
        <v>51</v>
      </c>
      <c r="M670">
        <v>1</v>
      </c>
      <c r="N670" t="s">
        <v>44</v>
      </c>
      <c r="O670" t="s">
        <v>36</v>
      </c>
      <c r="P670" t="b">
        <v>0</v>
      </c>
      <c r="Q670" t="b">
        <v>0</v>
      </c>
      <c r="R670" t="b">
        <v>0</v>
      </c>
      <c r="S670" t="b">
        <v>0</v>
      </c>
      <c r="T670" t="b">
        <v>0</v>
      </c>
      <c r="U670">
        <v>0.3</v>
      </c>
      <c r="V670">
        <v>10.5</v>
      </c>
      <c r="W670">
        <v>1</v>
      </c>
      <c r="X670">
        <v>14.6</v>
      </c>
      <c r="Y670">
        <v>24.22</v>
      </c>
      <c r="Z670">
        <v>3</v>
      </c>
      <c r="AA670" t="s">
        <v>46</v>
      </c>
    </row>
    <row r="671" spans="1:27" x14ac:dyDescent="0.3">
      <c r="A671" t="s">
        <v>762</v>
      </c>
      <c r="B671">
        <v>14</v>
      </c>
      <c r="C671" t="s">
        <v>28</v>
      </c>
      <c r="D671">
        <v>8.3000000000000007</v>
      </c>
      <c r="E671" t="s">
        <v>29</v>
      </c>
      <c r="F671" t="s">
        <v>73</v>
      </c>
      <c r="G671" t="s">
        <v>50</v>
      </c>
      <c r="H671">
        <v>6</v>
      </c>
      <c r="I671" t="s">
        <v>32</v>
      </c>
      <c r="J671" t="s">
        <v>74</v>
      </c>
      <c r="K671" t="s">
        <v>51</v>
      </c>
      <c r="L671">
        <v>1.19</v>
      </c>
      <c r="N671" t="s">
        <v>80</v>
      </c>
      <c r="O671" t="s">
        <v>42</v>
      </c>
      <c r="P671" t="b">
        <v>1</v>
      </c>
      <c r="Q671" t="b">
        <v>0</v>
      </c>
      <c r="R671" t="b">
        <v>0</v>
      </c>
      <c r="S671" t="b">
        <v>0</v>
      </c>
      <c r="T671" t="b">
        <v>0</v>
      </c>
      <c r="U671">
        <v>4.4000000000000004</v>
      </c>
      <c r="V671">
        <v>5.5</v>
      </c>
      <c r="W671">
        <v>6</v>
      </c>
      <c r="X671">
        <v>8.1999999999999993</v>
      </c>
      <c r="Y671">
        <v>37.200000000000003</v>
      </c>
      <c r="Z671">
        <v>4</v>
      </c>
      <c r="AA671" t="s">
        <v>64</v>
      </c>
    </row>
    <row r="672" spans="1:27" x14ac:dyDescent="0.3">
      <c r="A672" t="s">
        <v>763</v>
      </c>
      <c r="B672">
        <v>24</v>
      </c>
      <c r="C672" t="s">
        <v>28</v>
      </c>
      <c r="D672">
        <v>9.3000000000000007</v>
      </c>
      <c r="E672" t="s">
        <v>82</v>
      </c>
      <c r="F672" t="s">
        <v>134</v>
      </c>
      <c r="G672" t="s">
        <v>50</v>
      </c>
      <c r="H672">
        <v>4</v>
      </c>
      <c r="I672" t="s">
        <v>41</v>
      </c>
      <c r="J672" t="s">
        <v>36</v>
      </c>
      <c r="K672" t="s">
        <v>51</v>
      </c>
      <c r="M672">
        <v>8</v>
      </c>
      <c r="N672" t="s">
        <v>35</v>
      </c>
      <c r="O672" t="s">
        <v>57</v>
      </c>
      <c r="P672" t="b">
        <v>1</v>
      </c>
      <c r="Q672" t="b">
        <v>1</v>
      </c>
      <c r="R672" t="b">
        <v>1</v>
      </c>
      <c r="S672" t="b">
        <v>1</v>
      </c>
      <c r="T672" t="b">
        <v>0</v>
      </c>
      <c r="U672">
        <v>4.3</v>
      </c>
      <c r="V672">
        <v>6.6</v>
      </c>
      <c r="W672">
        <v>6</v>
      </c>
      <c r="X672">
        <v>3.2</v>
      </c>
      <c r="Y672">
        <v>170.31</v>
      </c>
      <c r="Z672">
        <v>12</v>
      </c>
      <c r="AA672" t="s">
        <v>37</v>
      </c>
    </row>
    <row r="673" spans="1:27" x14ac:dyDescent="0.3">
      <c r="A673" t="s">
        <v>764</v>
      </c>
      <c r="B673">
        <v>19</v>
      </c>
      <c r="C673" t="s">
        <v>28</v>
      </c>
      <c r="D673">
        <v>4</v>
      </c>
      <c r="E673" t="s">
        <v>54</v>
      </c>
      <c r="F673" t="s">
        <v>55</v>
      </c>
      <c r="G673" t="s">
        <v>71</v>
      </c>
      <c r="H673">
        <v>6.9</v>
      </c>
      <c r="I673" t="s">
        <v>51</v>
      </c>
      <c r="J673" t="s">
        <v>74</v>
      </c>
      <c r="K673" t="s">
        <v>84</v>
      </c>
      <c r="L673">
        <v>3.33</v>
      </c>
      <c r="M673">
        <v>3</v>
      </c>
      <c r="N673" t="s">
        <v>44</v>
      </c>
      <c r="O673" t="s">
        <v>57</v>
      </c>
      <c r="P673" t="b">
        <v>0</v>
      </c>
      <c r="Q673" t="b">
        <v>0</v>
      </c>
      <c r="R673" t="b">
        <v>0</v>
      </c>
      <c r="S673" t="b">
        <v>0</v>
      </c>
      <c r="T673" t="b">
        <v>0</v>
      </c>
      <c r="U673">
        <v>1.1000000000000001</v>
      </c>
      <c r="V673">
        <v>9.1</v>
      </c>
      <c r="W673">
        <v>1</v>
      </c>
      <c r="X673">
        <v>11.4</v>
      </c>
      <c r="Y673">
        <v>29.01</v>
      </c>
      <c r="Z673">
        <v>9</v>
      </c>
      <c r="AA673" t="s">
        <v>46</v>
      </c>
    </row>
    <row r="674" spans="1:27" x14ac:dyDescent="0.3">
      <c r="A674" t="s">
        <v>765</v>
      </c>
      <c r="B674">
        <v>15</v>
      </c>
      <c r="C674" t="s">
        <v>28</v>
      </c>
      <c r="D674">
        <v>8</v>
      </c>
      <c r="E674" t="s">
        <v>76</v>
      </c>
      <c r="F674" t="s">
        <v>110</v>
      </c>
      <c r="G674" t="s">
        <v>50</v>
      </c>
      <c r="H674">
        <v>5.4</v>
      </c>
      <c r="I674" t="s">
        <v>32</v>
      </c>
      <c r="J674" t="s">
        <v>45</v>
      </c>
      <c r="K674" t="s">
        <v>51</v>
      </c>
      <c r="L674">
        <v>2.83</v>
      </c>
      <c r="N674" t="s">
        <v>105</v>
      </c>
      <c r="O674" t="s">
        <v>42</v>
      </c>
      <c r="P674" t="b">
        <v>1</v>
      </c>
      <c r="Q674" t="b">
        <v>0</v>
      </c>
      <c r="R674" t="b">
        <v>1</v>
      </c>
      <c r="S674" t="b">
        <v>1</v>
      </c>
      <c r="T674" t="b">
        <v>1</v>
      </c>
      <c r="U674">
        <v>4</v>
      </c>
      <c r="V674">
        <v>6.3</v>
      </c>
      <c r="W674">
        <v>5</v>
      </c>
      <c r="X674">
        <v>7.3</v>
      </c>
      <c r="Y674">
        <v>80.45</v>
      </c>
      <c r="Z674">
        <v>4</v>
      </c>
      <c r="AA674" t="s">
        <v>58</v>
      </c>
    </row>
    <row r="675" spans="1:27" x14ac:dyDescent="0.3">
      <c r="A675" t="s">
        <v>766</v>
      </c>
      <c r="B675">
        <v>26</v>
      </c>
      <c r="C675" t="s">
        <v>28</v>
      </c>
      <c r="D675">
        <v>6</v>
      </c>
      <c r="E675" t="s">
        <v>82</v>
      </c>
      <c r="F675" t="s">
        <v>167</v>
      </c>
      <c r="G675" t="s">
        <v>31</v>
      </c>
      <c r="H675">
        <v>6</v>
      </c>
      <c r="I675" t="s">
        <v>51</v>
      </c>
      <c r="J675" t="s">
        <v>74</v>
      </c>
      <c r="K675" t="s">
        <v>51</v>
      </c>
      <c r="M675">
        <v>7</v>
      </c>
      <c r="N675" t="s">
        <v>35</v>
      </c>
      <c r="O675" t="s">
        <v>36</v>
      </c>
      <c r="P675" t="b">
        <v>0</v>
      </c>
      <c r="Q675" t="b">
        <v>1</v>
      </c>
      <c r="R675" t="b">
        <v>0</v>
      </c>
      <c r="S675" t="b">
        <v>1</v>
      </c>
      <c r="T675" t="b">
        <v>1</v>
      </c>
      <c r="U675">
        <v>1.6</v>
      </c>
      <c r="V675">
        <v>6.2</v>
      </c>
      <c r="W675">
        <v>4</v>
      </c>
      <c r="X675">
        <v>7.9</v>
      </c>
      <c r="Y675">
        <v>24.29</v>
      </c>
      <c r="Z675">
        <v>14</v>
      </c>
      <c r="AA675" t="s">
        <v>64</v>
      </c>
    </row>
    <row r="676" spans="1:27" x14ac:dyDescent="0.3">
      <c r="A676" t="s">
        <v>767</v>
      </c>
      <c r="B676">
        <v>33</v>
      </c>
      <c r="C676" t="s">
        <v>28</v>
      </c>
      <c r="D676">
        <v>4.2</v>
      </c>
      <c r="E676" t="s">
        <v>76</v>
      </c>
      <c r="F676" t="s">
        <v>110</v>
      </c>
      <c r="G676" t="s">
        <v>31</v>
      </c>
      <c r="H676">
        <v>5.9</v>
      </c>
      <c r="I676" t="s">
        <v>41</v>
      </c>
      <c r="J676" t="s">
        <v>33</v>
      </c>
      <c r="K676" t="s">
        <v>84</v>
      </c>
      <c r="M676">
        <v>7</v>
      </c>
      <c r="N676" t="s">
        <v>66</v>
      </c>
      <c r="O676" t="s">
        <v>42</v>
      </c>
      <c r="P676" t="b">
        <v>0</v>
      </c>
      <c r="Q676" t="b">
        <v>0</v>
      </c>
      <c r="R676" t="b">
        <v>0</v>
      </c>
      <c r="S676" t="b">
        <v>0</v>
      </c>
      <c r="T676" t="b">
        <v>0</v>
      </c>
      <c r="U676">
        <v>0</v>
      </c>
      <c r="V676">
        <v>6.2</v>
      </c>
      <c r="W676">
        <v>2</v>
      </c>
      <c r="X676">
        <v>10.5</v>
      </c>
      <c r="Y676">
        <v>17.420000000000002</v>
      </c>
      <c r="Z676">
        <v>18</v>
      </c>
      <c r="AA676" t="s">
        <v>46</v>
      </c>
    </row>
    <row r="677" spans="1:27" x14ac:dyDescent="0.3">
      <c r="A677" t="s">
        <v>768</v>
      </c>
      <c r="B677">
        <v>14</v>
      </c>
      <c r="C677" t="s">
        <v>28</v>
      </c>
      <c r="D677">
        <v>4</v>
      </c>
      <c r="E677" t="s">
        <v>29</v>
      </c>
      <c r="F677" t="s">
        <v>73</v>
      </c>
      <c r="G677" t="s">
        <v>86</v>
      </c>
      <c r="H677">
        <v>6.8</v>
      </c>
      <c r="I677" t="s">
        <v>51</v>
      </c>
      <c r="J677" t="s">
        <v>33</v>
      </c>
      <c r="K677" t="s">
        <v>43</v>
      </c>
      <c r="L677">
        <v>1.44</v>
      </c>
      <c r="N677" t="s">
        <v>105</v>
      </c>
      <c r="O677" t="s">
        <v>33</v>
      </c>
      <c r="P677" t="b">
        <v>0</v>
      </c>
      <c r="Q677" t="b">
        <v>0</v>
      </c>
      <c r="R677" t="b">
        <v>0</v>
      </c>
      <c r="S677" t="b">
        <v>0</v>
      </c>
      <c r="T677" t="b">
        <v>0</v>
      </c>
      <c r="U677">
        <v>1.5</v>
      </c>
      <c r="V677">
        <v>7.8</v>
      </c>
      <c r="W677">
        <v>2</v>
      </c>
      <c r="X677">
        <v>9.6</v>
      </c>
      <c r="Y677">
        <v>15.49</v>
      </c>
      <c r="Z677">
        <v>3</v>
      </c>
      <c r="AA677" t="s">
        <v>46</v>
      </c>
    </row>
    <row r="678" spans="1:27" x14ac:dyDescent="0.3">
      <c r="A678" t="s">
        <v>769</v>
      </c>
      <c r="B678">
        <v>16</v>
      </c>
      <c r="C678" t="s">
        <v>53</v>
      </c>
      <c r="D678">
        <v>6.5</v>
      </c>
      <c r="E678" t="s">
        <v>29</v>
      </c>
      <c r="F678" t="s">
        <v>118</v>
      </c>
      <c r="G678" t="s">
        <v>31</v>
      </c>
      <c r="H678">
        <v>5.6</v>
      </c>
      <c r="I678" t="s">
        <v>78</v>
      </c>
      <c r="J678" t="s">
        <v>74</v>
      </c>
      <c r="K678" t="s">
        <v>34</v>
      </c>
      <c r="L678">
        <v>1.86</v>
      </c>
      <c r="N678" t="s">
        <v>69</v>
      </c>
      <c r="O678" t="s">
        <v>36</v>
      </c>
      <c r="P678" t="b">
        <v>1</v>
      </c>
      <c r="Q678" t="b">
        <v>0</v>
      </c>
      <c r="R678" t="b">
        <v>0</v>
      </c>
      <c r="S678" t="b">
        <v>1</v>
      </c>
      <c r="T678" t="b">
        <v>1</v>
      </c>
      <c r="U678">
        <v>2.2999999999999998</v>
      </c>
      <c r="V678">
        <v>7.1</v>
      </c>
      <c r="W678">
        <v>4</v>
      </c>
      <c r="X678">
        <v>5.9</v>
      </c>
      <c r="Y678">
        <v>83.36</v>
      </c>
      <c r="Z678">
        <v>2</v>
      </c>
      <c r="AA678" t="s">
        <v>64</v>
      </c>
    </row>
    <row r="679" spans="1:27" x14ac:dyDescent="0.3">
      <c r="A679" t="s">
        <v>770</v>
      </c>
      <c r="B679">
        <v>18</v>
      </c>
      <c r="C679" t="s">
        <v>53</v>
      </c>
      <c r="D679">
        <v>8</v>
      </c>
      <c r="E679" t="s">
        <v>54</v>
      </c>
      <c r="F679" t="s">
        <v>98</v>
      </c>
      <c r="G679" t="s">
        <v>86</v>
      </c>
      <c r="H679">
        <v>3.2</v>
      </c>
      <c r="I679" t="s">
        <v>51</v>
      </c>
      <c r="J679" t="s">
        <v>45</v>
      </c>
      <c r="K679" t="s">
        <v>34</v>
      </c>
      <c r="L679">
        <v>3.11</v>
      </c>
      <c r="N679" t="s">
        <v>56</v>
      </c>
      <c r="O679" t="s">
        <v>57</v>
      </c>
      <c r="P679" t="b">
        <v>1</v>
      </c>
      <c r="Q679" t="b">
        <v>1</v>
      </c>
      <c r="R679" t="b">
        <v>0</v>
      </c>
      <c r="S679" t="b">
        <v>1</v>
      </c>
      <c r="T679" t="b">
        <v>0</v>
      </c>
      <c r="U679">
        <v>4.8</v>
      </c>
      <c r="V679">
        <v>5.9</v>
      </c>
      <c r="W679">
        <v>6</v>
      </c>
      <c r="X679">
        <v>3.6</v>
      </c>
      <c r="Y679">
        <v>41.3</v>
      </c>
      <c r="Z679">
        <v>7</v>
      </c>
      <c r="AA679" t="s">
        <v>58</v>
      </c>
    </row>
    <row r="680" spans="1:27" x14ac:dyDescent="0.3">
      <c r="A680" t="s">
        <v>771</v>
      </c>
      <c r="B680">
        <v>18</v>
      </c>
      <c r="C680" t="s">
        <v>28</v>
      </c>
      <c r="D680">
        <v>3.5</v>
      </c>
      <c r="E680" t="s">
        <v>82</v>
      </c>
      <c r="F680" t="s">
        <v>167</v>
      </c>
      <c r="G680" t="s">
        <v>86</v>
      </c>
      <c r="H680">
        <v>8.8000000000000007</v>
      </c>
      <c r="I680" t="s">
        <v>41</v>
      </c>
      <c r="J680" t="s">
        <v>33</v>
      </c>
      <c r="K680" t="s">
        <v>34</v>
      </c>
      <c r="L680">
        <v>2.0099999999999998</v>
      </c>
      <c r="N680" t="s">
        <v>35</v>
      </c>
      <c r="O680" t="s">
        <v>57</v>
      </c>
      <c r="P680" t="b">
        <v>0</v>
      </c>
      <c r="Q680" t="b">
        <v>0</v>
      </c>
      <c r="R680" t="b">
        <v>0</v>
      </c>
      <c r="S680" t="b">
        <v>0</v>
      </c>
      <c r="T680" t="b">
        <v>0</v>
      </c>
      <c r="U680">
        <v>0.4</v>
      </c>
      <c r="V680">
        <v>7.5</v>
      </c>
      <c r="W680">
        <v>1</v>
      </c>
      <c r="X680">
        <v>11.2</v>
      </c>
      <c r="Y680">
        <v>24.33</v>
      </c>
      <c r="Z680">
        <v>5</v>
      </c>
      <c r="AA680" t="s">
        <v>46</v>
      </c>
    </row>
    <row r="681" spans="1:27" x14ac:dyDescent="0.3">
      <c r="A681" t="s">
        <v>772</v>
      </c>
      <c r="B681">
        <v>15</v>
      </c>
      <c r="C681" t="s">
        <v>53</v>
      </c>
      <c r="D681">
        <v>6.4</v>
      </c>
      <c r="E681" t="s">
        <v>29</v>
      </c>
      <c r="F681" t="s">
        <v>30</v>
      </c>
      <c r="G681" t="s">
        <v>31</v>
      </c>
      <c r="H681">
        <v>5.7</v>
      </c>
      <c r="I681" t="s">
        <v>51</v>
      </c>
      <c r="J681" t="s">
        <v>45</v>
      </c>
      <c r="K681" t="s">
        <v>62</v>
      </c>
      <c r="L681">
        <v>1.46</v>
      </c>
      <c r="N681" t="s">
        <v>80</v>
      </c>
      <c r="O681" t="s">
        <v>57</v>
      </c>
      <c r="P681" t="b">
        <v>0</v>
      </c>
      <c r="Q681" t="b">
        <v>0</v>
      </c>
      <c r="R681" t="b">
        <v>0</v>
      </c>
      <c r="S681" t="b">
        <v>0</v>
      </c>
      <c r="T681" t="b">
        <v>1</v>
      </c>
      <c r="U681">
        <v>0.9</v>
      </c>
      <c r="V681">
        <v>5.0999999999999996</v>
      </c>
      <c r="W681">
        <v>5</v>
      </c>
      <c r="X681">
        <v>5.5</v>
      </c>
      <c r="Y681">
        <v>84.7</v>
      </c>
      <c r="Z681">
        <v>2</v>
      </c>
      <c r="AA681" t="s">
        <v>46</v>
      </c>
    </row>
    <row r="682" spans="1:27" x14ac:dyDescent="0.3">
      <c r="A682" t="s">
        <v>773</v>
      </c>
      <c r="B682">
        <v>19</v>
      </c>
      <c r="C682" t="s">
        <v>28</v>
      </c>
      <c r="D682">
        <v>8.1999999999999993</v>
      </c>
      <c r="E682" t="s">
        <v>48</v>
      </c>
      <c r="F682" t="s">
        <v>128</v>
      </c>
      <c r="G682" t="s">
        <v>86</v>
      </c>
      <c r="H682">
        <v>4</v>
      </c>
      <c r="I682" t="s">
        <v>51</v>
      </c>
      <c r="J682" t="s">
        <v>33</v>
      </c>
      <c r="K682" t="s">
        <v>34</v>
      </c>
      <c r="L682">
        <v>1.1000000000000001</v>
      </c>
      <c r="M682">
        <v>4</v>
      </c>
      <c r="N682" t="s">
        <v>69</v>
      </c>
      <c r="O682" t="s">
        <v>45</v>
      </c>
      <c r="P682" t="b">
        <v>0</v>
      </c>
      <c r="Q682" t="b">
        <v>0</v>
      </c>
      <c r="R682" t="b">
        <v>1</v>
      </c>
      <c r="S682" t="b">
        <v>0</v>
      </c>
      <c r="T682" t="b">
        <v>1</v>
      </c>
      <c r="U682">
        <v>1.1000000000000001</v>
      </c>
      <c r="V682">
        <v>5.2</v>
      </c>
      <c r="W682">
        <v>4</v>
      </c>
      <c r="X682">
        <v>4.5</v>
      </c>
      <c r="Y682">
        <v>41.81</v>
      </c>
      <c r="Z682">
        <v>1</v>
      </c>
      <c r="AA682" t="s">
        <v>64</v>
      </c>
    </row>
    <row r="683" spans="1:27" x14ac:dyDescent="0.3">
      <c r="A683" t="s">
        <v>774</v>
      </c>
      <c r="B683">
        <v>15</v>
      </c>
      <c r="C683" t="s">
        <v>28</v>
      </c>
      <c r="D683">
        <v>0.7</v>
      </c>
      <c r="E683" t="s">
        <v>39</v>
      </c>
      <c r="F683" t="s">
        <v>40</v>
      </c>
      <c r="G683" t="s">
        <v>31</v>
      </c>
      <c r="H683">
        <v>7.5</v>
      </c>
      <c r="I683" t="s">
        <v>43</v>
      </c>
      <c r="J683" t="s">
        <v>45</v>
      </c>
      <c r="K683" t="s">
        <v>43</v>
      </c>
      <c r="L683">
        <v>3.68</v>
      </c>
      <c r="N683" t="s">
        <v>66</v>
      </c>
      <c r="O683" t="s">
        <v>33</v>
      </c>
      <c r="P683" t="b">
        <v>0</v>
      </c>
      <c r="Q683" t="b">
        <v>0</v>
      </c>
      <c r="R683" t="b">
        <v>0</v>
      </c>
      <c r="S683" t="b">
        <v>0</v>
      </c>
      <c r="T683" t="b">
        <v>0</v>
      </c>
      <c r="U683">
        <v>0</v>
      </c>
      <c r="V683">
        <v>10.6</v>
      </c>
      <c r="W683">
        <v>1</v>
      </c>
      <c r="X683">
        <v>16.5</v>
      </c>
      <c r="Y683">
        <v>15.58</v>
      </c>
      <c r="Z683">
        <v>2</v>
      </c>
      <c r="AA683" t="s">
        <v>46</v>
      </c>
    </row>
    <row r="684" spans="1:27" x14ac:dyDescent="0.3">
      <c r="A684" t="s">
        <v>775</v>
      </c>
      <c r="B684">
        <v>17</v>
      </c>
      <c r="C684" t="s">
        <v>53</v>
      </c>
      <c r="D684">
        <v>3.7</v>
      </c>
      <c r="E684" t="s">
        <v>54</v>
      </c>
      <c r="F684" t="s">
        <v>55</v>
      </c>
      <c r="G684" t="s">
        <v>31</v>
      </c>
      <c r="H684">
        <v>5.6</v>
      </c>
      <c r="I684" t="s">
        <v>32</v>
      </c>
      <c r="J684" t="s">
        <v>45</v>
      </c>
      <c r="K684" t="s">
        <v>62</v>
      </c>
      <c r="L684">
        <v>1.27</v>
      </c>
      <c r="N684" t="s">
        <v>63</v>
      </c>
      <c r="O684" t="s">
        <v>45</v>
      </c>
      <c r="P684" t="b">
        <v>0</v>
      </c>
      <c r="Q684" t="b">
        <v>0</v>
      </c>
      <c r="R684" t="b">
        <v>0</v>
      </c>
      <c r="S684" t="b">
        <v>0</v>
      </c>
      <c r="T684" t="b">
        <v>0</v>
      </c>
      <c r="U684">
        <v>0.7</v>
      </c>
      <c r="V684">
        <v>9.6999999999999993</v>
      </c>
      <c r="W684">
        <v>3</v>
      </c>
      <c r="X684">
        <v>10.9</v>
      </c>
      <c r="Y684">
        <v>23.73</v>
      </c>
      <c r="Z684">
        <v>1</v>
      </c>
      <c r="AA684" t="s">
        <v>46</v>
      </c>
    </row>
    <row r="685" spans="1:27" x14ac:dyDescent="0.3">
      <c r="A685" t="s">
        <v>776</v>
      </c>
      <c r="B685">
        <v>20</v>
      </c>
      <c r="C685" t="s">
        <v>53</v>
      </c>
      <c r="D685">
        <v>2</v>
      </c>
      <c r="E685" t="s">
        <v>39</v>
      </c>
      <c r="F685" t="s">
        <v>40</v>
      </c>
      <c r="G685" t="s">
        <v>86</v>
      </c>
      <c r="H685">
        <v>7.9</v>
      </c>
      <c r="I685" t="s">
        <v>43</v>
      </c>
      <c r="J685" t="s">
        <v>74</v>
      </c>
      <c r="K685" t="s">
        <v>62</v>
      </c>
      <c r="L685">
        <v>3.82</v>
      </c>
      <c r="M685">
        <v>4</v>
      </c>
      <c r="N685" t="s">
        <v>66</v>
      </c>
      <c r="O685" t="s">
        <v>42</v>
      </c>
      <c r="P685" t="b">
        <v>0</v>
      </c>
      <c r="Q685" t="b">
        <v>0</v>
      </c>
      <c r="R685" t="b">
        <v>0</v>
      </c>
      <c r="S685" t="b">
        <v>0</v>
      </c>
      <c r="T685" t="b">
        <v>0</v>
      </c>
      <c r="U685">
        <v>0.7</v>
      </c>
      <c r="V685">
        <v>10.4</v>
      </c>
      <c r="W685">
        <v>2</v>
      </c>
      <c r="X685">
        <v>12.2</v>
      </c>
      <c r="Y685">
        <v>10.61</v>
      </c>
      <c r="Z685">
        <v>10</v>
      </c>
      <c r="AA685" t="s">
        <v>46</v>
      </c>
    </row>
    <row r="686" spans="1:27" x14ac:dyDescent="0.3">
      <c r="A686" t="s">
        <v>777</v>
      </c>
      <c r="B686">
        <v>23</v>
      </c>
      <c r="C686" t="s">
        <v>53</v>
      </c>
      <c r="D686">
        <v>9.6999999999999993</v>
      </c>
      <c r="E686" t="s">
        <v>48</v>
      </c>
      <c r="F686" t="s">
        <v>68</v>
      </c>
      <c r="G686" t="s">
        <v>50</v>
      </c>
      <c r="H686">
        <v>5.7</v>
      </c>
      <c r="I686" t="s">
        <v>32</v>
      </c>
      <c r="J686" t="s">
        <v>74</v>
      </c>
      <c r="K686" t="s">
        <v>34</v>
      </c>
      <c r="M686">
        <v>3</v>
      </c>
      <c r="N686" t="s">
        <v>66</v>
      </c>
      <c r="O686" t="s">
        <v>33</v>
      </c>
      <c r="P686" t="b">
        <v>0</v>
      </c>
      <c r="Q686" t="b">
        <v>0</v>
      </c>
      <c r="R686" t="b">
        <v>1</v>
      </c>
      <c r="S686" t="b">
        <v>1</v>
      </c>
      <c r="T686" t="b">
        <v>0</v>
      </c>
      <c r="U686">
        <v>1</v>
      </c>
      <c r="V686">
        <v>3.2</v>
      </c>
      <c r="W686">
        <v>6</v>
      </c>
      <c r="X686">
        <v>3.1</v>
      </c>
      <c r="Y686">
        <v>118.63</v>
      </c>
      <c r="Z686">
        <v>11</v>
      </c>
      <c r="AA686" t="s">
        <v>58</v>
      </c>
    </row>
    <row r="687" spans="1:27" x14ac:dyDescent="0.3">
      <c r="A687" t="s">
        <v>778</v>
      </c>
      <c r="B687">
        <v>15</v>
      </c>
      <c r="C687" t="s">
        <v>53</v>
      </c>
      <c r="D687">
        <v>4.3</v>
      </c>
      <c r="E687" t="s">
        <v>29</v>
      </c>
      <c r="F687" t="s">
        <v>30</v>
      </c>
      <c r="G687" t="s">
        <v>50</v>
      </c>
      <c r="H687">
        <v>5</v>
      </c>
      <c r="I687" t="s">
        <v>51</v>
      </c>
      <c r="J687" t="s">
        <v>36</v>
      </c>
      <c r="K687" t="s">
        <v>51</v>
      </c>
      <c r="L687">
        <v>3.12</v>
      </c>
      <c r="N687" t="s">
        <v>63</v>
      </c>
      <c r="O687" t="s">
        <v>42</v>
      </c>
      <c r="P687" t="b">
        <v>0</v>
      </c>
      <c r="Q687" t="b">
        <v>0</v>
      </c>
      <c r="R687" t="b">
        <v>0</v>
      </c>
      <c r="S687" t="b">
        <v>0</v>
      </c>
      <c r="T687" t="b">
        <v>0</v>
      </c>
      <c r="U687">
        <v>0.4</v>
      </c>
      <c r="V687">
        <v>7.6</v>
      </c>
      <c r="W687">
        <v>4</v>
      </c>
      <c r="X687">
        <v>8.6</v>
      </c>
      <c r="Y687">
        <v>8.15</v>
      </c>
      <c r="Z687">
        <v>2</v>
      </c>
      <c r="AA687" t="s">
        <v>46</v>
      </c>
    </row>
    <row r="688" spans="1:27" x14ac:dyDescent="0.3">
      <c r="A688" t="s">
        <v>779</v>
      </c>
      <c r="B688">
        <v>22</v>
      </c>
      <c r="C688" t="s">
        <v>28</v>
      </c>
      <c r="D688">
        <v>3.5</v>
      </c>
      <c r="E688" t="s">
        <v>48</v>
      </c>
      <c r="F688" t="s">
        <v>49</v>
      </c>
      <c r="G688" t="s">
        <v>71</v>
      </c>
      <c r="H688">
        <v>8.9</v>
      </c>
      <c r="I688" t="s">
        <v>43</v>
      </c>
      <c r="J688" t="s">
        <v>74</v>
      </c>
      <c r="K688" t="s">
        <v>62</v>
      </c>
      <c r="L688">
        <v>2.17</v>
      </c>
      <c r="M688">
        <v>8</v>
      </c>
      <c r="N688" t="s">
        <v>66</v>
      </c>
      <c r="O688" t="s">
        <v>57</v>
      </c>
      <c r="P688" t="b">
        <v>0</v>
      </c>
      <c r="Q688" t="b">
        <v>0</v>
      </c>
      <c r="R688" t="b">
        <v>0</v>
      </c>
      <c r="S688" t="b">
        <v>0</v>
      </c>
      <c r="T688" t="b">
        <v>0</v>
      </c>
      <c r="U688">
        <v>0.2</v>
      </c>
      <c r="V688">
        <v>8.1</v>
      </c>
      <c r="W688">
        <v>1</v>
      </c>
      <c r="X688">
        <v>8.6</v>
      </c>
      <c r="Y688">
        <v>44.2</v>
      </c>
      <c r="Z688">
        <v>3</v>
      </c>
      <c r="AA688" t="s">
        <v>46</v>
      </c>
    </row>
    <row r="689" spans="1:27" x14ac:dyDescent="0.3">
      <c r="A689" t="s">
        <v>780</v>
      </c>
      <c r="B689">
        <v>19</v>
      </c>
      <c r="C689" t="s">
        <v>53</v>
      </c>
      <c r="D689">
        <v>12.3</v>
      </c>
      <c r="E689" t="s">
        <v>48</v>
      </c>
      <c r="F689" t="s">
        <v>128</v>
      </c>
      <c r="G689" t="s">
        <v>31</v>
      </c>
      <c r="H689">
        <v>3.5</v>
      </c>
      <c r="I689" t="s">
        <v>41</v>
      </c>
      <c r="J689" t="s">
        <v>33</v>
      </c>
      <c r="K689" t="s">
        <v>51</v>
      </c>
      <c r="L689">
        <v>2.5499999999999998</v>
      </c>
      <c r="M689">
        <v>2</v>
      </c>
      <c r="N689" t="s">
        <v>80</v>
      </c>
      <c r="O689" t="s">
        <v>36</v>
      </c>
      <c r="P689" t="b">
        <v>1</v>
      </c>
      <c r="Q689" t="b">
        <v>1</v>
      </c>
      <c r="R689" t="b">
        <v>0</v>
      </c>
      <c r="S689" t="b">
        <v>0</v>
      </c>
      <c r="T689" t="b">
        <v>1</v>
      </c>
      <c r="U689">
        <v>1.6</v>
      </c>
      <c r="V689">
        <v>4.4000000000000004</v>
      </c>
      <c r="W689">
        <v>9</v>
      </c>
      <c r="X689">
        <v>1.6</v>
      </c>
      <c r="Y689">
        <v>413.29</v>
      </c>
      <c r="Z689">
        <v>9</v>
      </c>
      <c r="AA689" t="s">
        <v>37</v>
      </c>
    </row>
    <row r="690" spans="1:27" x14ac:dyDescent="0.3">
      <c r="A690" t="s">
        <v>781</v>
      </c>
      <c r="B690">
        <v>16</v>
      </c>
      <c r="C690" t="s">
        <v>28</v>
      </c>
      <c r="D690">
        <v>3.8</v>
      </c>
      <c r="E690" t="s">
        <v>48</v>
      </c>
      <c r="F690" t="s">
        <v>49</v>
      </c>
      <c r="G690" t="s">
        <v>86</v>
      </c>
      <c r="H690">
        <v>5</v>
      </c>
      <c r="I690" t="s">
        <v>51</v>
      </c>
      <c r="J690" t="s">
        <v>42</v>
      </c>
      <c r="K690" t="s">
        <v>43</v>
      </c>
      <c r="L690">
        <v>1.68</v>
      </c>
      <c r="N690" t="s">
        <v>121</v>
      </c>
      <c r="O690" t="s">
        <v>33</v>
      </c>
      <c r="P690" t="b">
        <v>0</v>
      </c>
      <c r="Q690" t="b">
        <v>0</v>
      </c>
      <c r="R690" t="b">
        <v>0</v>
      </c>
      <c r="S690" t="b">
        <v>0</v>
      </c>
      <c r="T690" t="b">
        <v>0</v>
      </c>
      <c r="U690">
        <v>0.4</v>
      </c>
      <c r="V690">
        <v>9.1999999999999993</v>
      </c>
      <c r="W690">
        <v>2</v>
      </c>
      <c r="X690">
        <v>9.8000000000000007</v>
      </c>
      <c r="Y690">
        <v>34.33</v>
      </c>
      <c r="Z690">
        <v>4</v>
      </c>
      <c r="AA690" t="s">
        <v>46</v>
      </c>
    </row>
    <row r="691" spans="1:27" x14ac:dyDescent="0.3">
      <c r="A691" t="s">
        <v>782</v>
      </c>
      <c r="B691">
        <v>16</v>
      </c>
      <c r="C691" t="s">
        <v>28</v>
      </c>
      <c r="D691">
        <v>10.9</v>
      </c>
      <c r="E691" t="s">
        <v>54</v>
      </c>
      <c r="F691" t="s">
        <v>98</v>
      </c>
      <c r="G691" t="s">
        <v>71</v>
      </c>
      <c r="H691">
        <v>5.3</v>
      </c>
      <c r="I691" t="s">
        <v>51</v>
      </c>
      <c r="J691" t="s">
        <v>36</v>
      </c>
      <c r="K691" t="s">
        <v>34</v>
      </c>
      <c r="L691">
        <v>1.71</v>
      </c>
      <c r="N691" t="s">
        <v>105</v>
      </c>
      <c r="O691" t="s">
        <v>45</v>
      </c>
      <c r="P691" t="b">
        <v>1</v>
      </c>
      <c r="Q691" t="b">
        <v>1</v>
      </c>
      <c r="R691" t="b">
        <v>0</v>
      </c>
      <c r="S691" t="b">
        <v>0</v>
      </c>
      <c r="T691" t="b">
        <v>1</v>
      </c>
      <c r="U691">
        <v>5</v>
      </c>
      <c r="V691">
        <v>5.9</v>
      </c>
      <c r="W691">
        <v>9</v>
      </c>
      <c r="X691">
        <v>0</v>
      </c>
      <c r="Y691">
        <v>52.19</v>
      </c>
      <c r="Z691">
        <v>2</v>
      </c>
      <c r="AA691" t="s">
        <v>37</v>
      </c>
    </row>
    <row r="692" spans="1:27" x14ac:dyDescent="0.3">
      <c r="A692" t="s">
        <v>783</v>
      </c>
      <c r="B692">
        <v>26</v>
      </c>
      <c r="C692" t="s">
        <v>28</v>
      </c>
      <c r="D692">
        <v>4.8</v>
      </c>
      <c r="E692" t="s">
        <v>48</v>
      </c>
      <c r="F692" t="s">
        <v>128</v>
      </c>
      <c r="G692" t="s">
        <v>50</v>
      </c>
      <c r="H692">
        <v>6.3</v>
      </c>
      <c r="I692" t="s">
        <v>43</v>
      </c>
      <c r="J692" t="s">
        <v>42</v>
      </c>
      <c r="K692" t="s">
        <v>62</v>
      </c>
      <c r="M692">
        <v>10</v>
      </c>
      <c r="N692" t="s">
        <v>35</v>
      </c>
      <c r="O692" t="s">
        <v>33</v>
      </c>
      <c r="P692" t="b">
        <v>0</v>
      </c>
      <c r="Q692" t="b">
        <v>0</v>
      </c>
      <c r="R692" t="b">
        <v>0</v>
      </c>
      <c r="S692" t="b">
        <v>1</v>
      </c>
      <c r="T692" t="b">
        <v>0</v>
      </c>
      <c r="U692">
        <v>2.2999999999999998</v>
      </c>
      <c r="V692">
        <v>9.1999999999999993</v>
      </c>
      <c r="W692">
        <v>4</v>
      </c>
      <c r="X692">
        <v>6.6</v>
      </c>
      <c r="Y692">
        <v>107.55</v>
      </c>
      <c r="Z692">
        <v>3</v>
      </c>
      <c r="AA692" t="s">
        <v>46</v>
      </c>
    </row>
    <row r="693" spans="1:27" x14ac:dyDescent="0.3">
      <c r="A693" t="s">
        <v>784</v>
      </c>
      <c r="B693">
        <v>23</v>
      </c>
      <c r="C693" t="s">
        <v>28</v>
      </c>
      <c r="D693">
        <v>3.8</v>
      </c>
      <c r="E693" t="s">
        <v>54</v>
      </c>
      <c r="F693" t="s">
        <v>55</v>
      </c>
      <c r="G693" t="s">
        <v>31</v>
      </c>
      <c r="H693">
        <v>5.5</v>
      </c>
      <c r="I693" t="s">
        <v>51</v>
      </c>
      <c r="J693" t="s">
        <v>42</v>
      </c>
      <c r="K693" t="s">
        <v>129</v>
      </c>
      <c r="M693">
        <v>1</v>
      </c>
      <c r="N693" t="s">
        <v>121</v>
      </c>
      <c r="O693" t="s">
        <v>33</v>
      </c>
      <c r="P693" t="b">
        <v>0</v>
      </c>
      <c r="Q693" t="b">
        <v>0</v>
      </c>
      <c r="R693" t="b">
        <v>0</v>
      </c>
      <c r="S693" t="b">
        <v>0</v>
      </c>
      <c r="T693" t="b">
        <v>0</v>
      </c>
      <c r="U693">
        <v>0.9</v>
      </c>
      <c r="V693">
        <v>7.5</v>
      </c>
      <c r="W693">
        <v>3</v>
      </c>
      <c r="X693">
        <v>10.6</v>
      </c>
      <c r="Y693">
        <v>32.76</v>
      </c>
      <c r="Z693">
        <v>10</v>
      </c>
      <c r="AA693" t="s">
        <v>46</v>
      </c>
    </row>
    <row r="694" spans="1:27" x14ac:dyDescent="0.3">
      <c r="A694" t="s">
        <v>785</v>
      </c>
      <c r="B694">
        <v>19</v>
      </c>
      <c r="C694" t="s">
        <v>28</v>
      </c>
      <c r="D694">
        <v>12.5</v>
      </c>
      <c r="E694" t="s">
        <v>48</v>
      </c>
      <c r="F694" t="s">
        <v>49</v>
      </c>
      <c r="G694" t="s">
        <v>50</v>
      </c>
      <c r="H694">
        <v>5.7</v>
      </c>
      <c r="I694" t="s">
        <v>78</v>
      </c>
      <c r="J694" t="s">
        <v>42</v>
      </c>
      <c r="K694" t="s">
        <v>62</v>
      </c>
      <c r="L694">
        <v>1.55</v>
      </c>
      <c r="M694">
        <v>3</v>
      </c>
      <c r="N694" t="s">
        <v>44</v>
      </c>
      <c r="O694" t="s">
        <v>57</v>
      </c>
      <c r="P694" t="b">
        <v>0</v>
      </c>
      <c r="Q694" t="b">
        <v>0</v>
      </c>
      <c r="R694" t="b">
        <v>0</v>
      </c>
      <c r="S694" t="b">
        <v>1</v>
      </c>
      <c r="T694" t="b">
        <v>1</v>
      </c>
      <c r="U694">
        <v>1.3</v>
      </c>
      <c r="V694">
        <v>2.4</v>
      </c>
      <c r="W694">
        <v>9</v>
      </c>
      <c r="X694">
        <v>0</v>
      </c>
      <c r="Y694">
        <v>376.05</v>
      </c>
      <c r="Z694">
        <v>6</v>
      </c>
      <c r="AA694" t="s">
        <v>64</v>
      </c>
    </row>
    <row r="695" spans="1:27" x14ac:dyDescent="0.3">
      <c r="A695" t="s">
        <v>786</v>
      </c>
      <c r="B695">
        <v>22</v>
      </c>
      <c r="C695" t="s">
        <v>152</v>
      </c>
      <c r="D695">
        <v>4.4000000000000004</v>
      </c>
      <c r="E695" t="s">
        <v>60</v>
      </c>
      <c r="F695" t="s">
        <v>96</v>
      </c>
      <c r="G695" t="s">
        <v>71</v>
      </c>
      <c r="H695">
        <v>6.6</v>
      </c>
      <c r="I695" t="s">
        <v>51</v>
      </c>
      <c r="J695" t="s">
        <v>45</v>
      </c>
      <c r="K695" t="s">
        <v>34</v>
      </c>
      <c r="L695">
        <v>1.66</v>
      </c>
      <c r="M695">
        <v>9</v>
      </c>
      <c r="N695" t="s">
        <v>63</v>
      </c>
      <c r="O695" t="s">
        <v>57</v>
      </c>
      <c r="P695" t="b">
        <v>0</v>
      </c>
      <c r="Q695" t="b">
        <v>0</v>
      </c>
      <c r="R695" t="b">
        <v>0</v>
      </c>
      <c r="S695" t="b">
        <v>0</v>
      </c>
      <c r="T695" t="b">
        <v>0</v>
      </c>
      <c r="U695">
        <v>0.1</v>
      </c>
      <c r="V695">
        <v>6.4</v>
      </c>
      <c r="W695">
        <v>2</v>
      </c>
      <c r="X695">
        <v>10.199999999999999</v>
      </c>
      <c r="Y695">
        <v>17.3</v>
      </c>
      <c r="Z695">
        <v>4</v>
      </c>
      <c r="AA695" t="s">
        <v>46</v>
      </c>
    </row>
    <row r="696" spans="1:27" x14ac:dyDescent="0.3">
      <c r="A696" t="s">
        <v>787</v>
      </c>
      <c r="B696">
        <v>16</v>
      </c>
      <c r="C696" t="s">
        <v>28</v>
      </c>
      <c r="D696">
        <v>11.4</v>
      </c>
      <c r="E696" t="s">
        <v>82</v>
      </c>
      <c r="F696" t="s">
        <v>134</v>
      </c>
      <c r="G696" t="s">
        <v>71</v>
      </c>
      <c r="H696">
        <v>3.3</v>
      </c>
      <c r="I696" t="s">
        <v>51</v>
      </c>
      <c r="J696" t="s">
        <v>45</v>
      </c>
      <c r="K696" t="s">
        <v>51</v>
      </c>
      <c r="L696">
        <v>1.49</v>
      </c>
      <c r="N696" t="s">
        <v>69</v>
      </c>
      <c r="O696" t="s">
        <v>42</v>
      </c>
      <c r="P696" t="b">
        <v>0</v>
      </c>
      <c r="Q696" t="b">
        <v>1</v>
      </c>
      <c r="R696" t="b">
        <v>0</v>
      </c>
      <c r="S696" t="b">
        <v>1</v>
      </c>
      <c r="T696" t="b">
        <v>0</v>
      </c>
      <c r="U696">
        <v>2.9</v>
      </c>
      <c r="V696">
        <v>3.9</v>
      </c>
      <c r="W696">
        <v>7</v>
      </c>
      <c r="X696">
        <v>2.2999999999999998</v>
      </c>
      <c r="Y696">
        <v>233.11</v>
      </c>
      <c r="Z696">
        <v>4</v>
      </c>
      <c r="AA696" t="s">
        <v>58</v>
      </c>
    </row>
    <row r="697" spans="1:27" x14ac:dyDescent="0.3">
      <c r="A697" t="s">
        <v>788</v>
      </c>
      <c r="B697">
        <v>27</v>
      </c>
      <c r="C697" t="s">
        <v>28</v>
      </c>
      <c r="D697">
        <v>8.9</v>
      </c>
      <c r="E697" t="s">
        <v>54</v>
      </c>
      <c r="F697" t="s">
        <v>89</v>
      </c>
      <c r="G697" t="s">
        <v>86</v>
      </c>
      <c r="H697">
        <v>4.4000000000000004</v>
      </c>
      <c r="I697" t="s">
        <v>51</v>
      </c>
      <c r="J697" t="s">
        <v>36</v>
      </c>
      <c r="K697" t="s">
        <v>51</v>
      </c>
      <c r="M697">
        <v>9</v>
      </c>
      <c r="N697" t="s">
        <v>35</v>
      </c>
      <c r="O697" t="s">
        <v>33</v>
      </c>
      <c r="P697" t="b">
        <v>0</v>
      </c>
      <c r="Q697" t="b">
        <v>0</v>
      </c>
      <c r="R697" t="b">
        <v>0</v>
      </c>
      <c r="S697" t="b">
        <v>1</v>
      </c>
      <c r="T697" t="b">
        <v>0</v>
      </c>
      <c r="U697">
        <v>1.5</v>
      </c>
      <c r="V697">
        <v>5.8</v>
      </c>
      <c r="W697">
        <v>6</v>
      </c>
      <c r="X697">
        <v>3.3</v>
      </c>
      <c r="Y697">
        <v>258.94</v>
      </c>
      <c r="Z697">
        <v>1</v>
      </c>
      <c r="AA697" t="s">
        <v>64</v>
      </c>
    </row>
    <row r="698" spans="1:27" x14ac:dyDescent="0.3">
      <c r="A698" t="s">
        <v>789</v>
      </c>
      <c r="B698">
        <v>24</v>
      </c>
      <c r="C698" t="s">
        <v>28</v>
      </c>
      <c r="D698">
        <v>2.2999999999999998</v>
      </c>
      <c r="E698" t="s">
        <v>60</v>
      </c>
      <c r="F698" t="s">
        <v>61</v>
      </c>
      <c r="G698" t="s">
        <v>71</v>
      </c>
      <c r="H698">
        <v>8.5</v>
      </c>
      <c r="I698" t="s">
        <v>41</v>
      </c>
      <c r="J698" t="s">
        <v>36</v>
      </c>
      <c r="K698" t="s">
        <v>43</v>
      </c>
      <c r="M698">
        <v>5</v>
      </c>
      <c r="N698" t="s">
        <v>66</v>
      </c>
      <c r="O698" t="s">
        <v>45</v>
      </c>
      <c r="P698" t="b">
        <v>0</v>
      </c>
      <c r="Q698" t="b">
        <v>0</v>
      </c>
      <c r="R698" t="b">
        <v>0</v>
      </c>
      <c r="S698" t="b">
        <v>0</v>
      </c>
      <c r="T698" t="b">
        <v>0</v>
      </c>
      <c r="U698">
        <v>0.2</v>
      </c>
      <c r="V698">
        <v>9.5</v>
      </c>
      <c r="W698">
        <v>1</v>
      </c>
      <c r="X698">
        <v>14.1</v>
      </c>
      <c r="Y698">
        <v>6.27</v>
      </c>
      <c r="Z698">
        <v>2</v>
      </c>
      <c r="AA698" t="s">
        <v>46</v>
      </c>
    </row>
    <row r="699" spans="1:27" x14ac:dyDescent="0.3">
      <c r="A699" t="s">
        <v>790</v>
      </c>
      <c r="B699">
        <v>16</v>
      </c>
      <c r="C699" t="s">
        <v>152</v>
      </c>
      <c r="D699">
        <v>4.7</v>
      </c>
      <c r="E699" t="s">
        <v>76</v>
      </c>
      <c r="F699" t="s">
        <v>110</v>
      </c>
      <c r="G699" t="s">
        <v>71</v>
      </c>
      <c r="H699">
        <v>6.2</v>
      </c>
      <c r="I699" t="s">
        <v>41</v>
      </c>
      <c r="J699" t="s">
        <v>36</v>
      </c>
      <c r="K699" t="s">
        <v>84</v>
      </c>
      <c r="L699">
        <v>3.71</v>
      </c>
      <c r="N699" t="s">
        <v>63</v>
      </c>
      <c r="O699" t="s">
        <v>57</v>
      </c>
      <c r="P699" t="b">
        <v>0</v>
      </c>
      <c r="Q699" t="b">
        <v>0</v>
      </c>
      <c r="R699" t="b">
        <v>0</v>
      </c>
      <c r="S699" t="b">
        <v>0</v>
      </c>
      <c r="T699" t="b">
        <v>0</v>
      </c>
      <c r="U699">
        <v>0.1</v>
      </c>
      <c r="V699">
        <v>9.1999999999999993</v>
      </c>
      <c r="W699">
        <v>2</v>
      </c>
      <c r="X699">
        <v>7.1</v>
      </c>
      <c r="Y699">
        <v>24.44</v>
      </c>
      <c r="Z699">
        <v>1</v>
      </c>
      <c r="AA699" t="s">
        <v>46</v>
      </c>
    </row>
    <row r="700" spans="1:27" x14ac:dyDescent="0.3">
      <c r="A700" t="s">
        <v>791</v>
      </c>
      <c r="B700">
        <v>15</v>
      </c>
      <c r="C700" t="s">
        <v>53</v>
      </c>
      <c r="D700">
        <v>5</v>
      </c>
      <c r="E700" t="s">
        <v>82</v>
      </c>
      <c r="F700" t="s">
        <v>167</v>
      </c>
      <c r="G700" t="s">
        <v>31</v>
      </c>
      <c r="H700">
        <v>6.4</v>
      </c>
      <c r="I700" t="s">
        <v>43</v>
      </c>
      <c r="J700" t="s">
        <v>74</v>
      </c>
      <c r="K700" t="s">
        <v>43</v>
      </c>
      <c r="L700">
        <v>1.54</v>
      </c>
      <c r="N700" t="s">
        <v>66</v>
      </c>
      <c r="O700" t="s">
        <v>45</v>
      </c>
      <c r="P700" t="b">
        <v>0</v>
      </c>
      <c r="Q700" t="b">
        <v>0</v>
      </c>
      <c r="R700" t="b">
        <v>0</v>
      </c>
      <c r="S700" t="b">
        <v>1</v>
      </c>
      <c r="T700" t="b">
        <v>0</v>
      </c>
      <c r="U700">
        <v>0.3</v>
      </c>
      <c r="V700">
        <v>5.8</v>
      </c>
      <c r="W700">
        <v>2</v>
      </c>
      <c r="X700">
        <v>11.5</v>
      </c>
      <c r="Y700">
        <v>10.19</v>
      </c>
      <c r="Z700">
        <v>2</v>
      </c>
      <c r="AA700" t="s">
        <v>46</v>
      </c>
    </row>
    <row r="701" spans="1:27" x14ac:dyDescent="0.3">
      <c r="A701" t="s">
        <v>792</v>
      </c>
      <c r="B701">
        <v>17</v>
      </c>
      <c r="C701" t="s">
        <v>28</v>
      </c>
      <c r="D701">
        <v>3</v>
      </c>
      <c r="E701" t="s">
        <v>48</v>
      </c>
      <c r="F701" t="s">
        <v>49</v>
      </c>
      <c r="G701" t="s">
        <v>86</v>
      </c>
      <c r="H701">
        <v>8.4</v>
      </c>
      <c r="I701" t="s">
        <v>51</v>
      </c>
      <c r="J701" t="s">
        <v>33</v>
      </c>
      <c r="K701" t="s">
        <v>62</v>
      </c>
      <c r="L701">
        <v>1.99</v>
      </c>
      <c r="N701" t="s">
        <v>66</v>
      </c>
      <c r="O701" t="s">
        <v>45</v>
      </c>
      <c r="P701" t="b">
        <v>0</v>
      </c>
      <c r="Q701" t="b">
        <v>0</v>
      </c>
      <c r="R701" t="b">
        <v>0</v>
      </c>
      <c r="S701" t="b">
        <v>0</v>
      </c>
      <c r="T701" t="b">
        <v>0</v>
      </c>
      <c r="U701">
        <v>3.4</v>
      </c>
      <c r="V701">
        <v>9.1</v>
      </c>
      <c r="W701">
        <v>1</v>
      </c>
      <c r="X701">
        <v>12.2</v>
      </c>
      <c r="Y701">
        <v>30.68</v>
      </c>
      <c r="Z701">
        <v>1</v>
      </c>
      <c r="AA701" t="s">
        <v>46</v>
      </c>
    </row>
    <row r="702" spans="1:27" x14ac:dyDescent="0.3">
      <c r="A702" t="s">
        <v>793</v>
      </c>
      <c r="B702">
        <v>17</v>
      </c>
      <c r="C702" t="s">
        <v>28</v>
      </c>
      <c r="D702">
        <v>7.1</v>
      </c>
      <c r="E702" t="s">
        <v>54</v>
      </c>
      <c r="F702" t="s">
        <v>98</v>
      </c>
      <c r="G702" t="s">
        <v>71</v>
      </c>
      <c r="H702">
        <v>5</v>
      </c>
      <c r="I702" t="s">
        <v>51</v>
      </c>
      <c r="J702" t="s">
        <v>36</v>
      </c>
      <c r="K702" t="s">
        <v>129</v>
      </c>
      <c r="L702">
        <v>2.91</v>
      </c>
      <c r="N702" t="s">
        <v>35</v>
      </c>
      <c r="O702" t="s">
        <v>33</v>
      </c>
      <c r="P702" t="b">
        <v>0</v>
      </c>
      <c r="Q702" t="b">
        <v>0</v>
      </c>
      <c r="R702" t="b">
        <v>0</v>
      </c>
      <c r="S702" t="b">
        <v>1</v>
      </c>
      <c r="T702" t="b">
        <v>1</v>
      </c>
      <c r="U702">
        <v>0.6</v>
      </c>
      <c r="V702">
        <v>6.4</v>
      </c>
      <c r="W702">
        <v>6</v>
      </c>
      <c r="X702">
        <v>5.4</v>
      </c>
      <c r="Y702">
        <v>49.26</v>
      </c>
      <c r="Z702">
        <v>4</v>
      </c>
      <c r="AA702" t="s">
        <v>46</v>
      </c>
    </row>
    <row r="703" spans="1:27" x14ac:dyDescent="0.3">
      <c r="A703" t="s">
        <v>794</v>
      </c>
      <c r="B703">
        <v>19</v>
      </c>
      <c r="C703" t="s">
        <v>53</v>
      </c>
      <c r="D703">
        <v>8.5</v>
      </c>
      <c r="E703" t="s">
        <v>39</v>
      </c>
      <c r="F703" t="s">
        <v>40</v>
      </c>
      <c r="G703" t="s">
        <v>86</v>
      </c>
      <c r="H703">
        <v>3.3</v>
      </c>
      <c r="I703" t="s">
        <v>51</v>
      </c>
      <c r="J703" t="s">
        <v>33</v>
      </c>
      <c r="K703" t="s">
        <v>84</v>
      </c>
      <c r="L703">
        <v>1.77</v>
      </c>
      <c r="M703">
        <v>8</v>
      </c>
      <c r="N703" t="s">
        <v>105</v>
      </c>
      <c r="O703" t="s">
        <v>36</v>
      </c>
      <c r="P703" t="b">
        <v>1</v>
      </c>
      <c r="Q703" t="b">
        <v>1</v>
      </c>
      <c r="R703" t="b">
        <v>0</v>
      </c>
      <c r="S703" t="b">
        <v>1</v>
      </c>
      <c r="T703" t="b">
        <v>1</v>
      </c>
      <c r="U703">
        <v>1.2</v>
      </c>
      <c r="V703">
        <v>4.7</v>
      </c>
      <c r="W703">
        <v>5</v>
      </c>
      <c r="X703">
        <v>3.8</v>
      </c>
      <c r="Y703">
        <v>354.28</v>
      </c>
      <c r="Z703">
        <v>6</v>
      </c>
      <c r="AA703" t="s">
        <v>37</v>
      </c>
    </row>
    <row r="704" spans="1:27" x14ac:dyDescent="0.3">
      <c r="A704" t="s">
        <v>795</v>
      </c>
      <c r="B704">
        <v>25</v>
      </c>
      <c r="C704" t="s">
        <v>53</v>
      </c>
      <c r="D704">
        <v>4.8</v>
      </c>
      <c r="E704" t="s">
        <v>39</v>
      </c>
      <c r="F704" t="s">
        <v>120</v>
      </c>
      <c r="G704" t="s">
        <v>86</v>
      </c>
      <c r="H704">
        <v>6</v>
      </c>
      <c r="I704" t="s">
        <v>41</v>
      </c>
      <c r="J704" t="s">
        <v>42</v>
      </c>
      <c r="K704" t="s">
        <v>34</v>
      </c>
      <c r="M704">
        <v>3</v>
      </c>
      <c r="N704" t="s">
        <v>44</v>
      </c>
      <c r="O704" t="s">
        <v>33</v>
      </c>
      <c r="P704" t="b">
        <v>0</v>
      </c>
      <c r="Q704" t="b">
        <v>0</v>
      </c>
      <c r="R704" t="b">
        <v>0</v>
      </c>
      <c r="S704" t="b">
        <v>1</v>
      </c>
      <c r="T704" t="b">
        <v>0</v>
      </c>
      <c r="U704">
        <v>1.5</v>
      </c>
      <c r="V704">
        <v>9.1999999999999993</v>
      </c>
      <c r="W704">
        <v>2</v>
      </c>
      <c r="X704">
        <v>9.6999999999999993</v>
      </c>
      <c r="Y704">
        <v>35.97</v>
      </c>
      <c r="Z704">
        <v>13</v>
      </c>
      <c r="AA704" t="s">
        <v>46</v>
      </c>
    </row>
    <row r="705" spans="1:27" x14ac:dyDescent="0.3">
      <c r="A705" t="s">
        <v>796</v>
      </c>
      <c r="B705">
        <v>27</v>
      </c>
      <c r="C705" t="s">
        <v>28</v>
      </c>
      <c r="D705">
        <v>1.7</v>
      </c>
      <c r="E705" t="s">
        <v>54</v>
      </c>
      <c r="F705" t="s">
        <v>98</v>
      </c>
      <c r="G705" t="s">
        <v>71</v>
      </c>
      <c r="H705">
        <v>7.7</v>
      </c>
      <c r="I705" t="s">
        <v>41</v>
      </c>
      <c r="J705" t="s">
        <v>42</v>
      </c>
      <c r="K705" t="s">
        <v>84</v>
      </c>
      <c r="M705">
        <v>6</v>
      </c>
      <c r="N705" t="s">
        <v>66</v>
      </c>
      <c r="O705" t="s">
        <v>42</v>
      </c>
      <c r="P705" t="b">
        <v>0</v>
      </c>
      <c r="Q705" t="b">
        <v>0</v>
      </c>
      <c r="R705" t="b">
        <v>0</v>
      </c>
      <c r="S705" t="b">
        <v>0</v>
      </c>
      <c r="T705" t="b">
        <v>0</v>
      </c>
      <c r="U705">
        <v>0.1</v>
      </c>
      <c r="V705">
        <v>7</v>
      </c>
      <c r="W705">
        <v>1</v>
      </c>
      <c r="X705">
        <v>10.9</v>
      </c>
      <c r="Y705">
        <v>15.3</v>
      </c>
      <c r="Z705">
        <v>14</v>
      </c>
      <c r="AA705" t="s">
        <v>46</v>
      </c>
    </row>
    <row r="706" spans="1:27" x14ac:dyDescent="0.3">
      <c r="A706" t="s">
        <v>797</v>
      </c>
      <c r="B706">
        <v>20</v>
      </c>
      <c r="C706" t="s">
        <v>28</v>
      </c>
      <c r="D706">
        <v>8.3000000000000007</v>
      </c>
      <c r="E706" t="s">
        <v>39</v>
      </c>
      <c r="F706" t="s">
        <v>120</v>
      </c>
      <c r="G706" t="s">
        <v>50</v>
      </c>
      <c r="H706">
        <v>5.9</v>
      </c>
      <c r="I706" t="s">
        <v>32</v>
      </c>
      <c r="J706" t="s">
        <v>45</v>
      </c>
      <c r="K706" t="s">
        <v>84</v>
      </c>
      <c r="L706">
        <v>1.0900000000000001</v>
      </c>
      <c r="M706">
        <v>10</v>
      </c>
      <c r="N706" t="s">
        <v>105</v>
      </c>
      <c r="O706" t="s">
        <v>45</v>
      </c>
      <c r="P706" t="b">
        <v>0</v>
      </c>
      <c r="Q706" t="b">
        <v>0</v>
      </c>
      <c r="R706" t="b">
        <v>0</v>
      </c>
      <c r="S706" t="b">
        <v>0</v>
      </c>
      <c r="T706" t="b">
        <v>0</v>
      </c>
      <c r="U706">
        <v>1.1000000000000001</v>
      </c>
      <c r="V706">
        <v>4</v>
      </c>
      <c r="W706">
        <v>6</v>
      </c>
      <c r="X706">
        <v>3.6</v>
      </c>
      <c r="Y706">
        <v>69.709999999999994</v>
      </c>
      <c r="Z706">
        <v>2</v>
      </c>
      <c r="AA706" t="s">
        <v>46</v>
      </c>
    </row>
    <row r="707" spans="1:27" x14ac:dyDescent="0.3">
      <c r="A707" t="s">
        <v>798</v>
      </c>
      <c r="B707">
        <v>17</v>
      </c>
      <c r="C707" t="s">
        <v>28</v>
      </c>
      <c r="D707">
        <v>12.1</v>
      </c>
      <c r="E707" t="s">
        <v>29</v>
      </c>
      <c r="F707" t="s">
        <v>73</v>
      </c>
      <c r="G707" t="s">
        <v>31</v>
      </c>
      <c r="H707">
        <v>5.6</v>
      </c>
      <c r="I707" t="s">
        <v>78</v>
      </c>
      <c r="J707" t="s">
        <v>42</v>
      </c>
      <c r="K707" t="s">
        <v>34</v>
      </c>
      <c r="L707">
        <v>1.75</v>
      </c>
      <c r="N707" t="s">
        <v>66</v>
      </c>
      <c r="O707" t="s">
        <v>42</v>
      </c>
      <c r="P707" t="b">
        <v>1</v>
      </c>
      <c r="Q707" t="b">
        <v>0</v>
      </c>
      <c r="R707" t="b">
        <v>1</v>
      </c>
      <c r="S707" t="b">
        <v>1</v>
      </c>
      <c r="T707" t="b">
        <v>1</v>
      </c>
      <c r="U707">
        <v>6</v>
      </c>
      <c r="V707">
        <v>3</v>
      </c>
      <c r="W707">
        <v>8</v>
      </c>
      <c r="X707">
        <v>2.6</v>
      </c>
      <c r="Y707">
        <v>380.39</v>
      </c>
      <c r="Z707">
        <v>4</v>
      </c>
      <c r="AA707" t="s">
        <v>37</v>
      </c>
    </row>
    <row r="708" spans="1:27" x14ac:dyDescent="0.3">
      <c r="A708" t="s">
        <v>799</v>
      </c>
      <c r="B708">
        <v>17</v>
      </c>
      <c r="C708" t="s">
        <v>53</v>
      </c>
      <c r="D708">
        <v>5.8</v>
      </c>
      <c r="E708" t="s">
        <v>60</v>
      </c>
      <c r="F708" t="s">
        <v>96</v>
      </c>
      <c r="G708" t="s">
        <v>50</v>
      </c>
      <c r="H708">
        <v>6.8</v>
      </c>
      <c r="I708" t="s">
        <v>32</v>
      </c>
      <c r="J708" t="s">
        <v>74</v>
      </c>
      <c r="K708" t="s">
        <v>34</v>
      </c>
      <c r="L708">
        <v>2.7</v>
      </c>
      <c r="N708" t="s">
        <v>63</v>
      </c>
      <c r="O708" t="s">
        <v>42</v>
      </c>
      <c r="P708" t="b">
        <v>0</v>
      </c>
      <c r="Q708" t="b">
        <v>1</v>
      </c>
      <c r="R708" t="b">
        <v>0</v>
      </c>
      <c r="S708" t="b">
        <v>1</v>
      </c>
      <c r="T708" t="b">
        <v>0</v>
      </c>
      <c r="U708">
        <v>0.3</v>
      </c>
      <c r="V708">
        <v>5.2</v>
      </c>
      <c r="W708">
        <v>3</v>
      </c>
      <c r="X708">
        <v>9.5</v>
      </c>
      <c r="Y708">
        <v>123.39</v>
      </c>
      <c r="Z708">
        <v>3</v>
      </c>
      <c r="AA708" t="s">
        <v>64</v>
      </c>
    </row>
    <row r="709" spans="1:27" x14ac:dyDescent="0.3">
      <c r="A709" t="s">
        <v>800</v>
      </c>
      <c r="B709">
        <v>17</v>
      </c>
      <c r="C709" t="s">
        <v>53</v>
      </c>
      <c r="D709">
        <v>8.5</v>
      </c>
      <c r="E709" t="s">
        <v>29</v>
      </c>
      <c r="F709" t="s">
        <v>118</v>
      </c>
      <c r="G709" t="s">
        <v>50</v>
      </c>
      <c r="H709">
        <v>3.9</v>
      </c>
      <c r="I709" t="s">
        <v>51</v>
      </c>
      <c r="J709" t="s">
        <v>74</v>
      </c>
      <c r="K709" t="s">
        <v>51</v>
      </c>
      <c r="L709">
        <v>1.42</v>
      </c>
      <c r="N709" t="s">
        <v>80</v>
      </c>
      <c r="O709" t="s">
        <v>57</v>
      </c>
      <c r="P709" t="b">
        <v>1</v>
      </c>
      <c r="Q709" t="b">
        <v>1</v>
      </c>
      <c r="R709" t="b">
        <v>0</v>
      </c>
      <c r="S709" t="b">
        <v>0</v>
      </c>
      <c r="T709" t="b">
        <v>0</v>
      </c>
      <c r="U709">
        <v>1.5</v>
      </c>
      <c r="V709">
        <v>3.6</v>
      </c>
      <c r="W709">
        <v>8</v>
      </c>
      <c r="X709">
        <v>3.8</v>
      </c>
      <c r="Y709">
        <v>200.6</v>
      </c>
      <c r="Z709">
        <v>4</v>
      </c>
      <c r="AA709" t="s">
        <v>37</v>
      </c>
    </row>
    <row r="710" spans="1:27" x14ac:dyDescent="0.3">
      <c r="A710" t="s">
        <v>801</v>
      </c>
      <c r="B710">
        <v>19</v>
      </c>
      <c r="C710" t="s">
        <v>28</v>
      </c>
      <c r="D710">
        <v>3.9</v>
      </c>
      <c r="E710" t="s">
        <v>60</v>
      </c>
      <c r="F710" t="s">
        <v>96</v>
      </c>
      <c r="G710" t="s">
        <v>86</v>
      </c>
      <c r="H710">
        <v>5.3</v>
      </c>
      <c r="I710" t="s">
        <v>32</v>
      </c>
      <c r="J710" t="s">
        <v>36</v>
      </c>
      <c r="K710" t="s">
        <v>43</v>
      </c>
      <c r="L710">
        <v>1.56</v>
      </c>
      <c r="M710">
        <v>1</v>
      </c>
      <c r="N710" t="s">
        <v>105</v>
      </c>
      <c r="O710" t="s">
        <v>57</v>
      </c>
      <c r="P710" t="b">
        <v>0</v>
      </c>
      <c r="Q710" t="b">
        <v>0</v>
      </c>
      <c r="R710" t="b">
        <v>0</v>
      </c>
      <c r="S710" t="b">
        <v>0</v>
      </c>
      <c r="T710" t="b">
        <v>0</v>
      </c>
      <c r="U710">
        <v>0.2</v>
      </c>
      <c r="V710">
        <v>7.9</v>
      </c>
      <c r="W710">
        <v>1</v>
      </c>
      <c r="X710">
        <v>9.5</v>
      </c>
      <c r="Y710">
        <v>27.46</v>
      </c>
      <c r="Z710">
        <v>5</v>
      </c>
      <c r="AA710" t="s">
        <v>46</v>
      </c>
    </row>
    <row r="711" spans="1:27" x14ac:dyDescent="0.3">
      <c r="A711" t="s">
        <v>802</v>
      </c>
      <c r="B711">
        <v>24</v>
      </c>
      <c r="C711" t="s">
        <v>53</v>
      </c>
      <c r="D711">
        <v>3.7</v>
      </c>
      <c r="E711" t="s">
        <v>39</v>
      </c>
      <c r="F711" t="s">
        <v>120</v>
      </c>
      <c r="G711" t="s">
        <v>86</v>
      </c>
      <c r="H711">
        <v>5.5</v>
      </c>
      <c r="I711" t="s">
        <v>41</v>
      </c>
      <c r="J711" t="s">
        <v>74</v>
      </c>
      <c r="K711" t="s">
        <v>43</v>
      </c>
      <c r="M711">
        <v>9</v>
      </c>
      <c r="N711" t="s">
        <v>66</v>
      </c>
      <c r="O711" t="s">
        <v>57</v>
      </c>
      <c r="P711" t="b">
        <v>0</v>
      </c>
      <c r="Q711" t="b">
        <v>0</v>
      </c>
      <c r="R711" t="b">
        <v>0</v>
      </c>
      <c r="S711" t="b">
        <v>0</v>
      </c>
      <c r="T711" t="b">
        <v>0</v>
      </c>
      <c r="U711">
        <v>1</v>
      </c>
      <c r="V711">
        <v>7.7</v>
      </c>
      <c r="W711">
        <v>1</v>
      </c>
      <c r="X711">
        <v>9.6999999999999993</v>
      </c>
      <c r="Y711">
        <v>30.53</v>
      </c>
      <c r="Z711">
        <v>7</v>
      </c>
      <c r="AA711" t="s">
        <v>46</v>
      </c>
    </row>
    <row r="712" spans="1:27" x14ac:dyDescent="0.3">
      <c r="A712" t="s">
        <v>803</v>
      </c>
      <c r="B712">
        <v>21</v>
      </c>
      <c r="C712" t="s">
        <v>28</v>
      </c>
      <c r="D712">
        <v>10.4</v>
      </c>
      <c r="E712" t="s">
        <v>39</v>
      </c>
      <c r="F712" t="s">
        <v>40</v>
      </c>
      <c r="G712" t="s">
        <v>50</v>
      </c>
      <c r="H712">
        <v>5.7</v>
      </c>
      <c r="I712" t="s">
        <v>32</v>
      </c>
      <c r="J712" t="s">
        <v>36</v>
      </c>
      <c r="K712" t="s">
        <v>129</v>
      </c>
      <c r="L712">
        <v>2.21</v>
      </c>
      <c r="M712">
        <v>10</v>
      </c>
      <c r="N712" t="s">
        <v>105</v>
      </c>
      <c r="O712" t="s">
        <v>36</v>
      </c>
      <c r="P712" t="b">
        <v>1</v>
      </c>
      <c r="Q712" t="b">
        <v>1</v>
      </c>
      <c r="R712" t="b">
        <v>0</v>
      </c>
      <c r="S712" t="b">
        <v>1</v>
      </c>
      <c r="T712" t="b">
        <v>1</v>
      </c>
      <c r="U712">
        <v>1.1000000000000001</v>
      </c>
      <c r="V712">
        <v>3.9</v>
      </c>
      <c r="W712">
        <v>6</v>
      </c>
      <c r="X712">
        <v>5.8</v>
      </c>
      <c r="Y712">
        <v>380.83</v>
      </c>
      <c r="Z712">
        <v>4</v>
      </c>
      <c r="AA712" t="s">
        <v>37</v>
      </c>
    </row>
    <row r="713" spans="1:27" x14ac:dyDescent="0.3">
      <c r="A713" t="s">
        <v>804</v>
      </c>
      <c r="B713">
        <v>28</v>
      </c>
      <c r="C713" t="s">
        <v>53</v>
      </c>
      <c r="D713">
        <v>6.4</v>
      </c>
      <c r="E713" t="s">
        <v>54</v>
      </c>
      <c r="F713" t="s">
        <v>98</v>
      </c>
      <c r="G713" t="s">
        <v>86</v>
      </c>
      <c r="H713">
        <v>6.5</v>
      </c>
      <c r="I713" t="s">
        <v>32</v>
      </c>
      <c r="J713" t="s">
        <v>33</v>
      </c>
      <c r="K713" t="s">
        <v>34</v>
      </c>
      <c r="M713">
        <v>1</v>
      </c>
      <c r="N713" t="s">
        <v>44</v>
      </c>
      <c r="O713" t="s">
        <v>57</v>
      </c>
      <c r="P713" t="b">
        <v>0</v>
      </c>
      <c r="Q713" t="b">
        <v>1</v>
      </c>
      <c r="R713" t="b">
        <v>0</v>
      </c>
      <c r="S713" t="b">
        <v>0</v>
      </c>
      <c r="T713" t="b">
        <v>1</v>
      </c>
      <c r="U713">
        <v>1.5</v>
      </c>
      <c r="V713">
        <v>8.1999999999999993</v>
      </c>
      <c r="W713">
        <v>4</v>
      </c>
      <c r="X713">
        <v>8.9</v>
      </c>
      <c r="Y713">
        <v>86.39</v>
      </c>
      <c r="Z713">
        <v>3</v>
      </c>
      <c r="AA713" t="s">
        <v>64</v>
      </c>
    </row>
    <row r="714" spans="1:27" x14ac:dyDescent="0.3">
      <c r="A714" t="s">
        <v>805</v>
      </c>
      <c r="B714">
        <v>19</v>
      </c>
      <c r="C714" t="s">
        <v>28</v>
      </c>
      <c r="D714">
        <v>10</v>
      </c>
      <c r="E714" t="s">
        <v>54</v>
      </c>
      <c r="F714" t="s">
        <v>89</v>
      </c>
      <c r="G714" t="s">
        <v>50</v>
      </c>
      <c r="H714">
        <v>5.4</v>
      </c>
      <c r="I714" t="s">
        <v>43</v>
      </c>
      <c r="J714" t="s">
        <v>42</v>
      </c>
      <c r="K714" t="s">
        <v>129</v>
      </c>
      <c r="L714">
        <v>3.7</v>
      </c>
      <c r="M714">
        <v>9</v>
      </c>
      <c r="N714" t="s">
        <v>35</v>
      </c>
      <c r="O714" t="s">
        <v>57</v>
      </c>
      <c r="P714" t="b">
        <v>0</v>
      </c>
      <c r="Q714" t="b">
        <v>0</v>
      </c>
      <c r="R714" t="b">
        <v>1</v>
      </c>
      <c r="S714" t="b">
        <v>1</v>
      </c>
      <c r="T714" t="b">
        <v>0</v>
      </c>
      <c r="U714">
        <v>1</v>
      </c>
      <c r="V714">
        <v>5.8</v>
      </c>
      <c r="W714">
        <v>5</v>
      </c>
      <c r="X714">
        <v>3.9</v>
      </c>
      <c r="Y714">
        <v>270.83999999999997</v>
      </c>
      <c r="Z714">
        <v>6</v>
      </c>
      <c r="AA714" t="s">
        <v>58</v>
      </c>
    </row>
    <row r="715" spans="1:27" x14ac:dyDescent="0.3">
      <c r="A715" t="s">
        <v>806</v>
      </c>
      <c r="B715">
        <v>20</v>
      </c>
      <c r="C715" t="s">
        <v>28</v>
      </c>
      <c r="D715">
        <v>11.1</v>
      </c>
      <c r="E715" t="s">
        <v>48</v>
      </c>
      <c r="F715" t="s">
        <v>128</v>
      </c>
      <c r="G715" t="s">
        <v>86</v>
      </c>
      <c r="H715">
        <v>5.6</v>
      </c>
      <c r="I715" t="s">
        <v>41</v>
      </c>
      <c r="J715" t="s">
        <v>42</v>
      </c>
      <c r="K715" t="s">
        <v>51</v>
      </c>
      <c r="L715">
        <v>1.98</v>
      </c>
      <c r="M715">
        <v>6</v>
      </c>
      <c r="N715" t="s">
        <v>80</v>
      </c>
      <c r="O715" t="s">
        <v>33</v>
      </c>
      <c r="P715" t="b">
        <v>1</v>
      </c>
      <c r="Q715" t="b">
        <v>1</v>
      </c>
      <c r="R715" t="b">
        <v>1</v>
      </c>
      <c r="S715" t="b">
        <v>0</v>
      </c>
      <c r="T715" t="b">
        <v>1</v>
      </c>
      <c r="U715">
        <v>0.4</v>
      </c>
      <c r="V715">
        <v>5.8</v>
      </c>
      <c r="W715">
        <v>6</v>
      </c>
      <c r="X715">
        <v>2</v>
      </c>
      <c r="Y715">
        <v>396</v>
      </c>
      <c r="Z715">
        <v>4</v>
      </c>
      <c r="AA715" t="s">
        <v>37</v>
      </c>
    </row>
    <row r="716" spans="1:27" x14ac:dyDescent="0.3">
      <c r="A716" t="s">
        <v>807</v>
      </c>
      <c r="B716">
        <v>19</v>
      </c>
      <c r="C716" t="s">
        <v>28</v>
      </c>
      <c r="D716">
        <v>6.7</v>
      </c>
      <c r="E716" t="s">
        <v>29</v>
      </c>
      <c r="F716" t="s">
        <v>104</v>
      </c>
      <c r="G716" t="s">
        <v>71</v>
      </c>
      <c r="H716">
        <v>4.9000000000000004</v>
      </c>
      <c r="I716" t="s">
        <v>41</v>
      </c>
      <c r="J716" t="s">
        <v>45</v>
      </c>
      <c r="K716" t="s">
        <v>43</v>
      </c>
      <c r="L716">
        <v>3.55</v>
      </c>
      <c r="M716">
        <v>4</v>
      </c>
      <c r="N716" t="s">
        <v>35</v>
      </c>
      <c r="O716" t="s">
        <v>42</v>
      </c>
      <c r="P716" t="b">
        <v>1</v>
      </c>
      <c r="Q716" t="b">
        <v>0</v>
      </c>
      <c r="R716" t="b">
        <v>0</v>
      </c>
      <c r="S716" t="b">
        <v>1</v>
      </c>
      <c r="T716" t="b">
        <v>1</v>
      </c>
      <c r="U716">
        <v>3.4</v>
      </c>
      <c r="V716">
        <v>6.4</v>
      </c>
      <c r="W716">
        <v>5</v>
      </c>
      <c r="X716">
        <v>8.1999999999999993</v>
      </c>
      <c r="Y716">
        <v>56.05</v>
      </c>
      <c r="Z716">
        <v>5</v>
      </c>
      <c r="AA716" t="s">
        <v>64</v>
      </c>
    </row>
    <row r="717" spans="1:27" x14ac:dyDescent="0.3">
      <c r="A717" t="s">
        <v>808</v>
      </c>
      <c r="B717">
        <v>24</v>
      </c>
      <c r="C717" t="s">
        <v>28</v>
      </c>
      <c r="D717">
        <v>5.9</v>
      </c>
      <c r="E717" t="s">
        <v>48</v>
      </c>
      <c r="F717" t="s">
        <v>49</v>
      </c>
      <c r="G717" t="s">
        <v>31</v>
      </c>
      <c r="H717">
        <v>6.8</v>
      </c>
      <c r="I717" t="s">
        <v>43</v>
      </c>
      <c r="J717" t="s">
        <v>42</v>
      </c>
      <c r="K717" t="s">
        <v>62</v>
      </c>
      <c r="M717">
        <v>3</v>
      </c>
      <c r="N717" t="s">
        <v>66</v>
      </c>
      <c r="O717" t="s">
        <v>42</v>
      </c>
      <c r="P717" t="b">
        <v>0</v>
      </c>
      <c r="Q717" t="b">
        <v>0</v>
      </c>
      <c r="R717" t="b">
        <v>0</v>
      </c>
      <c r="S717" t="b">
        <v>0</v>
      </c>
      <c r="T717" t="b">
        <v>0</v>
      </c>
      <c r="U717">
        <v>0.5</v>
      </c>
      <c r="V717">
        <v>6.6</v>
      </c>
      <c r="W717">
        <v>4</v>
      </c>
      <c r="X717">
        <v>6.7</v>
      </c>
      <c r="Y717">
        <v>37.44</v>
      </c>
      <c r="Z717">
        <v>14</v>
      </c>
      <c r="AA717" t="s">
        <v>46</v>
      </c>
    </row>
    <row r="718" spans="1:27" x14ac:dyDescent="0.3">
      <c r="A718" t="s">
        <v>809</v>
      </c>
      <c r="B718">
        <v>30</v>
      </c>
      <c r="C718" t="s">
        <v>28</v>
      </c>
      <c r="D718">
        <v>3</v>
      </c>
      <c r="E718" t="s">
        <v>54</v>
      </c>
      <c r="F718" t="s">
        <v>98</v>
      </c>
      <c r="G718" t="s">
        <v>50</v>
      </c>
      <c r="H718">
        <v>8.3000000000000007</v>
      </c>
      <c r="I718" t="s">
        <v>43</v>
      </c>
      <c r="J718" t="s">
        <v>74</v>
      </c>
      <c r="K718" t="s">
        <v>43</v>
      </c>
      <c r="M718">
        <v>6</v>
      </c>
      <c r="N718" t="s">
        <v>121</v>
      </c>
      <c r="O718" t="s">
        <v>33</v>
      </c>
      <c r="P718" t="b">
        <v>0</v>
      </c>
      <c r="Q718" t="b">
        <v>0</v>
      </c>
      <c r="R718" t="b">
        <v>0</v>
      </c>
      <c r="S718" t="b">
        <v>0</v>
      </c>
      <c r="T718" t="b">
        <v>0</v>
      </c>
      <c r="U718">
        <v>1</v>
      </c>
      <c r="V718">
        <v>7.4</v>
      </c>
      <c r="W718">
        <v>1</v>
      </c>
      <c r="X718">
        <v>12.2</v>
      </c>
      <c r="Y718">
        <v>13.32</v>
      </c>
      <c r="Z718">
        <v>11</v>
      </c>
      <c r="AA718" t="s">
        <v>46</v>
      </c>
    </row>
    <row r="719" spans="1:27" x14ac:dyDescent="0.3">
      <c r="A719" t="s">
        <v>810</v>
      </c>
      <c r="B719">
        <v>17</v>
      </c>
      <c r="C719" t="s">
        <v>28</v>
      </c>
      <c r="D719">
        <v>6.6</v>
      </c>
      <c r="E719" t="s">
        <v>39</v>
      </c>
      <c r="F719" t="s">
        <v>40</v>
      </c>
      <c r="G719" t="s">
        <v>71</v>
      </c>
      <c r="H719">
        <v>4.8</v>
      </c>
      <c r="I719" t="s">
        <v>41</v>
      </c>
      <c r="J719" t="s">
        <v>36</v>
      </c>
      <c r="K719" t="s">
        <v>62</v>
      </c>
      <c r="L719">
        <v>3.92</v>
      </c>
      <c r="N719" t="s">
        <v>63</v>
      </c>
      <c r="O719" t="s">
        <v>57</v>
      </c>
      <c r="P719" t="b">
        <v>1</v>
      </c>
      <c r="Q719" t="b">
        <v>1</v>
      </c>
      <c r="R719" t="b">
        <v>0</v>
      </c>
      <c r="S719" t="b">
        <v>1</v>
      </c>
      <c r="T719" t="b">
        <v>0</v>
      </c>
      <c r="U719">
        <v>0.3</v>
      </c>
      <c r="V719">
        <v>6.8</v>
      </c>
      <c r="W719">
        <v>3</v>
      </c>
      <c r="X719">
        <v>5.2</v>
      </c>
      <c r="Y719">
        <v>17</v>
      </c>
      <c r="Z719">
        <v>3</v>
      </c>
      <c r="AA719" t="s">
        <v>58</v>
      </c>
    </row>
    <row r="720" spans="1:27" x14ac:dyDescent="0.3">
      <c r="A720" t="s">
        <v>811</v>
      </c>
      <c r="B720">
        <v>21</v>
      </c>
      <c r="C720" t="s">
        <v>28</v>
      </c>
      <c r="D720">
        <v>11.7</v>
      </c>
      <c r="E720" t="s">
        <v>48</v>
      </c>
      <c r="F720" t="s">
        <v>214</v>
      </c>
      <c r="G720" t="s">
        <v>86</v>
      </c>
      <c r="H720">
        <v>6</v>
      </c>
      <c r="I720" t="s">
        <v>32</v>
      </c>
      <c r="J720" t="s">
        <v>36</v>
      </c>
      <c r="K720" t="s">
        <v>51</v>
      </c>
      <c r="L720">
        <v>3.05</v>
      </c>
      <c r="M720">
        <v>5</v>
      </c>
      <c r="N720" t="s">
        <v>105</v>
      </c>
      <c r="O720" t="s">
        <v>45</v>
      </c>
      <c r="P720" t="b">
        <v>0</v>
      </c>
      <c r="Q720" t="b">
        <v>1</v>
      </c>
      <c r="R720" t="b">
        <v>0</v>
      </c>
      <c r="S720" t="b">
        <v>1</v>
      </c>
      <c r="T720" t="b">
        <v>1</v>
      </c>
      <c r="U720">
        <v>0.8</v>
      </c>
      <c r="V720">
        <v>5.0999999999999996</v>
      </c>
      <c r="W720">
        <v>7</v>
      </c>
      <c r="X720">
        <v>0</v>
      </c>
      <c r="Y720">
        <v>303.54000000000002</v>
      </c>
      <c r="Z720">
        <v>1</v>
      </c>
      <c r="AA720" t="s">
        <v>58</v>
      </c>
    </row>
    <row r="721" spans="1:27" x14ac:dyDescent="0.3">
      <c r="A721" t="s">
        <v>812</v>
      </c>
      <c r="B721">
        <v>23</v>
      </c>
      <c r="C721" t="s">
        <v>53</v>
      </c>
      <c r="D721">
        <v>13</v>
      </c>
      <c r="E721" t="s">
        <v>54</v>
      </c>
      <c r="F721" t="s">
        <v>89</v>
      </c>
      <c r="G721" t="s">
        <v>71</v>
      </c>
      <c r="H721">
        <v>5.2</v>
      </c>
      <c r="I721" t="s">
        <v>78</v>
      </c>
      <c r="J721" t="s">
        <v>33</v>
      </c>
      <c r="K721" t="s">
        <v>34</v>
      </c>
      <c r="M721">
        <v>7</v>
      </c>
      <c r="N721" t="s">
        <v>35</v>
      </c>
      <c r="O721" t="s">
        <v>57</v>
      </c>
      <c r="P721" t="b">
        <v>1</v>
      </c>
      <c r="Q721" t="b">
        <v>1</v>
      </c>
      <c r="R721" t="b">
        <v>0</v>
      </c>
      <c r="S721" t="b">
        <v>1</v>
      </c>
      <c r="T721" t="b">
        <v>0</v>
      </c>
      <c r="U721">
        <v>6.4</v>
      </c>
      <c r="V721">
        <v>5.0999999999999996</v>
      </c>
      <c r="W721">
        <v>8</v>
      </c>
      <c r="X721">
        <v>0</v>
      </c>
      <c r="Y721">
        <v>239.25</v>
      </c>
      <c r="Z721">
        <v>6</v>
      </c>
      <c r="AA721" t="s">
        <v>37</v>
      </c>
    </row>
    <row r="722" spans="1:27" x14ac:dyDescent="0.3">
      <c r="A722" t="s">
        <v>813</v>
      </c>
      <c r="B722">
        <v>14</v>
      </c>
      <c r="C722" t="s">
        <v>28</v>
      </c>
      <c r="D722">
        <v>4.3</v>
      </c>
      <c r="E722" t="s">
        <v>29</v>
      </c>
      <c r="F722" t="s">
        <v>104</v>
      </c>
      <c r="G722" t="s">
        <v>86</v>
      </c>
      <c r="H722">
        <v>5.6</v>
      </c>
      <c r="I722" t="s">
        <v>41</v>
      </c>
      <c r="J722" t="s">
        <v>42</v>
      </c>
      <c r="K722" t="s">
        <v>62</v>
      </c>
      <c r="L722">
        <v>2.63</v>
      </c>
      <c r="N722" t="s">
        <v>105</v>
      </c>
      <c r="O722" t="s">
        <v>45</v>
      </c>
      <c r="P722" t="b">
        <v>0</v>
      </c>
      <c r="Q722" t="b">
        <v>0</v>
      </c>
      <c r="R722" t="b">
        <v>0</v>
      </c>
      <c r="S722" t="b">
        <v>0</v>
      </c>
      <c r="T722" t="b">
        <v>0</v>
      </c>
      <c r="U722">
        <v>0</v>
      </c>
      <c r="V722">
        <v>6.6</v>
      </c>
      <c r="W722">
        <v>2</v>
      </c>
      <c r="X722">
        <v>9.6999999999999993</v>
      </c>
      <c r="Y722">
        <v>27.9</v>
      </c>
      <c r="Z722">
        <v>3</v>
      </c>
      <c r="AA722" t="s">
        <v>46</v>
      </c>
    </row>
    <row r="723" spans="1:27" x14ac:dyDescent="0.3">
      <c r="A723" t="s">
        <v>814</v>
      </c>
      <c r="B723">
        <v>21</v>
      </c>
      <c r="C723" t="s">
        <v>28</v>
      </c>
      <c r="D723">
        <v>4.8</v>
      </c>
      <c r="E723" t="s">
        <v>39</v>
      </c>
      <c r="F723" t="s">
        <v>40</v>
      </c>
      <c r="G723" t="s">
        <v>50</v>
      </c>
      <c r="H723">
        <v>7</v>
      </c>
      <c r="I723" t="s">
        <v>51</v>
      </c>
      <c r="J723" t="s">
        <v>45</v>
      </c>
      <c r="K723" t="s">
        <v>51</v>
      </c>
      <c r="L723">
        <v>2.42</v>
      </c>
      <c r="M723">
        <v>3</v>
      </c>
      <c r="N723" t="s">
        <v>63</v>
      </c>
      <c r="O723" t="s">
        <v>36</v>
      </c>
      <c r="P723" t="b">
        <v>0</v>
      </c>
      <c r="Q723" t="b">
        <v>0</v>
      </c>
      <c r="R723" t="b">
        <v>0</v>
      </c>
      <c r="S723" t="b">
        <v>1</v>
      </c>
      <c r="T723" t="b">
        <v>0</v>
      </c>
      <c r="U723">
        <v>2.7</v>
      </c>
      <c r="V723">
        <v>6</v>
      </c>
      <c r="W723">
        <v>2</v>
      </c>
      <c r="X723">
        <v>7.7</v>
      </c>
      <c r="Y723">
        <v>110.49</v>
      </c>
      <c r="Z723">
        <v>10</v>
      </c>
      <c r="AA723" t="s">
        <v>46</v>
      </c>
    </row>
    <row r="724" spans="1:27" x14ac:dyDescent="0.3">
      <c r="A724" t="s">
        <v>815</v>
      </c>
      <c r="B724">
        <v>23</v>
      </c>
      <c r="C724" t="s">
        <v>28</v>
      </c>
      <c r="D724">
        <v>3.9</v>
      </c>
      <c r="E724" t="s">
        <v>82</v>
      </c>
      <c r="F724" t="s">
        <v>167</v>
      </c>
      <c r="G724" t="s">
        <v>50</v>
      </c>
      <c r="H724">
        <v>6.7</v>
      </c>
      <c r="I724" t="s">
        <v>51</v>
      </c>
      <c r="J724" t="s">
        <v>74</v>
      </c>
      <c r="K724" t="s">
        <v>51</v>
      </c>
      <c r="M724">
        <v>8</v>
      </c>
      <c r="N724" t="s">
        <v>63</v>
      </c>
      <c r="O724" t="s">
        <v>36</v>
      </c>
      <c r="P724" t="b">
        <v>0</v>
      </c>
      <c r="Q724" t="b">
        <v>0</v>
      </c>
      <c r="R724" t="b">
        <v>0</v>
      </c>
      <c r="S724" t="b">
        <v>0</v>
      </c>
      <c r="T724" t="b">
        <v>0</v>
      </c>
      <c r="U724">
        <v>0.3</v>
      </c>
      <c r="V724">
        <v>7.2</v>
      </c>
      <c r="W724">
        <v>2</v>
      </c>
      <c r="X724">
        <v>10.4</v>
      </c>
      <c r="Y724">
        <v>29.56</v>
      </c>
      <c r="Z724">
        <v>5</v>
      </c>
      <c r="AA724" t="s">
        <v>46</v>
      </c>
    </row>
    <row r="725" spans="1:27" x14ac:dyDescent="0.3">
      <c r="A725" t="s">
        <v>816</v>
      </c>
      <c r="B725">
        <v>17</v>
      </c>
      <c r="C725" t="s">
        <v>53</v>
      </c>
      <c r="D725">
        <v>5.0999999999999996</v>
      </c>
      <c r="E725" t="s">
        <v>29</v>
      </c>
      <c r="F725" t="s">
        <v>30</v>
      </c>
      <c r="G725" t="s">
        <v>31</v>
      </c>
      <c r="H725">
        <v>7</v>
      </c>
      <c r="I725" t="s">
        <v>43</v>
      </c>
      <c r="J725" t="s">
        <v>45</v>
      </c>
      <c r="K725" t="s">
        <v>34</v>
      </c>
      <c r="L725">
        <v>3.96</v>
      </c>
      <c r="N725" t="s">
        <v>66</v>
      </c>
      <c r="O725" t="s">
        <v>33</v>
      </c>
      <c r="P725" t="b">
        <v>0</v>
      </c>
      <c r="Q725" t="b">
        <v>0</v>
      </c>
      <c r="R725" t="b">
        <v>0</v>
      </c>
      <c r="S725" t="b">
        <v>1</v>
      </c>
      <c r="T725" t="b">
        <v>0</v>
      </c>
      <c r="U725">
        <v>0.3</v>
      </c>
      <c r="V725">
        <v>5.8</v>
      </c>
      <c r="W725">
        <v>1</v>
      </c>
      <c r="X725">
        <v>10.6</v>
      </c>
      <c r="Y725">
        <v>97.92</v>
      </c>
      <c r="Z725">
        <v>6</v>
      </c>
      <c r="AA725" t="s">
        <v>46</v>
      </c>
    </row>
    <row r="726" spans="1:27" x14ac:dyDescent="0.3">
      <c r="A726" t="s">
        <v>817</v>
      </c>
      <c r="B726">
        <v>19</v>
      </c>
      <c r="C726" t="s">
        <v>28</v>
      </c>
      <c r="D726">
        <v>7.8</v>
      </c>
      <c r="E726" t="s">
        <v>39</v>
      </c>
      <c r="F726" t="s">
        <v>120</v>
      </c>
      <c r="G726" t="s">
        <v>86</v>
      </c>
      <c r="H726">
        <v>4.0999999999999996</v>
      </c>
      <c r="I726" t="s">
        <v>32</v>
      </c>
      <c r="J726" t="s">
        <v>33</v>
      </c>
      <c r="K726" t="s">
        <v>51</v>
      </c>
      <c r="L726">
        <v>1.74</v>
      </c>
      <c r="M726">
        <v>4</v>
      </c>
      <c r="N726" t="s">
        <v>35</v>
      </c>
      <c r="O726" t="s">
        <v>57</v>
      </c>
      <c r="P726" t="b">
        <v>1</v>
      </c>
      <c r="Q726" t="b">
        <v>1</v>
      </c>
      <c r="R726" t="b">
        <v>1</v>
      </c>
      <c r="S726" t="b">
        <v>0</v>
      </c>
      <c r="T726" t="b">
        <v>1</v>
      </c>
      <c r="U726">
        <v>1.5</v>
      </c>
      <c r="V726">
        <v>7.2</v>
      </c>
      <c r="W726">
        <v>6</v>
      </c>
      <c r="X726">
        <v>7.1</v>
      </c>
      <c r="Y726">
        <v>106.73</v>
      </c>
      <c r="Z726">
        <v>2</v>
      </c>
      <c r="AA726" t="s">
        <v>37</v>
      </c>
    </row>
    <row r="727" spans="1:27" x14ac:dyDescent="0.3">
      <c r="A727" t="s">
        <v>818</v>
      </c>
      <c r="B727">
        <v>18</v>
      </c>
      <c r="C727" t="s">
        <v>53</v>
      </c>
      <c r="D727">
        <v>2.1</v>
      </c>
      <c r="E727" t="s">
        <v>60</v>
      </c>
      <c r="F727" t="s">
        <v>200</v>
      </c>
      <c r="G727" t="s">
        <v>50</v>
      </c>
      <c r="H727">
        <v>8.6</v>
      </c>
      <c r="I727" t="s">
        <v>43</v>
      </c>
      <c r="J727" t="s">
        <v>33</v>
      </c>
      <c r="K727" t="s">
        <v>62</v>
      </c>
      <c r="L727">
        <v>1.86</v>
      </c>
      <c r="N727" t="s">
        <v>66</v>
      </c>
      <c r="O727" t="s">
        <v>57</v>
      </c>
      <c r="P727" t="b">
        <v>0</v>
      </c>
      <c r="Q727" t="b">
        <v>0</v>
      </c>
      <c r="R727" t="b">
        <v>0</v>
      </c>
      <c r="S727" t="b">
        <v>0</v>
      </c>
      <c r="T727" t="b">
        <v>0</v>
      </c>
      <c r="U727">
        <v>0.7</v>
      </c>
      <c r="V727">
        <v>9.3000000000000007</v>
      </c>
      <c r="W727">
        <v>1</v>
      </c>
      <c r="X727">
        <v>9.8000000000000007</v>
      </c>
      <c r="Y727">
        <v>49.39</v>
      </c>
      <c r="Z727">
        <v>5</v>
      </c>
      <c r="AA727" t="s">
        <v>46</v>
      </c>
    </row>
    <row r="728" spans="1:27" x14ac:dyDescent="0.3">
      <c r="A728" t="s">
        <v>819</v>
      </c>
      <c r="B728">
        <v>17</v>
      </c>
      <c r="C728" t="s">
        <v>53</v>
      </c>
      <c r="D728">
        <v>6.2</v>
      </c>
      <c r="E728" t="s">
        <v>29</v>
      </c>
      <c r="F728" t="s">
        <v>73</v>
      </c>
      <c r="G728" t="s">
        <v>86</v>
      </c>
      <c r="H728">
        <v>5.7</v>
      </c>
      <c r="I728" t="s">
        <v>41</v>
      </c>
      <c r="J728" t="s">
        <v>33</v>
      </c>
      <c r="K728" t="s">
        <v>34</v>
      </c>
      <c r="L728">
        <v>2.2200000000000002</v>
      </c>
      <c r="N728" t="s">
        <v>63</v>
      </c>
      <c r="O728" t="s">
        <v>45</v>
      </c>
      <c r="P728" t="b">
        <v>0</v>
      </c>
      <c r="Q728" t="b">
        <v>1</v>
      </c>
      <c r="R728" t="b">
        <v>0</v>
      </c>
      <c r="S728" t="b">
        <v>1</v>
      </c>
      <c r="T728" t="b">
        <v>1</v>
      </c>
      <c r="U728">
        <v>2.2000000000000002</v>
      </c>
      <c r="V728">
        <v>5.2</v>
      </c>
      <c r="W728">
        <v>4</v>
      </c>
      <c r="X728">
        <v>5.2</v>
      </c>
      <c r="Y728">
        <v>37</v>
      </c>
      <c r="Z728">
        <v>6</v>
      </c>
      <c r="AA728" t="s">
        <v>64</v>
      </c>
    </row>
    <row r="729" spans="1:27" x14ac:dyDescent="0.3">
      <c r="A729" t="s">
        <v>820</v>
      </c>
      <c r="B729">
        <v>17</v>
      </c>
      <c r="C729" t="s">
        <v>28</v>
      </c>
      <c r="D729">
        <v>6.3</v>
      </c>
      <c r="E729" t="s">
        <v>39</v>
      </c>
      <c r="F729" t="s">
        <v>120</v>
      </c>
      <c r="G729" t="s">
        <v>71</v>
      </c>
      <c r="H729">
        <v>6.6</v>
      </c>
      <c r="I729" t="s">
        <v>41</v>
      </c>
      <c r="J729" t="s">
        <v>45</v>
      </c>
      <c r="K729" t="s">
        <v>62</v>
      </c>
      <c r="L729">
        <v>3.01</v>
      </c>
      <c r="N729" t="s">
        <v>35</v>
      </c>
      <c r="O729" t="s">
        <v>36</v>
      </c>
      <c r="P729" t="b">
        <v>0</v>
      </c>
      <c r="Q729" t="b">
        <v>1</v>
      </c>
      <c r="R729" t="b">
        <v>0</v>
      </c>
      <c r="S729" t="b">
        <v>1</v>
      </c>
      <c r="T729" t="b">
        <v>1</v>
      </c>
      <c r="U729">
        <v>2</v>
      </c>
      <c r="V729">
        <v>6.9</v>
      </c>
      <c r="W729">
        <v>2</v>
      </c>
      <c r="X729">
        <v>8.6</v>
      </c>
      <c r="Y729">
        <v>147.26</v>
      </c>
      <c r="Z729">
        <v>2</v>
      </c>
      <c r="AA729" t="s">
        <v>64</v>
      </c>
    </row>
    <row r="730" spans="1:27" x14ac:dyDescent="0.3">
      <c r="A730" t="s">
        <v>821</v>
      </c>
      <c r="B730">
        <v>21</v>
      </c>
      <c r="C730" t="s">
        <v>28</v>
      </c>
      <c r="D730">
        <v>8.4</v>
      </c>
      <c r="E730" t="s">
        <v>48</v>
      </c>
      <c r="F730" t="s">
        <v>128</v>
      </c>
      <c r="G730" t="s">
        <v>50</v>
      </c>
      <c r="H730">
        <v>5.0999999999999996</v>
      </c>
      <c r="I730" t="s">
        <v>51</v>
      </c>
      <c r="J730" t="s">
        <v>36</v>
      </c>
      <c r="K730" t="s">
        <v>34</v>
      </c>
      <c r="L730">
        <v>2.38</v>
      </c>
      <c r="M730">
        <v>10</v>
      </c>
      <c r="N730" t="s">
        <v>35</v>
      </c>
      <c r="O730" t="s">
        <v>42</v>
      </c>
      <c r="P730" t="b">
        <v>1</v>
      </c>
      <c r="Q730" t="b">
        <v>1</v>
      </c>
      <c r="R730" t="b">
        <v>1</v>
      </c>
      <c r="S730" t="b">
        <v>0</v>
      </c>
      <c r="T730" t="b">
        <v>1</v>
      </c>
      <c r="U730">
        <v>1.8</v>
      </c>
      <c r="V730">
        <v>5.8</v>
      </c>
      <c r="W730">
        <v>6</v>
      </c>
      <c r="X730">
        <v>2.8</v>
      </c>
      <c r="Y730">
        <v>73.12</v>
      </c>
      <c r="Z730">
        <v>8</v>
      </c>
      <c r="AA730" t="s">
        <v>37</v>
      </c>
    </row>
    <row r="731" spans="1:27" x14ac:dyDescent="0.3">
      <c r="A731" t="s">
        <v>822</v>
      </c>
      <c r="B731">
        <v>22</v>
      </c>
      <c r="C731" t="s">
        <v>28</v>
      </c>
      <c r="D731">
        <v>10.3</v>
      </c>
      <c r="E731" t="s">
        <v>82</v>
      </c>
      <c r="F731" t="s">
        <v>134</v>
      </c>
      <c r="G731" t="s">
        <v>31</v>
      </c>
      <c r="H731">
        <v>5.8</v>
      </c>
      <c r="I731" t="s">
        <v>51</v>
      </c>
      <c r="J731" t="s">
        <v>33</v>
      </c>
      <c r="K731" t="s">
        <v>51</v>
      </c>
      <c r="L731">
        <v>2.9</v>
      </c>
      <c r="M731">
        <v>10</v>
      </c>
      <c r="N731" t="s">
        <v>44</v>
      </c>
      <c r="O731" t="s">
        <v>42</v>
      </c>
      <c r="P731" t="b">
        <v>1</v>
      </c>
      <c r="Q731" t="b">
        <v>1</v>
      </c>
      <c r="R731" t="b">
        <v>0</v>
      </c>
      <c r="S731" t="b">
        <v>1</v>
      </c>
      <c r="T731" t="b">
        <v>1</v>
      </c>
      <c r="U731">
        <v>3.9</v>
      </c>
      <c r="V731">
        <v>4.0999999999999996</v>
      </c>
      <c r="W731">
        <v>6</v>
      </c>
      <c r="X731">
        <v>2.9</v>
      </c>
      <c r="Y731">
        <v>446.66</v>
      </c>
      <c r="Z731">
        <v>11</v>
      </c>
      <c r="AA731" t="s">
        <v>37</v>
      </c>
    </row>
    <row r="732" spans="1:27" x14ac:dyDescent="0.3">
      <c r="A732" t="s">
        <v>823</v>
      </c>
      <c r="B732">
        <v>17</v>
      </c>
      <c r="C732" t="s">
        <v>53</v>
      </c>
      <c r="D732">
        <v>3.2</v>
      </c>
      <c r="E732" t="s">
        <v>60</v>
      </c>
      <c r="F732" t="s">
        <v>200</v>
      </c>
      <c r="G732" t="s">
        <v>31</v>
      </c>
      <c r="H732">
        <v>7.2</v>
      </c>
      <c r="I732" t="s">
        <v>43</v>
      </c>
      <c r="J732" t="s">
        <v>36</v>
      </c>
      <c r="K732" t="s">
        <v>51</v>
      </c>
      <c r="L732">
        <v>3.6</v>
      </c>
      <c r="N732" t="s">
        <v>69</v>
      </c>
      <c r="O732" t="s">
        <v>33</v>
      </c>
      <c r="P732" t="b">
        <v>0</v>
      </c>
      <c r="Q732" t="b">
        <v>0</v>
      </c>
      <c r="R732" t="b">
        <v>0</v>
      </c>
      <c r="S732" t="b">
        <v>0</v>
      </c>
      <c r="T732" t="b">
        <v>0</v>
      </c>
      <c r="U732">
        <v>0.9</v>
      </c>
      <c r="V732">
        <v>7.9</v>
      </c>
      <c r="W732">
        <v>1</v>
      </c>
      <c r="X732">
        <v>13.8</v>
      </c>
      <c r="Y732">
        <v>12.37</v>
      </c>
      <c r="Z732">
        <v>3</v>
      </c>
      <c r="AA732" t="s">
        <v>46</v>
      </c>
    </row>
    <row r="733" spans="1:27" x14ac:dyDescent="0.3">
      <c r="A733" t="s">
        <v>824</v>
      </c>
      <c r="B733">
        <v>28</v>
      </c>
      <c r="C733" t="s">
        <v>53</v>
      </c>
      <c r="D733">
        <v>8.6</v>
      </c>
      <c r="E733" t="s">
        <v>39</v>
      </c>
      <c r="F733" t="s">
        <v>93</v>
      </c>
      <c r="G733" t="s">
        <v>50</v>
      </c>
      <c r="H733">
        <v>4.2</v>
      </c>
      <c r="I733" t="s">
        <v>41</v>
      </c>
      <c r="J733" t="s">
        <v>42</v>
      </c>
      <c r="K733" t="s">
        <v>62</v>
      </c>
      <c r="M733">
        <v>2</v>
      </c>
      <c r="N733" t="s">
        <v>35</v>
      </c>
      <c r="O733" t="s">
        <v>33</v>
      </c>
      <c r="P733" t="b">
        <v>0</v>
      </c>
      <c r="Q733" t="b">
        <v>1</v>
      </c>
      <c r="R733" t="b">
        <v>1</v>
      </c>
      <c r="S733" t="b">
        <v>0</v>
      </c>
      <c r="T733" t="b">
        <v>1</v>
      </c>
      <c r="U733">
        <v>3.7</v>
      </c>
      <c r="V733">
        <v>5.3</v>
      </c>
      <c r="W733">
        <v>6</v>
      </c>
      <c r="X733">
        <v>4.8</v>
      </c>
      <c r="Y733">
        <v>309.02</v>
      </c>
      <c r="Z733">
        <v>9</v>
      </c>
      <c r="AA733" t="s">
        <v>37</v>
      </c>
    </row>
    <row r="734" spans="1:27" x14ac:dyDescent="0.3">
      <c r="A734" t="s">
        <v>825</v>
      </c>
      <c r="B734">
        <v>19</v>
      </c>
      <c r="C734" t="s">
        <v>53</v>
      </c>
      <c r="D734">
        <v>4.3</v>
      </c>
      <c r="E734" t="s">
        <v>60</v>
      </c>
      <c r="F734" t="s">
        <v>200</v>
      </c>
      <c r="G734" t="s">
        <v>71</v>
      </c>
      <c r="H734">
        <v>5.5</v>
      </c>
      <c r="I734" t="s">
        <v>41</v>
      </c>
      <c r="J734" t="s">
        <v>45</v>
      </c>
      <c r="K734" t="s">
        <v>34</v>
      </c>
      <c r="L734">
        <v>1.96</v>
      </c>
      <c r="M734">
        <v>1</v>
      </c>
      <c r="N734" t="s">
        <v>105</v>
      </c>
      <c r="O734" t="s">
        <v>33</v>
      </c>
      <c r="P734" t="b">
        <v>0</v>
      </c>
      <c r="Q734" t="b">
        <v>0</v>
      </c>
      <c r="R734" t="b">
        <v>0</v>
      </c>
      <c r="S734" t="b">
        <v>0</v>
      </c>
      <c r="T734" t="b">
        <v>0</v>
      </c>
      <c r="U734">
        <v>1</v>
      </c>
      <c r="V734">
        <v>8.1999999999999993</v>
      </c>
      <c r="W734">
        <v>3</v>
      </c>
      <c r="X734">
        <v>8.1</v>
      </c>
      <c r="Y734">
        <v>18.739999999999998</v>
      </c>
      <c r="Z734">
        <v>4</v>
      </c>
      <c r="AA734" t="s">
        <v>46</v>
      </c>
    </row>
    <row r="735" spans="1:27" x14ac:dyDescent="0.3">
      <c r="A735" t="s">
        <v>826</v>
      </c>
      <c r="B735">
        <v>23</v>
      </c>
      <c r="C735" t="s">
        <v>28</v>
      </c>
      <c r="D735">
        <v>5.4</v>
      </c>
      <c r="E735" t="s">
        <v>60</v>
      </c>
      <c r="F735" t="s">
        <v>96</v>
      </c>
      <c r="G735" t="s">
        <v>50</v>
      </c>
      <c r="H735">
        <v>6.7</v>
      </c>
      <c r="I735" t="s">
        <v>43</v>
      </c>
      <c r="J735" t="s">
        <v>45</v>
      </c>
      <c r="K735" t="s">
        <v>62</v>
      </c>
      <c r="M735">
        <v>9</v>
      </c>
      <c r="N735" t="s">
        <v>66</v>
      </c>
      <c r="O735" t="s">
        <v>36</v>
      </c>
      <c r="P735" t="b">
        <v>0</v>
      </c>
      <c r="Q735" t="b">
        <v>0</v>
      </c>
      <c r="R735" t="b">
        <v>0</v>
      </c>
      <c r="S735" t="b">
        <v>1</v>
      </c>
      <c r="T735" t="b">
        <v>0</v>
      </c>
      <c r="U735">
        <v>0</v>
      </c>
      <c r="V735">
        <v>7.2</v>
      </c>
      <c r="W735">
        <v>3</v>
      </c>
      <c r="X735">
        <v>12</v>
      </c>
      <c r="Y735">
        <v>101.27</v>
      </c>
      <c r="Z735">
        <v>10</v>
      </c>
      <c r="AA735" t="s">
        <v>46</v>
      </c>
    </row>
    <row r="736" spans="1:27" x14ac:dyDescent="0.3">
      <c r="A736" t="s">
        <v>827</v>
      </c>
      <c r="B736">
        <v>17</v>
      </c>
      <c r="C736" t="s">
        <v>53</v>
      </c>
      <c r="D736">
        <v>4.4000000000000004</v>
      </c>
      <c r="E736" t="s">
        <v>48</v>
      </c>
      <c r="F736" t="s">
        <v>214</v>
      </c>
      <c r="G736" t="s">
        <v>86</v>
      </c>
      <c r="H736">
        <v>6.1</v>
      </c>
      <c r="I736" t="s">
        <v>41</v>
      </c>
      <c r="J736" t="s">
        <v>36</v>
      </c>
      <c r="K736" t="s">
        <v>51</v>
      </c>
      <c r="L736">
        <v>1.03</v>
      </c>
      <c r="N736" t="s">
        <v>66</v>
      </c>
      <c r="O736" t="s">
        <v>33</v>
      </c>
      <c r="P736" t="b">
        <v>0</v>
      </c>
      <c r="Q736" t="b">
        <v>0</v>
      </c>
      <c r="R736" t="b">
        <v>0</v>
      </c>
      <c r="S736" t="b">
        <v>0</v>
      </c>
      <c r="T736" t="b">
        <v>0</v>
      </c>
      <c r="U736">
        <v>0.3</v>
      </c>
      <c r="V736">
        <v>9.5</v>
      </c>
      <c r="W736">
        <v>2</v>
      </c>
      <c r="X736">
        <v>8.1</v>
      </c>
      <c r="Y736">
        <v>35.72</v>
      </c>
      <c r="Z736">
        <v>5</v>
      </c>
      <c r="AA736" t="s">
        <v>46</v>
      </c>
    </row>
    <row r="737" spans="1:27" x14ac:dyDescent="0.3">
      <c r="A737" t="s">
        <v>828</v>
      </c>
      <c r="B737">
        <v>18</v>
      </c>
      <c r="C737" t="s">
        <v>28</v>
      </c>
      <c r="D737">
        <v>11.4</v>
      </c>
      <c r="E737" t="s">
        <v>60</v>
      </c>
      <c r="F737" t="s">
        <v>200</v>
      </c>
      <c r="G737" t="s">
        <v>86</v>
      </c>
      <c r="H737">
        <v>4.5999999999999996</v>
      </c>
      <c r="I737" t="s">
        <v>32</v>
      </c>
      <c r="J737" t="s">
        <v>33</v>
      </c>
      <c r="K737" t="s">
        <v>34</v>
      </c>
      <c r="L737">
        <v>1.61</v>
      </c>
      <c r="N737" t="s">
        <v>35</v>
      </c>
      <c r="O737" t="s">
        <v>45</v>
      </c>
      <c r="P737" t="b">
        <v>1</v>
      </c>
      <c r="Q737" t="b">
        <v>0</v>
      </c>
      <c r="R737" t="b">
        <v>0</v>
      </c>
      <c r="S737" t="b">
        <v>0</v>
      </c>
      <c r="T737" t="b">
        <v>1</v>
      </c>
      <c r="U737">
        <v>2.5</v>
      </c>
      <c r="V737">
        <v>5.0999999999999996</v>
      </c>
      <c r="W737">
        <v>8</v>
      </c>
      <c r="X737">
        <v>0.2</v>
      </c>
      <c r="Y737">
        <v>151.46</v>
      </c>
      <c r="Z737">
        <v>5</v>
      </c>
      <c r="AA737" t="s">
        <v>58</v>
      </c>
    </row>
    <row r="738" spans="1:27" x14ac:dyDescent="0.3">
      <c r="A738" t="s">
        <v>829</v>
      </c>
      <c r="B738">
        <v>17</v>
      </c>
      <c r="C738" t="s">
        <v>28</v>
      </c>
      <c r="D738">
        <v>8.6</v>
      </c>
      <c r="E738" t="s">
        <v>54</v>
      </c>
      <c r="F738" t="s">
        <v>55</v>
      </c>
      <c r="G738" t="s">
        <v>50</v>
      </c>
      <c r="H738">
        <v>4.9000000000000004</v>
      </c>
      <c r="I738" t="s">
        <v>51</v>
      </c>
      <c r="J738" t="s">
        <v>36</v>
      </c>
      <c r="K738" t="s">
        <v>51</v>
      </c>
      <c r="L738">
        <v>2.95</v>
      </c>
      <c r="N738" t="s">
        <v>44</v>
      </c>
      <c r="O738" t="s">
        <v>45</v>
      </c>
      <c r="P738" t="b">
        <v>1</v>
      </c>
      <c r="Q738" t="b">
        <v>1</v>
      </c>
      <c r="R738" t="b">
        <v>1</v>
      </c>
      <c r="S738" t="b">
        <v>1</v>
      </c>
      <c r="T738" t="b">
        <v>1</v>
      </c>
      <c r="U738">
        <v>2.6</v>
      </c>
      <c r="V738">
        <v>5.6</v>
      </c>
      <c r="W738">
        <v>5</v>
      </c>
      <c r="X738">
        <v>3.8</v>
      </c>
      <c r="Y738">
        <v>123.19</v>
      </c>
      <c r="Z738">
        <v>7</v>
      </c>
      <c r="AA738" t="s">
        <v>37</v>
      </c>
    </row>
    <row r="739" spans="1:27" x14ac:dyDescent="0.3">
      <c r="A739" t="s">
        <v>830</v>
      </c>
      <c r="B739">
        <v>15</v>
      </c>
      <c r="C739" t="s">
        <v>53</v>
      </c>
      <c r="D739">
        <v>7</v>
      </c>
      <c r="E739" t="s">
        <v>82</v>
      </c>
      <c r="F739" t="s">
        <v>167</v>
      </c>
      <c r="G739" t="s">
        <v>31</v>
      </c>
      <c r="H739">
        <v>4</v>
      </c>
      <c r="I739" t="s">
        <v>51</v>
      </c>
      <c r="J739" t="s">
        <v>42</v>
      </c>
      <c r="K739" t="s">
        <v>129</v>
      </c>
      <c r="L739">
        <v>1.93</v>
      </c>
      <c r="N739" t="s">
        <v>35</v>
      </c>
      <c r="O739" t="s">
        <v>45</v>
      </c>
      <c r="P739" t="b">
        <v>1</v>
      </c>
      <c r="Q739" t="b">
        <v>0</v>
      </c>
      <c r="R739" t="b">
        <v>0</v>
      </c>
      <c r="S739" t="b">
        <v>1</v>
      </c>
      <c r="T739" t="b">
        <v>1</v>
      </c>
      <c r="U739">
        <v>0.1</v>
      </c>
      <c r="V739">
        <v>8.4</v>
      </c>
      <c r="W739">
        <v>4</v>
      </c>
      <c r="X739">
        <v>3.7</v>
      </c>
      <c r="Y739">
        <v>65.22</v>
      </c>
      <c r="Z739">
        <v>5</v>
      </c>
      <c r="AA739" t="s">
        <v>64</v>
      </c>
    </row>
    <row r="740" spans="1:27" x14ac:dyDescent="0.3">
      <c r="A740" t="s">
        <v>831</v>
      </c>
      <c r="B740">
        <v>29</v>
      </c>
      <c r="C740" t="s">
        <v>28</v>
      </c>
      <c r="D740">
        <v>5.8</v>
      </c>
      <c r="E740" t="s">
        <v>76</v>
      </c>
      <c r="F740" t="s">
        <v>110</v>
      </c>
      <c r="G740" t="s">
        <v>71</v>
      </c>
      <c r="H740">
        <v>6.6</v>
      </c>
      <c r="I740" t="s">
        <v>43</v>
      </c>
      <c r="J740" t="s">
        <v>42</v>
      </c>
      <c r="K740" t="s">
        <v>51</v>
      </c>
      <c r="M740">
        <v>1</v>
      </c>
      <c r="N740" t="s">
        <v>66</v>
      </c>
      <c r="O740" t="s">
        <v>42</v>
      </c>
      <c r="P740" t="b">
        <v>0</v>
      </c>
      <c r="Q740" t="b">
        <v>1</v>
      </c>
      <c r="R740" t="b">
        <v>0</v>
      </c>
      <c r="S740" t="b">
        <v>0</v>
      </c>
      <c r="T740" t="b">
        <v>1</v>
      </c>
      <c r="U740">
        <v>0.5</v>
      </c>
      <c r="V740">
        <v>7.7</v>
      </c>
      <c r="W740">
        <v>4</v>
      </c>
      <c r="X740">
        <v>9.5</v>
      </c>
      <c r="Y740">
        <v>27.31</v>
      </c>
      <c r="Z740">
        <v>4</v>
      </c>
      <c r="AA740" t="s">
        <v>64</v>
      </c>
    </row>
    <row r="741" spans="1:27" x14ac:dyDescent="0.3">
      <c r="A741" t="s">
        <v>832</v>
      </c>
      <c r="B741">
        <v>17</v>
      </c>
      <c r="C741" t="s">
        <v>28</v>
      </c>
      <c r="D741">
        <v>6.2</v>
      </c>
      <c r="E741" t="s">
        <v>82</v>
      </c>
      <c r="F741" t="s">
        <v>167</v>
      </c>
      <c r="G741" t="s">
        <v>31</v>
      </c>
      <c r="H741">
        <v>5.4</v>
      </c>
      <c r="I741" t="s">
        <v>51</v>
      </c>
      <c r="J741" t="s">
        <v>42</v>
      </c>
      <c r="K741" t="s">
        <v>62</v>
      </c>
      <c r="L741">
        <v>3.01</v>
      </c>
      <c r="N741" t="s">
        <v>35</v>
      </c>
      <c r="O741" t="s">
        <v>36</v>
      </c>
      <c r="P741" t="b">
        <v>0</v>
      </c>
      <c r="Q741" t="b">
        <v>0</v>
      </c>
      <c r="R741" t="b">
        <v>0</v>
      </c>
      <c r="S741" t="b">
        <v>1</v>
      </c>
      <c r="T741" t="b">
        <v>0</v>
      </c>
      <c r="U741">
        <v>2.2000000000000002</v>
      </c>
      <c r="V741">
        <v>7</v>
      </c>
      <c r="W741">
        <v>5</v>
      </c>
      <c r="X741">
        <v>6.2</v>
      </c>
      <c r="Y741">
        <v>115.5</v>
      </c>
      <c r="Z741">
        <v>7</v>
      </c>
      <c r="AA741" t="s">
        <v>46</v>
      </c>
    </row>
    <row r="742" spans="1:27" x14ac:dyDescent="0.3">
      <c r="A742" t="s">
        <v>833</v>
      </c>
      <c r="B742">
        <v>17</v>
      </c>
      <c r="C742" t="s">
        <v>28</v>
      </c>
      <c r="D742">
        <v>6.3</v>
      </c>
      <c r="E742" t="s">
        <v>76</v>
      </c>
      <c r="F742" t="s">
        <v>126</v>
      </c>
      <c r="G742" t="s">
        <v>31</v>
      </c>
      <c r="H742">
        <v>6.2</v>
      </c>
      <c r="I742" t="s">
        <v>32</v>
      </c>
      <c r="J742" t="s">
        <v>45</v>
      </c>
      <c r="K742" t="s">
        <v>43</v>
      </c>
      <c r="L742">
        <v>2.75</v>
      </c>
      <c r="N742" t="s">
        <v>80</v>
      </c>
      <c r="O742" t="s">
        <v>33</v>
      </c>
      <c r="P742" t="b">
        <v>0</v>
      </c>
      <c r="Q742" t="b">
        <v>0</v>
      </c>
      <c r="R742" t="b">
        <v>0</v>
      </c>
      <c r="S742" t="b">
        <v>1</v>
      </c>
      <c r="T742" t="b">
        <v>1</v>
      </c>
      <c r="U742">
        <v>0.8</v>
      </c>
      <c r="V742">
        <v>7.9</v>
      </c>
      <c r="W742">
        <v>3</v>
      </c>
      <c r="X742">
        <v>7.5</v>
      </c>
      <c r="Y742">
        <v>35.840000000000003</v>
      </c>
      <c r="Z742">
        <v>7</v>
      </c>
      <c r="AA742" t="s">
        <v>46</v>
      </c>
    </row>
    <row r="743" spans="1:27" x14ac:dyDescent="0.3">
      <c r="A743" t="s">
        <v>834</v>
      </c>
      <c r="B743">
        <v>22</v>
      </c>
      <c r="C743" t="s">
        <v>28</v>
      </c>
      <c r="D743">
        <v>13.5</v>
      </c>
      <c r="E743" t="s">
        <v>48</v>
      </c>
      <c r="F743" t="s">
        <v>214</v>
      </c>
      <c r="G743" t="s">
        <v>86</v>
      </c>
      <c r="H743">
        <v>4.3</v>
      </c>
      <c r="I743" t="s">
        <v>32</v>
      </c>
      <c r="J743" t="s">
        <v>36</v>
      </c>
      <c r="K743" t="s">
        <v>51</v>
      </c>
      <c r="L743">
        <v>1.93</v>
      </c>
      <c r="M743">
        <v>10</v>
      </c>
      <c r="N743" t="s">
        <v>80</v>
      </c>
      <c r="O743" t="s">
        <v>45</v>
      </c>
      <c r="P743" t="b">
        <v>0</v>
      </c>
      <c r="Q743" t="b">
        <v>1</v>
      </c>
      <c r="R743" t="b">
        <v>0</v>
      </c>
      <c r="S743" t="b">
        <v>1</v>
      </c>
      <c r="T743" t="b">
        <v>0</v>
      </c>
      <c r="U743">
        <v>0.8</v>
      </c>
      <c r="V743">
        <v>2</v>
      </c>
      <c r="W743">
        <v>10</v>
      </c>
      <c r="X743">
        <v>0</v>
      </c>
      <c r="Y743">
        <v>52.68</v>
      </c>
      <c r="Z743">
        <v>8</v>
      </c>
      <c r="AA743" t="s">
        <v>58</v>
      </c>
    </row>
    <row r="744" spans="1:27" x14ac:dyDescent="0.3">
      <c r="A744" t="s">
        <v>835</v>
      </c>
      <c r="B744">
        <v>26</v>
      </c>
      <c r="C744" t="s">
        <v>28</v>
      </c>
      <c r="D744">
        <v>7.4</v>
      </c>
      <c r="E744" t="s">
        <v>29</v>
      </c>
      <c r="F744" t="s">
        <v>73</v>
      </c>
      <c r="G744" t="s">
        <v>31</v>
      </c>
      <c r="H744">
        <v>3</v>
      </c>
      <c r="I744" t="s">
        <v>41</v>
      </c>
      <c r="J744" t="s">
        <v>45</v>
      </c>
      <c r="K744" t="s">
        <v>51</v>
      </c>
      <c r="M744">
        <v>3</v>
      </c>
      <c r="N744" t="s">
        <v>69</v>
      </c>
      <c r="O744" t="s">
        <v>57</v>
      </c>
      <c r="P744" t="b">
        <v>1</v>
      </c>
      <c r="Q744" t="b">
        <v>1</v>
      </c>
      <c r="R744" t="b">
        <v>0</v>
      </c>
      <c r="S744" t="b">
        <v>1</v>
      </c>
      <c r="T744" t="b">
        <v>0</v>
      </c>
      <c r="U744">
        <v>0.8</v>
      </c>
      <c r="V744">
        <v>7.7</v>
      </c>
      <c r="W744">
        <v>4</v>
      </c>
      <c r="X744">
        <v>5</v>
      </c>
      <c r="Y744">
        <v>75.3</v>
      </c>
      <c r="Z744">
        <v>2</v>
      </c>
      <c r="AA744" t="s">
        <v>58</v>
      </c>
    </row>
    <row r="745" spans="1:27" x14ac:dyDescent="0.3">
      <c r="A745" t="s">
        <v>836</v>
      </c>
      <c r="B745">
        <v>20</v>
      </c>
      <c r="C745" t="s">
        <v>28</v>
      </c>
      <c r="D745">
        <v>1.2</v>
      </c>
      <c r="E745" t="s">
        <v>39</v>
      </c>
      <c r="F745" t="s">
        <v>40</v>
      </c>
      <c r="G745" t="s">
        <v>50</v>
      </c>
      <c r="H745">
        <v>8.1999999999999993</v>
      </c>
      <c r="I745" t="s">
        <v>41</v>
      </c>
      <c r="J745" t="s">
        <v>42</v>
      </c>
      <c r="K745" t="s">
        <v>62</v>
      </c>
      <c r="L745">
        <v>1.86</v>
      </c>
      <c r="M745">
        <v>10</v>
      </c>
      <c r="N745" t="s">
        <v>80</v>
      </c>
      <c r="O745" t="s">
        <v>42</v>
      </c>
      <c r="P745" t="b">
        <v>0</v>
      </c>
      <c r="Q745" t="b">
        <v>0</v>
      </c>
      <c r="R745" t="b">
        <v>0</v>
      </c>
      <c r="S745" t="b">
        <v>0</v>
      </c>
      <c r="T745" t="b">
        <v>0</v>
      </c>
      <c r="U745">
        <v>0.3</v>
      </c>
      <c r="V745">
        <v>9.6999999999999993</v>
      </c>
      <c r="W745">
        <v>1</v>
      </c>
      <c r="X745">
        <v>15.1</v>
      </c>
      <c r="Y745">
        <v>39.28</v>
      </c>
      <c r="Z745">
        <v>1</v>
      </c>
      <c r="AA745" t="s">
        <v>46</v>
      </c>
    </row>
    <row r="746" spans="1:27" x14ac:dyDescent="0.3">
      <c r="A746" t="s">
        <v>837</v>
      </c>
      <c r="B746">
        <v>18</v>
      </c>
      <c r="C746" t="s">
        <v>28</v>
      </c>
      <c r="D746">
        <v>2.2999999999999998</v>
      </c>
      <c r="E746" t="s">
        <v>82</v>
      </c>
      <c r="F746" t="s">
        <v>134</v>
      </c>
      <c r="G746" t="s">
        <v>86</v>
      </c>
      <c r="H746">
        <v>7.4</v>
      </c>
      <c r="I746" t="s">
        <v>41</v>
      </c>
      <c r="J746" t="s">
        <v>45</v>
      </c>
      <c r="K746" t="s">
        <v>84</v>
      </c>
      <c r="L746">
        <v>1.76</v>
      </c>
      <c r="N746" t="s">
        <v>66</v>
      </c>
      <c r="O746" t="s">
        <v>45</v>
      </c>
      <c r="P746" t="b">
        <v>0</v>
      </c>
      <c r="Q746" t="b">
        <v>0</v>
      </c>
      <c r="R746" t="b">
        <v>0</v>
      </c>
      <c r="S746" t="b">
        <v>0</v>
      </c>
      <c r="T746" t="b">
        <v>0</v>
      </c>
      <c r="U746">
        <v>0.6</v>
      </c>
      <c r="V746">
        <v>10.199999999999999</v>
      </c>
      <c r="W746">
        <v>2</v>
      </c>
      <c r="X746">
        <v>12.9</v>
      </c>
      <c r="Y746">
        <v>35.69</v>
      </c>
      <c r="Z746">
        <v>6</v>
      </c>
      <c r="AA746" t="s">
        <v>46</v>
      </c>
    </row>
    <row r="747" spans="1:27" x14ac:dyDescent="0.3">
      <c r="A747" t="s">
        <v>838</v>
      </c>
      <c r="B747">
        <v>22</v>
      </c>
      <c r="C747" t="s">
        <v>53</v>
      </c>
      <c r="D747">
        <v>4.5999999999999996</v>
      </c>
      <c r="E747" t="s">
        <v>39</v>
      </c>
      <c r="F747" t="s">
        <v>93</v>
      </c>
      <c r="G747" t="s">
        <v>71</v>
      </c>
      <c r="H747">
        <v>6</v>
      </c>
      <c r="I747" t="s">
        <v>41</v>
      </c>
      <c r="J747" t="s">
        <v>36</v>
      </c>
      <c r="K747" t="s">
        <v>84</v>
      </c>
      <c r="L747">
        <v>1.71</v>
      </c>
      <c r="M747">
        <v>2</v>
      </c>
      <c r="N747" t="s">
        <v>69</v>
      </c>
      <c r="O747" t="s">
        <v>33</v>
      </c>
      <c r="P747" t="b">
        <v>0</v>
      </c>
      <c r="Q747" t="b">
        <v>0</v>
      </c>
      <c r="R747" t="b">
        <v>0</v>
      </c>
      <c r="S747" t="b">
        <v>1</v>
      </c>
      <c r="T747" t="b">
        <v>0</v>
      </c>
      <c r="U747">
        <v>0.5</v>
      </c>
      <c r="V747">
        <v>7.5</v>
      </c>
      <c r="W747">
        <v>3</v>
      </c>
      <c r="X747">
        <v>9</v>
      </c>
      <c r="Y747">
        <v>46.89</v>
      </c>
      <c r="Z747">
        <v>11</v>
      </c>
      <c r="AA747" t="s">
        <v>46</v>
      </c>
    </row>
    <row r="748" spans="1:27" x14ac:dyDescent="0.3">
      <c r="A748" t="s">
        <v>839</v>
      </c>
      <c r="B748">
        <v>29</v>
      </c>
      <c r="C748" t="s">
        <v>28</v>
      </c>
      <c r="D748">
        <v>0.7</v>
      </c>
      <c r="E748" t="s">
        <v>39</v>
      </c>
      <c r="F748" t="s">
        <v>120</v>
      </c>
      <c r="G748" t="s">
        <v>50</v>
      </c>
      <c r="H748">
        <v>7.3</v>
      </c>
      <c r="I748" t="s">
        <v>41</v>
      </c>
      <c r="J748" t="s">
        <v>33</v>
      </c>
      <c r="K748" t="s">
        <v>34</v>
      </c>
      <c r="M748">
        <v>4</v>
      </c>
      <c r="N748" t="s">
        <v>80</v>
      </c>
      <c r="O748" t="s">
        <v>57</v>
      </c>
      <c r="P748" t="b">
        <v>0</v>
      </c>
      <c r="Q748" t="b">
        <v>0</v>
      </c>
      <c r="R748" t="b">
        <v>0</v>
      </c>
      <c r="S748" t="b">
        <v>0</v>
      </c>
      <c r="T748" t="b">
        <v>0</v>
      </c>
      <c r="U748">
        <v>0.3</v>
      </c>
      <c r="V748">
        <v>8.5</v>
      </c>
      <c r="W748">
        <v>1</v>
      </c>
      <c r="X748">
        <v>11.8</v>
      </c>
      <c r="Y748">
        <v>46.38</v>
      </c>
      <c r="Z748">
        <v>15</v>
      </c>
      <c r="AA748" t="s">
        <v>46</v>
      </c>
    </row>
    <row r="749" spans="1:27" x14ac:dyDescent="0.3">
      <c r="A749" t="s">
        <v>840</v>
      </c>
      <c r="B749">
        <v>18</v>
      </c>
      <c r="C749" t="s">
        <v>28</v>
      </c>
      <c r="D749">
        <v>0.6</v>
      </c>
      <c r="E749" t="s">
        <v>29</v>
      </c>
      <c r="F749" t="s">
        <v>104</v>
      </c>
      <c r="G749" t="s">
        <v>71</v>
      </c>
      <c r="H749">
        <v>8.1</v>
      </c>
      <c r="I749" t="s">
        <v>41</v>
      </c>
      <c r="J749" t="s">
        <v>45</v>
      </c>
      <c r="K749" t="s">
        <v>43</v>
      </c>
      <c r="L749">
        <v>1.46</v>
      </c>
      <c r="N749" t="s">
        <v>66</v>
      </c>
      <c r="O749" t="s">
        <v>57</v>
      </c>
      <c r="P749" t="b">
        <v>0</v>
      </c>
      <c r="Q749" t="b">
        <v>0</v>
      </c>
      <c r="R749" t="b">
        <v>0</v>
      </c>
      <c r="S749" t="b">
        <v>0</v>
      </c>
      <c r="T749" t="b">
        <v>0</v>
      </c>
      <c r="U749">
        <v>0.2</v>
      </c>
      <c r="V749">
        <v>10.8</v>
      </c>
      <c r="W749">
        <v>1</v>
      </c>
      <c r="X749">
        <v>13.5</v>
      </c>
      <c r="Y749">
        <v>36.92</v>
      </c>
      <c r="Z749">
        <v>8</v>
      </c>
      <c r="AA749" t="s">
        <v>46</v>
      </c>
    </row>
    <row r="750" spans="1:27" x14ac:dyDescent="0.3">
      <c r="A750" t="s">
        <v>841</v>
      </c>
      <c r="B750">
        <v>19</v>
      </c>
      <c r="C750" t="s">
        <v>28</v>
      </c>
      <c r="D750">
        <v>4.8</v>
      </c>
      <c r="E750" t="s">
        <v>29</v>
      </c>
      <c r="F750" t="s">
        <v>73</v>
      </c>
      <c r="G750" t="s">
        <v>31</v>
      </c>
      <c r="H750">
        <v>6.8</v>
      </c>
      <c r="I750" t="s">
        <v>51</v>
      </c>
      <c r="J750" t="s">
        <v>45</v>
      </c>
      <c r="K750" t="s">
        <v>62</v>
      </c>
      <c r="L750">
        <v>3.46</v>
      </c>
      <c r="M750">
        <v>6</v>
      </c>
      <c r="N750" t="s">
        <v>69</v>
      </c>
      <c r="O750" t="s">
        <v>42</v>
      </c>
      <c r="P750" t="b">
        <v>0</v>
      </c>
      <c r="Q750" t="b">
        <v>0</v>
      </c>
      <c r="R750" t="b">
        <v>0</v>
      </c>
      <c r="S750" t="b">
        <v>1</v>
      </c>
      <c r="T750" t="b">
        <v>0</v>
      </c>
      <c r="U750">
        <v>1.3</v>
      </c>
      <c r="V750">
        <v>8.4</v>
      </c>
      <c r="W750">
        <v>3</v>
      </c>
      <c r="X750">
        <v>11.1</v>
      </c>
      <c r="Y750">
        <v>47.78</v>
      </c>
      <c r="Z750">
        <v>4</v>
      </c>
      <c r="AA750" t="s">
        <v>46</v>
      </c>
    </row>
    <row r="751" spans="1:27" x14ac:dyDescent="0.3">
      <c r="A751" t="s">
        <v>842</v>
      </c>
      <c r="B751">
        <v>23</v>
      </c>
      <c r="C751" t="s">
        <v>28</v>
      </c>
      <c r="D751">
        <v>5.5</v>
      </c>
      <c r="E751" t="s">
        <v>76</v>
      </c>
      <c r="F751" t="s">
        <v>110</v>
      </c>
      <c r="G751" t="s">
        <v>71</v>
      </c>
      <c r="H751">
        <v>6.3</v>
      </c>
      <c r="I751" t="s">
        <v>51</v>
      </c>
      <c r="J751" t="s">
        <v>36</v>
      </c>
      <c r="K751" t="s">
        <v>51</v>
      </c>
      <c r="M751">
        <v>6</v>
      </c>
      <c r="N751" t="s">
        <v>121</v>
      </c>
      <c r="O751" t="s">
        <v>42</v>
      </c>
      <c r="P751" t="b">
        <v>0</v>
      </c>
      <c r="Q751" t="b">
        <v>0</v>
      </c>
      <c r="R751" t="b">
        <v>0</v>
      </c>
      <c r="S751" t="b">
        <v>1</v>
      </c>
      <c r="T751" t="b">
        <v>1</v>
      </c>
      <c r="U751">
        <v>1.7</v>
      </c>
      <c r="V751">
        <v>6.6</v>
      </c>
      <c r="W751">
        <v>4</v>
      </c>
      <c r="X751">
        <v>7.6</v>
      </c>
      <c r="Y751">
        <v>51.25</v>
      </c>
      <c r="Z751">
        <v>8</v>
      </c>
      <c r="AA751" t="s">
        <v>46</v>
      </c>
    </row>
    <row r="752" spans="1:27" x14ac:dyDescent="0.3">
      <c r="A752" t="s">
        <v>843</v>
      </c>
      <c r="B752">
        <v>18</v>
      </c>
      <c r="C752" t="s">
        <v>28</v>
      </c>
      <c r="D752">
        <v>6.3</v>
      </c>
      <c r="E752" t="s">
        <v>54</v>
      </c>
      <c r="F752" t="s">
        <v>55</v>
      </c>
      <c r="G752" t="s">
        <v>50</v>
      </c>
      <c r="H752">
        <v>5.6</v>
      </c>
      <c r="I752" t="s">
        <v>43</v>
      </c>
      <c r="J752" t="s">
        <v>36</v>
      </c>
      <c r="K752" t="s">
        <v>43</v>
      </c>
      <c r="L752">
        <v>1.02</v>
      </c>
      <c r="N752" t="s">
        <v>44</v>
      </c>
      <c r="O752" t="s">
        <v>45</v>
      </c>
      <c r="P752" t="b">
        <v>0</v>
      </c>
      <c r="Q752" t="b">
        <v>1</v>
      </c>
      <c r="R752" t="b">
        <v>0</v>
      </c>
      <c r="S752" t="b">
        <v>1</v>
      </c>
      <c r="T752" t="b">
        <v>0</v>
      </c>
      <c r="U752">
        <v>0.7</v>
      </c>
      <c r="V752">
        <v>5.8</v>
      </c>
      <c r="W752">
        <v>4</v>
      </c>
      <c r="X752">
        <v>10.8</v>
      </c>
      <c r="Y752">
        <v>10.47</v>
      </c>
      <c r="Z752">
        <v>5</v>
      </c>
      <c r="AA752" t="s">
        <v>64</v>
      </c>
    </row>
    <row r="753" spans="1:27" x14ac:dyDescent="0.3">
      <c r="A753" t="s">
        <v>844</v>
      </c>
      <c r="B753">
        <v>21</v>
      </c>
      <c r="C753" t="s">
        <v>28</v>
      </c>
      <c r="D753">
        <v>11.9</v>
      </c>
      <c r="E753" t="s">
        <v>82</v>
      </c>
      <c r="F753" t="s">
        <v>83</v>
      </c>
      <c r="G753" t="s">
        <v>71</v>
      </c>
      <c r="H753">
        <v>4.2</v>
      </c>
      <c r="I753" t="s">
        <v>51</v>
      </c>
      <c r="J753" t="s">
        <v>74</v>
      </c>
      <c r="K753" t="s">
        <v>51</v>
      </c>
      <c r="L753">
        <v>3.34</v>
      </c>
      <c r="M753">
        <v>3</v>
      </c>
      <c r="N753" t="s">
        <v>35</v>
      </c>
      <c r="O753" t="s">
        <v>36</v>
      </c>
      <c r="P753" t="b">
        <v>1</v>
      </c>
      <c r="Q753" t="b">
        <v>1</v>
      </c>
      <c r="R753" t="b">
        <v>1</v>
      </c>
      <c r="S753" t="b">
        <v>1</v>
      </c>
      <c r="T753" t="b">
        <v>1</v>
      </c>
      <c r="U753">
        <v>2.6</v>
      </c>
      <c r="V753">
        <v>4.0999999999999996</v>
      </c>
      <c r="W753">
        <v>8</v>
      </c>
      <c r="X753">
        <v>2.6</v>
      </c>
      <c r="Y753">
        <v>374.32</v>
      </c>
      <c r="Z753">
        <v>10</v>
      </c>
      <c r="AA753" t="s">
        <v>37</v>
      </c>
    </row>
    <row r="754" spans="1:27" x14ac:dyDescent="0.3">
      <c r="A754" t="s">
        <v>845</v>
      </c>
      <c r="B754">
        <v>21</v>
      </c>
      <c r="C754" t="s">
        <v>28</v>
      </c>
      <c r="D754">
        <v>4.0999999999999996</v>
      </c>
      <c r="E754" t="s">
        <v>54</v>
      </c>
      <c r="F754" t="s">
        <v>89</v>
      </c>
      <c r="G754" t="s">
        <v>31</v>
      </c>
      <c r="H754">
        <v>5.2</v>
      </c>
      <c r="I754" t="s">
        <v>41</v>
      </c>
      <c r="J754" t="s">
        <v>74</v>
      </c>
      <c r="K754" t="s">
        <v>43</v>
      </c>
      <c r="L754">
        <v>2.63</v>
      </c>
      <c r="M754">
        <v>9</v>
      </c>
      <c r="N754" t="s">
        <v>69</v>
      </c>
      <c r="O754" t="s">
        <v>45</v>
      </c>
      <c r="P754" t="b">
        <v>0</v>
      </c>
      <c r="Q754" t="b">
        <v>0</v>
      </c>
      <c r="R754" t="b">
        <v>0</v>
      </c>
      <c r="S754" t="b">
        <v>0</v>
      </c>
      <c r="T754" t="b">
        <v>0</v>
      </c>
      <c r="U754">
        <v>1.3</v>
      </c>
      <c r="V754">
        <v>8.6999999999999993</v>
      </c>
      <c r="W754">
        <v>3</v>
      </c>
      <c r="X754">
        <v>11.2</v>
      </c>
      <c r="Y754">
        <v>45.63</v>
      </c>
      <c r="Z754">
        <v>2</v>
      </c>
      <c r="AA754" t="s">
        <v>46</v>
      </c>
    </row>
    <row r="755" spans="1:27" x14ac:dyDescent="0.3">
      <c r="A755" t="s">
        <v>846</v>
      </c>
      <c r="B755">
        <v>19</v>
      </c>
      <c r="C755" t="s">
        <v>53</v>
      </c>
      <c r="D755">
        <v>0.8</v>
      </c>
      <c r="E755" t="s">
        <v>48</v>
      </c>
      <c r="F755" t="s">
        <v>68</v>
      </c>
      <c r="G755" t="s">
        <v>31</v>
      </c>
      <c r="H755">
        <v>7.4</v>
      </c>
      <c r="I755" t="s">
        <v>41</v>
      </c>
      <c r="J755" t="s">
        <v>33</v>
      </c>
      <c r="K755" t="s">
        <v>43</v>
      </c>
      <c r="L755">
        <v>1.43</v>
      </c>
      <c r="M755">
        <v>2</v>
      </c>
      <c r="N755" t="s">
        <v>66</v>
      </c>
      <c r="O755" t="s">
        <v>33</v>
      </c>
      <c r="P755" t="b">
        <v>0</v>
      </c>
      <c r="Q755" t="b">
        <v>0</v>
      </c>
      <c r="R755" t="b">
        <v>0</v>
      </c>
      <c r="S755" t="b">
        <v>0</v>
      </c>
      <c r="T755" t="b">
        <v>0</v>
      </c>
      <c r="U755">
        <v>0.1</v>
      </c>
      <c r="V755">
        <v>8.8000000000000007</v>
      </c>
      <c r="W755">
        <v>1</v>
      </c>
      <c r="X755">
        <v>11.8</v>
      </c>
      <c r="Y755">
        <v>35.119999999999997</v>
      </c>
      <c r="Z755">
        <v>3</v>
      </c>
      <c r="AA755" t="s">
        <v>46</v>
      </c>
    </row>
    <row r="756" spans="1:27" x14ac:dyDescent="0.3">
      <c r="A756" t="s">
        <v>847</v>
      </c>
      <c r="B756">
        <v>17</v>
      </c>
      <c r="C756" t="s">
        <v>53</v>
      </c>
      <c r="D756">
        <v>3.7</v>
      </c>
      <c r="E756" t="s">
        <v>82</v>
      </c>
      <c r="F756" t="s">
        <v>83</v>
      </c>
      <c r="G756" t="s">
        <v>31</v>
      </c>
      <c r="H756">
        <v>5.5</v>
      </c>
      <c r="I756" t="s">
        <v>41</v>
      </c>
      <c r="J756" t="s">
        <v>42</v>
      </c>
      <c r="K756" t="s">
        <v>62</v>
      </c>
      <c r="L756">
        <v>1.86</v>
      </c>
      <c r="N756" t="s">
        <v>69</v>
      </c>
      <c r="O756" t="s">
        <v>57</v>
      </c>
      <c r="P756" t="b">
        <v>0</v>
      </c>
      <c r="Q756" t="b">
        <v>0</v>
      </c>
      <c r="R756" t="b">
        <v>0</v>
      </c>
      <c r="S756" t="b">
        <v>0</v>
      </c>
      <c r="T756" t="b">
        <v>0</v>
      </c>
      <c r="U756">
        <v>0.1</v>
      </c>
      <c r="V756">
        <v>6.3</v>
      </c>
      <c r="W756">
        <v>1</v>
      </c>
      <c r="X756">
        <v>11</v>
      </c>
      <c r="Y756">
        <v>22.33</v>
      </c>
      <c r="Z756">
        <v>7</v>
      </c>
      <c r="AA756" t="s">
        <v>46</v>
      </c>
    </row>
    <row r="757" spans="1:27" x14ac:dyDescent="0.3">
      <c r="A757" t="s">
        <v>848</v>
      </c>
      <c r="B757">
        <v>23</v>
      </c>
      <c r="C757" t="s">
        <v>28</v>
      </c>
      <c r="D757">
        <v>11</v>
      </c>
      <c r="E757" t="s">
        <v>39</v>
      </c>
      <c r="F757" t="s">
        <v>93</v>
      </c>
      <c r="G757" t="s">
        <v>50</v>
      </c>
      <c r="H757">
        <v>3.4</v>
      </c>
      <c r="I757" t="s">
        <v>32</v>
      </c>
      <c r="J757" t="s">
        <v>74</v>
      </c>
      <c r="K757" t="s">
        <v>51</v>
      </c>
      <c r="M757">
        <v>6</v>
      </c>
      <c r="N757" t="s">
        <v>80</v>
      </c>
      <c r="O757" t="s">
        <v>33</v>
      </c>
      <c r="P757" t="b">
        <v>1</v>
      </c>
      <c r="Q757" t="b">
        <v>1</v>
      </c>
      <c r="R757" t="b">
        <v>0</v>
      </c>
      <c r="S757" t="b">
        <v>1</v>
      </c>
      <c r="T757" t="b">
        <v>1</v>
      </c>
      <c r="U757">
        <v>2.5</v>
      </c>
      <c r="V757">
        <v>4.5</v>
      </c>
      <c r="W757">
        <v>7</v>
      </c>
      <c r="X757">
        <v>0</v>
      </c>
      <c r="Y757">
        <v>144.47</v>
      </c>
      <c r="Z757">
        <v>8</v>
      </c>
      <c r="AA757" t="s">
        <v>37</v>
      </c>
    </row>
    <row r="758" spans="1:27" x14ac:dyDescent="0.3">
      <c r="A758" t="s">
        <v>849</v>
      </c>
      <c r="B758">
        <v>27</v>
      </c>
      <c r="C758" t="s">
        <v>28</v>
      </c>
      <c r="D758">
        <v>1.5</v>
      </c>
      <c r="E758" t="s">
        <v>48</v>
      </c>
      <c r="F758" t="s">
        <v>128</v>
      </c>
      <c r="G758" t="s">
        <v>86</v>
      </c>
      <c r="H758">
        <v>9</v>
      </c>
      <c r="I758" t="s">
        <v>43</v>
      </c>
      <c r="J758" t="s">
        <v>33</v>
      </c>
      <c r="K758" t="s">
        <v>62</v>
      </c>
      <c r="M758">
        <v>3</v>
      </c>
      <c r="N758" t="s">
        <v>69</v>
      </c>
      <c r="O758" t="s">
        <v>45</v>
      </c>
      <c r="P758" t="b">
        <v>0</v>
      </c>
      <c r="Q758" t="b">
        <v>0</v>
      </c>
      <c r="R758" t="b">
        <v>0</v>
      </c>
      <c r="S758" t="b">
        <v>0</v>
      </c>
      <c r="T758" t="b">
        <v>0</v>
      </c>
      <c r="U758">
        <v>0.5</v>
      </c>
      <c r="V758">
        <v>10.4</v>
      </c>
      <c r="W758">
        <v>1</v>
      </c>
      <c r="X758">
        <v>12</v>
      </c>
      <c r="Y758">
        <v>10.08</v>
      </c>
      <c r="Z758">
        <v>12</v>
      </c>
      <c r="AA758" t="s">
        <v>46</v>
      </c>
    </row>
    <row r="759" spans="1:27" x14ac:dyDescent="0.3">
      <c r="A759" t="s">
        <v>850</v>
      </c>
      <c r="B759">
        <v>17</v>
      </c>
      <c r="C759" t="s">
        <v>28</v>
      </c>
      <c r="D759">
        <v>6.6</v>
      </c>
      <c r="E759" t="s">
        <v>29</v>
      </c>
      <c r="F759" t="s">
        <v>30</v>
      </c>
      <c r="G759" t="s">
        <v>31</v>
      </c>
      <c r="H759">
        <v>3.7</v>
      </c>
      <c r="I759" t="s">
        <v>51</v>
      </c>
      <c r="J759" t="s">
        <v>74</v>
      </c>
      <c r="K759" t="s">
        <v>34</v>
      </c>
      <c r="L759">
        <v>1.5</v>
      </c>
      <c r="N759" t="s">
        <v>63</v>
      </c>
      <c r="O759" t="s">
        <v>42</v>
      </c>
      <c r="P759" t="b">
        <v>1</v>
      </c>
      <c r="Q759" t="b">
        <v>1</v>
      </c>
      <c r="R759" t="b">
        <v>0</v>
      </c>
      <c r="S759" t="b">
        <v>1</v>
      </c>
      <c r="T759" t="b">
        <v>1</v>
      </c>
      <c r="U759">
        <v>1.2</v>
      </c>
      <c r="V759">
        <v>5.5</v>
      </c>
      <c r="W759">
        <v>6</v>
      </c>
      <c r="X759">
        <v>5.3</v>
      </c>
      <c r="Y759">
        <v>29.91</v>
      </c>
      <c r="Z759">
        <v>7</v>
      </c>
      <c r="AA759" t="s">
        <v>58</v>
      </c>
    </row>
    <row r="760" spans="1:27" x14ac:dyDescent="0.3">
      <c r="A760" t="s">
        <v>851</v>
      </c>
      <c r="B760">
        <v>16</v>
      </c>
      <c r="C760" t="s">
        <v>53</v>
      </c>
      <c r="D760">
        <v>5.9</v>
      </c>
      <c r="E760" t="s">
        <v>54</v>
      </c>
      <c r="F760" t="s">
        <v>55</v>
      </c>
      <c r="G760" t="s">
        <v>71</v>
      </c>
      <c r="H760">
        <v>6.6</v>
      </c>
      <c r="I760" t="s">
        <v>41</v>
      </c>
      <c r="J760" t="s">
        <v>74</v>
      </c>
      <c r="K760" t="s">
        <v>34</v>
      </c>
      <c r="L760">
        <v>1.77</v>
      </c>
      <c r="N760" t="s">
        <v>35</v>
      </c>
      <c r="O760" t="s">
        <v>33</v>
      </c>
      <c r="P760" t="b">
        <v>0</v>
      </c>
      <c r="Q760" t="b">
        <v>1</v>
      </c>
      <c r="R760" t="b">
        <v>0</v>
      </c>
      <c r="S760" t="b">
        <v>1</v>
      </c>
      <c r="T760" t="b">
        <v>1</v>
      </c>
      <c r="U760">
        <v>0.2</v>
      </c>
      <c r="V760">
        <v>5.9</v>
      </c>
      <c r="W760">
        <v>3</v>
      </c>
      <c r="X760">
        <v>6.5</v>
      </c>
      <c r="Y760">
        <v>19.38</v>
      </c>
      <c r="Z760">
        <v>2</v>
      </c>
      <c r="AA760" t="s">
        <v>64</v>
      </c>
    </row>
    <row r="761" spans="1:27" x14ac:dyDescent="0.3">
      <c r="A761" t="s">
        <v>852</v>
      </c>
      <c r="B761">
        <v>33</v>
      </c>
      <c r="C761" t="s">
        <v>53</v>
      </c>
      <c r="D761">
        <v>5.5</v>
      </c>
      <c r="E761" t="s">
        <v>39</v>
      </c>
      <c r="F761" t="s">
        <v>93</v>
      </c>
      <c r="G761" t="s">
        <v>31</v>
      </c>
      <c r="H761">
        <v>6.1</v>
      </c>
      <c r="I761" t="s">
        <v>43</v>
      </c>
      <c r="J761" t="s">
        <v>36</v>
      </c>
      <c r="K761" t="s">
        <v>34</v>
      </c>
      <c r="M761">
        <v>5</v>
      </c>
      <c r="N761" t="s">
        <v>66</v>
      </c>
      <c r="O761" t="s">
        <v>36</v>
      </c>
      <c r="P761" t="b">
        <v>0</v>
      </c>
      <c r="Q761" t="b">
        <v>1</v>
      </c>
      <c r="R761" t="b">
        <v>0</v>
      </c>
      <c r="S761" t="b">
        <v>0</v>
      </c>
      <c r="T761" t="b">
        <v>0</v>
      </c>
      <c r="U761">
        <v>1.4</v>
      </c>
      <c r="V761">
        <v>8.1</v>
      </c>
      <c r="W761">
        <v>3</v>
      </c>
      <c r="X761">
        <v>6.4</v>
      </c>
      <c r="Y761">
        <v>82.37</v>
      </c>
      <c r="Z761">
        <v>6</v>
      </c>
      <c r="AA761" t="s">
        <v>64</v>
      </c>
    </row>
    <row r="762" spans="1:27" x14ac:dyDescent="0.3">
      <c r="A762" t="s">
        <v>853</v>
      </c>
      <c r="B762">
        <v>16</v>
      </c>
      <c r="C762" t="s">
        <v>28</v>
      </c>
      <c r="D762">
        <v>11.4</v>
      </c>
      <c r="E762" t="s">
        <v>39</v>
      </c>
      <c r="F762" t="s">
        <v>93</v>
      </c>
      <c r="G762" t="s">
        <v>71</v>
      </c>
      <c r="H762">
        <v>3</v>
      </c>
      <c r="I762" t="s">
        <v>51</v>
      </c>
      <c r="J762" t="s">
        <v>74</v>
      </c>
      <c r="K762" t="s">
        <v>34</v>
      </c>
      <c r="L762">
        <v>3.91</v>
      </c>
      <c r="N762" t="s">
        <v>35</v>
      </c>
      <c r="O762" t="s">
        <v>33</v>
      </c>
      <c r="P762" t="b">
        <v>1</v>
      </c>
      <c r="Q762" t="b">
        <v>0</v>
      </c>
      <c r="R762" t="b">
        <v>1</v>
      </c>
      <c r="S762" t="b">
        <v>0</v>
      </c>
      <c r="T762" t="b">
        <v>1</v>
      </c>
      <c r="U762">
        <v>1.5</v>
      </c>
      <c r="V762">
        <v>5.6</v>
      </c>
      <c r="W762">
        <v>7</v>
      </c>
      <c r="X762">
        <v>3.1</v>
      </c>
      <c r="Y762">
        <v>73.87</v>
      </c>
      <c r="Z762">
        <v>2</v>
      </c>
      <c r="AA762" t="s">
        <v>37</v>
      </c>
    </row>
    <row r="763" spans="1:27" x14ac:dyDescent="0.3">
      <c r="A763" t="s">
        <v>854</v>
      </c>
      <c r="B763">
        <v>18</v>
      </c>
      <c r="C763" t="s">
        <v>53</v>
      </c>
      <c r="D763">
        <v>2.7</v>
      </c>
      <c r="E763" t="s">
        <v>76</v>
      </c>
      <c r="F763" t="s">
        <v>126</v>
      </c>
      <c r="G763" t="s">
        <v>50</v>
      </c>
      <c r="H763">
        <v>8.6</v>
      </c>
      <c r="I763" t="s">
        <v>43</v>
      </c>
      <c r="J763" t="s">
        <v>45</v>
      </c>
      <c r="K763" t="s">
        <v>84</v>
      </c>
      <c r="L763">
        <v>3.85</v>
      </c>
      <c r="N763" t="s">
        <v>66</v>
      </c>
      <c r="O763" t="s">
        <v>45</v>
      </c>
      <c r="P763" t="b">
        <v>0</v>
      </c>
      <c r="Q763" t="b">
        <v>0</v>
      </c>
      <c r="R763" t="b">
        <v>0</v>
      </c>
      <c r="S763" t="b">
        <v>0</v>
      </c>
      <c r="T763" t="b">
        <v>0</v>
      </c>
      <c r="U763">
        <v>0.1</v>
      </c>
      <c r="V763">
        <v>6.9</v>
      </c>
      <c r="W763">
        <v>1</v>
      </c>
      <c r="X763">
        <v>9.6999999999999993</v>
      </c>
      <c r="Y763">
        <v>42.45</v>
      </c>
      <c r="Z763">
        <v>3</v>
      </c>
      <c r="AA763" t="s">
        <v>46</v>
      </c>
    </row>
    <row r="764" spans="1:27" x14ac:dyDescent="0.3">
      <c r="A764" t="s">
        <v>855</v>
      </c>
      <c r="B764">
        <v>22</v>
      </c>
      <c r="C764" t="s">
        <v>28</v>
      </c>
      <c r="D764">
        <v>5.5</v>
      </c>
      <c r="E764" t="s">
        <v>48</v>
      </c>
      <c r="F764" t="s">
        <v>128</v>
      </c>
      <c r="G764" t="s">
        <v>71</v>
      </c>
      <c r="H764">
        <v>6</v>
      </c>
      <c r="I764" t="s">
        <v>78</v>
      </c>
      <c r="J764" t="s">
        <v>45</v>
      </c>
      <c r="K764" t="s">
        <v>62</v>
      </c>
      <c r="L764">
        <v>1.06</v>
      </c>
      <c r="M764">
        <v>1</v>
      </c>
      <c r="N764" t="s">
        <v>66</v>
      </c>
      <c r="O764" t="s">
        <v>36</v>
      </c>
      <c r="P764" t="b">
        <v>0</v>
      </c>
      <c r="Q764" t="b">
        <v>0</v>
      </c>
      <c r="R764" t="b">
        <v>0</v>
      </c>
      <c r="S764" t="b">
        <v>1</v>
      </c>
      <c r="T764" t="b">
        <v>0</v>
      </c>
      <c r="U764">
        <v>0.8</v>
      </c>
      <c r="V764">
        <v>8.8000000000000007</v>
      </c>
      <c r="W764">
        <v>3</v>
      </c>
      <c r="X764">
        <v>9.6</v>
      </c>
      <c r="Y764">
        <v>91.34</v>
      </c>
      <c r="Z764">
        <v>10</v>
      </c>
      <c r="AA764" t="s">
        <v>46</v>
      </c>
    </row>
    <row r="765" spans="1:27" x14ac:dyDescent="0.3">
      <c r="A765" t="s">
        <v>856</v>
      </c>
      <c r="B765">
        <v>15</v>
      </c>
      <c r="C765" t="s">
        <v>28</v>
      </c>
      <c r="D765">
        <v>7.3</v>
      </c>
      <c r="E765" t="s">
        <v>39</v>
      </c>
      <c r="F765" t="s">
        <v>120</v>
      </c>
      <c r="G765" t="s">
        <v>86</v>
      </c>
      <c r="H765">
        <v>4.5</v>
      </c>
      <c r="I765" t="s">
        <v>32</v>
      </c>
      <c r="J765" t="s">
        <v>36</v>
      </c>
      <c r="K765" t="s">
        <v>62</v>
      </c>
      <c r="L765">
        <v>2.89</v>
      </c>
      <c r="N765" t="s">
        <v>35</v>
      </c>
      <c r="O765" t="s">
        <v>57</v>
      </c>
      <c r="P765" t="b">
        <v>1</v>
      </c>
      <c r="Q765" t="b">
        <v>1</v>
      </c>
      <c r="R765" t="b">
        <v>0</v>
      </c>
      <c r="S765" t="b">
        <v>1</v>
      </c>
      <c r="T765" t="b">
        <v>1</v>
      </c>
      <c r="U765">
        <v>1.6</v>
      </c>
      <c r="V765">
        <v>4.9000000000000004</v>
      </c>
      <c r="W765">
        <v>5</v>
      </c>
      <c r="X765">
        <v>6</v>
      </c>
      <c r="Y765">
        <v>115.77</v>
      </c>
      <c r="Z765">
        <v>1</v>
      </c>
      <c r="AA765" t="s">
        <v>58</v>
      </c>
    </row>
    <row r="766" spans="1:27" x14ac:dyDescent="0.3">
      <c r="A766" t="s">
        <v>857</v>
      </c>
      <c r="B766">
        <v>24</v>
      </c>
      <c r="C766" t="s">
        <v>28</v>
      </c>
      <c r="D766">
        <v>7.7</v>
      </c>
      <c r="E766" t="s">
        <v>76</v>
      </c>
      <c r="F766" t="s">
        <v>110</v>
      </c>
      <c r="G766" t="s">
        <v>86</v>
      </c>
      <c r="H766">
        <v>3.2</v>
      </c>
      <c r="I766" t="s">
        <v>51</v>
      </c>
      <c r="J766" t="s">
        <v>45</v>
      </c>
      <c r="K766" t="s">
        <v>129</v>
      </c>
      <c r="M766">
        <v>8</v>
      </c>
      <c r="N766" t="s">
        <v>69</v>
      </c>
      <c r="O766" t="s">
        <v>33</v>
      </c>
      <c r="P766" t="b">
        <v>1</v>
      </c>
      <c r="Q766" t="b">
        <v>1</v>
      </c>
      <c r="R766" t="b">
        <v>0</v>
      </c>
      <c r="S766" t="b">
        <v>1</v>
      </c>
      <c r="T766" t="b">
        <v>1</v>
      </c>
      <c r="U766">
        <v>1</v>
      </c>
      <c r="V766">
        <v>5.7</v>
      </c>
      <c r="W766">
        <v>3</v>
      </c>
      <c r="X766">
        <v>4</v>
      </c>
      <c r="Y766">
        <v>30.64</v>
      </c>
      <c r="Z766">
        <v>7</v>
      </c>
      <c r="AA766" t="s">
        <v>58</v>
      </c>
    </row>
    <row r="767" spans="1:27" x14ac:dyDescent="0.3">
      <c r="A767" t="s">
        <v>858</v>
      </c>
      <c r="B767">
        <v>19</v>
      </c>
      <c r="C767" t="s">
        <v>53</v>
      </c>
      <c r="D767">
        <v>8.3000000000000007</v>
      </c>
      <c r="E767" t="s">
        <v>60</v>
      </c>
      <c r="F767" t="s">
        <v>61</v>
      </c>
      <c r="G767" t="s">
        <v>71</v>
      </c>
      <c r="H767">
        <v>5.5</v>
      </c>
      <c r="I767" t="s">
        <v>51</v>
      </c>
      <c r="J767" t="s">
        <v>74</v>
      </c>
      <c r="K767" t="s">
        <v>62</v>
      </c>
      <c r="L767">
        <v>1.44</v>
      </c>
      <c r="M767">
        <v>10</v>
      </c>
      <c r="N767" t="s">
        <v>80</v>
      </c>
      <c r="O767" t="s">
        <v>33</v>
      </c>
      <c r="P767" t="b">
        <v>1</v>
      </c>
      <c r="Q767" t="b">
        <v>1</v>
      </c>
      <c r="R767" t="b">
        <v>1</v>
      </c>
      <c r="S767" t="b">
        <v>0</v>
      </c>
      <c r="T767" t="b">
        <v>1</v>
      </c>
      <c r="U767">
        <v>1.4</v>
      </c>
      <c r="V767">
        <v>4.4000000000000004</v>
      </c>
      <c r="W767">
        <v>5</v>
      </c>
      <c r="X767">
        <v>8.1999999999999993</v>
      </c>
      <c r="Y767">
        <v>10.32</v>
      </c>
      <c r="Z767">
        <v>4</v>
      </c>
      <c r="AA767" t="s">
        <v>37</v>
      </c>
    </row>
    <row r="768" spans="1:27" x14ac:dyDescent="0.3">
      <c r="A768" t="s">
        <v>859</v>
      </c>
      <c r="B768">
        <v>19</v>
      </c>
      <c r="C768" t="s">
        <v>28</v>
      </c>
      <c r="D768">
        <v>9.5</v>
      </c>
      <c r="E768" t="s">
        <v>76</v>
      </c>
      <c r="F768" t="s">
        <v>126</v>
      </c>
      <c r="G768" t="s">
        <v>50</v>
      </c>
      <c r="H768">
        <v>4.5999999999999996</v>
      </c>
      <c r="I768" t="s">
        <v>32</v>
      </c>
      <c r="J768" t="s">
        <v>45</v>
      </c>
      <c r="K768" t="s">
        <v>34</v>
      </c>
      <c r="L768">
        <v>3.65</v>
      </c>
      <c r="M768">
        <v>1</v>
      </c>
      <c r="N768" t="s">
        <v>66</v>
      </c>
      <c r="O768" t="s">
        <v>57</v>
      </c>
      <c r="P768" t="b">
        <v>1</v>
      </c>
      <c r="Q768" t="b">
        <v>0</v>
      </c>
      <c r="R768" t="b">
        <v>0</v>
      </c>
      <c r="S768" t="b">
        <v>0</v>
      </c>
      <c r="T768" t="b">
        <v>1</v>
      </c>
      <c r="U768">
        <v>3.4</v>
      </c>
      <c r="V768">
        <v>3.7</v>
      </c>
      <c r="W768">
        <v>6</v>
      </c>
      <c r="X768">
        <v>6.9</v>
      </c>
      <c r="Y768">
        <v>336.84</v>
      </c>
      <c r="Z768">
        <v>7</v>
      </c>
      <c r="AA768" t="s">
        <v>58</v>
      </c>
    </row>
    <row r="769" spans="1:27" x14ac:dyDescent="0.3">
      <c r="A769" t="s">
        <v>860</v>
      </c>
      <c r="B769">
        <v>20</v>
      </c>
      <c r="C769" t="s">
        <v>53</v>
      </c>
      <c r="D769">
        <v>10</v>
      </c>
      <c r="E769" t="s">
        <v>60</v>
      </c>
      <c r="F769" t="s">
        <v>102</v>
      </c>
      <c r="G769" t="s">
        <v>50</v>
      </c>
      <c r="H769">
        <v>5.3</v>
      </c>
      <c r="I769" t="s">
        <v>32</v>
      </c>
      <c r="J769" t="s">
        <v>36</v>
      </c>
      <c r="K769" t="s">
        <v>34</v>
      </c>
      <c r="L769">
        <v>2.71</v>
      </c>
      <c r="M769">
        <v>7</v>
      </c>
      <c r="N769" t="s">
        <v>44</v>
      </c>
      <c r="O769" t="s">
        <v>36</v>
      </c>
      <c r="P769" t="b">
        <v>1</v>
      </c>
      <c r="Q769" t="b">
        <v>0</v>
      </c>
      <c r="R769" t="b">
        <v>0</v>
      </c>
      <c r="S769" t="b">
        <v>0</v>
      </c>
      <c r="T769" t="b">
        <v>1</v>
      </c>
      <c r="U769">
        <v>5.7</v>
      </c>
      <c r="V769">
        <v>6.9</v>
      </c>
      <c r="W769">
        <v>5</v>
      </c>
      <c r="X769">
        <v>2</v>
      </c>
      <c r="Y769">
        <v>386.2</v>
      </c>
      <c r="Z769">
        <v>4</v>
      </c>
      <c r="AA769" t="s">
        <v>58</v>
      </c>
    </row>
    <row r="770" spans="1:27" x14ac:dyDescent="0.3">
      <c r="A770" t="s">
        <v>861</v>
      </c>
      <c r="B770">
        <v>27</v>
      </c>
      <c r="C770" t="s">
        <v>28</v>
      </c>
      <c r="D770">
        <v>2.8</v>
      </c>
      <c r="E770" t="s">
        <v>60</v>
      </c>
      <c r="F770" t="s">
        <v>200</v>
      </c>
      <c r="G770" t="s">
        <v>71</v>
      </c>
      <c r="H770">
        <v>7.3</v>
      </c>
      <c r="I770" t="s">
        <v>43</v>
      </c>
      <c r="J770" t="s">
        <v>45</v>
      </c>
      <c r="K770" t="s">
        <v>62</v>
      </c>
      <c r="M770">
        <v>7</v>
      </c>
      <c r="N770" t="s">
        <v>66</v>
      </c>
      <c r="O770" t="s">
        <v>36</v>
      </c>
      <c r="P770" t="b">
        <v>0</v>
      </c>
      <c r="Q770" t="b">
        <v>0</v>
      </c>
      <c r="R770" t="b">
        <v>0</v>
      </c>
      <c r="S770" t="b">
        <v>0</v>
      </c>
      <c r="T770" t="b">
        <v>0</v>
      </c>
      <c r="U770">
        <v>2.2000000000000002</v>
      </c>
      <c r="V770">
        <v>9.3000000000000007</v>
      </c>
      <c r="W770">
        <v>1</v>
      </c>
      <c r="X770">
        <v>11.2</v>
      </c>
      <c r="Y770">
        <v>16.420000000000002</v>
      </c>
      <c r="Z770">
        <v>14</v>
      </c>
      <c r="AA770" t="s">
        <v>46</v>
      </c>
    </row>
    <row r="771" spans="1:27" x14ac:dyDescent="0.3">
      <c r="A771" t="s">
        <v>862</v>
      </c>
      <c r="B771">
        <v>21</v>
      </c>
      <c r="C771" t="s">
        <v>28</v>
      </c>
      <c r="D771">
        <v>8.6</v>
      </c>
      <c r="E771" t="s">
        <v>39</v>
      </c>
      <c r="F771" t="s">
        <v>93</v>
      </c>
      <c r="G771" t="s">
        <v>50</v>
      </c>
      <c r="H771">
        <v>4</v>
      </c>
      <c r="I771" t="s">
        <v>41</v>
      </c>
      <c r="J771" t="s">
        <v>33</v>
      </c>
      <c r="K771" t="s">
        <v>51</v>
      </c>
      <c r="L771">
        <v>2.67</v>
      </c>
      <c r="M771">
        <v>4</v>
      </c>
      <c r="N771" t="s">
        <v>35</v>
      </c>
      <c r="O771" t="s">
        <v>42</v>
      </c>
      <c r="P771" t="b">
        <v>1</v>
      </c>
      <c r="Q771" t="b">
        <v>1</v>
      </c>
      <c r="R771" t="b">
        <v>0</v>
      </c>
      <c r="S771" t="b">
        <v>1</v>
      </c>
      <c r="T771" t="b">
        <v>1</v>
      </c>
      <c r="U771">
        <v>1.6</v>
      </c>
      <c r="V771">
        <v>6.9</v>
      </c>
      <c r="W771">
        <v>5</v>
      </c>
      <c r="X771">
        <v>1.7</v>
      </c>
      <c r="Y771">
        <v>471.04</v>
      </c>
      <c r="Z771">
        <v>2</v>
      </c>
      <c r="AA771" t="s">
        <v>37</v>
      </c>
    </row>
    <row r="772" spans="1:27" x14ac:dyDescent="0.3">
      <c r="A772" t="s">
        <v>863</v>
      </c>
      <c r="B772">
        <v>16</v>
      </c>
      <c r="C772" t="s">
        <v>53</v>
      </c>
      <c r="D772">
        <v>4.9000000000000004</v>
      </c>
      <c r="E772" t="s">
        <v>82</v>
      </c>
      <c r="F772" t="s">
        <v>83</v>
      </c>
      <c r="G772" t="s">
        <v>31</v>
      </c>
      <c r="H772">
        <v>5.0999999999999996</v>
      </c>
      <c r="I772" t="s">
        <v>51</v>
      </c>
      <c r="J772" t="s">
        <v>74</v>
      </c>
      <c r="K772" t="s">
        <v>62</v>
      </c>
      <c r="L772">
        <v>3.44</v>
      </c>
      <c r="N772" t="s">
        <v>69</v>
      </c>
      <c r="O772" t="s">
        <v>45</v>
      </c>
      <c r="P772" t="b">
        <v>0</v>
      </c>
      <c r="Q772" t="b">
        <v>0</v>
      </c>
      <c r="R772" t="b">
        <v>0</v>
      </c>
      <c r="S772" t="b">
        <v>1</v>
      </c>
      <c r="T772" t="b">
        <v>0</v>
      </c>
      <c r="U772">
        <v>0.8</v>
      </c>
      <c r="V772">
        <v>9.1999999999999993</v>
      </c>
      <c r="W772">
        <v>3</v>
      </c>
      <c r="X772">
        <v>9.8000000000000007</v>
      </c>
      <c r="Y772">
        <v>89.56</v>
      </c>
      <c r="Z772">
        <v>2</v>
      </c>
      <c r="AA772" t="s">
        <v>46</v>
      </c>
    </row>
    <row r="773" spans="1:27" x14ac:dyDescent="0.3">
      <c r="A773" t="s">
        <v>864</v>
      </c>
      <c r="B773">
        <v>17</v>
      </c>
      <c r="C773" t="s">
        <v>28</v>
      </c>
      <c r="D773">
        <v>3.4</v>
      </c>
      <c r="E773" t="s">
        <v>54</v>
      </c>
      <c r="F773" t="s">
        <v>55</v>
      </c>
      <c r="G773" t="s">
        <v>31</v>
      </c>
      <c r="H773">
        <v>8.8000000000000007</v>
      </c>
      <c r="I773" t="s">
        <v>43</v>
      </c>
      <c r="J773" t="s">
        <v>33</v>
      </c>
      <c r="K773" t="s">
        <v>43</v>
      </c>
      <c r="L773">
        <v>2.86</v>
      </c>
      <c r="N773" t="s">
        <v>66</v>
      </c>
      <c r="O773" t="s">
        <v>36</v>
      </c>
      <c r="P773" t="b">
        <v>0</v>
      </c>
      <c r="Q773" t="b">
        <v>0</v>
      </c>
      <c r="R773" t="b">
        <v>0</v>
      </c>
      <c r="S773" t="b">
        <v>0</v>
      </c>
      <c r="T773" t="b">
        <v>0</v>
      </c>
      <c r="U773">
        <v>0.8</v>
      </c>
      <c r="V773">
        <v>8.5</v>
      </c>
      <c r="W773">
        <v>1</v>
      </c>
      <c r="X773">
        <v>9.5</v>
      </c>
      <c r="Y773">
        <v>13.73</v>
      </c>
      <c r="Z773">
        <v>5</v>
      </c>
      <c r="AA773" t="s">
        <v>46</v>
      </c>
    </row>
    <row r="774" spans="1:27" x14ac:dyDescent="0.3">
      <c r="A774" t="s">
        <v>865</v>
      </c>
      <c r="B774">
        <v>19</v>
      </c>
      <c r="C774" t="s">
        <v>28</v>
      </c>
      <c r="D774">
        <v>2.2000000000000002</v>
      </c>
      <c r="E774" t="s">
        <v>48</v>
      </c>
      <c r="F774" t="s">
        <v>128</v>
      </c>
      <c r="G774" t="s">
        <v>71</v>
      </c>
      <c r="H774">
        <v>8.9</v>
      </c>
      <c r="I774" t="s">
        <v>43</v>
      </c>
      <c r="J774" t="s">
        <v>74</v>
      </c>
      <c r="K774" t="s">
        <v>43</v>
      </c>
      <c r="L774">
        <v>1.03</v>
      </c>
      <c r="M774">
        <v>10</v>
      </c>
      <c r="N774" t="s">
        <v>121</v>
      </c>
      <c r="O774" t="s">
        <v>57</v>
      </c>
      <c r="P774" t="b">
        <v>0</v>
      </c>
      <c r="Q774" t="b">
        <v>0</v>
      </c>
      <c r="R774" t="b">
        <v>0</v>
      </c>
      <c r="S774" t="b">
        <v>0</v>
      </c>
      <c r="T774" t="b">
        <v>0</v>
      </c>
      <c r="U774">
        <v>0.1</v>
      </c>
      <c r="V774">
        <v>9</v>
      </c>
      <c r="W774">
        <v>1</v>
      </c>
      <c r="X774">
        <v>14</v>
      </c>
      <c r="Y774">
        <v>38.090000000000003</v>
      </c>
      <c r="Z774">
        <v>3</v>
      </c>
      <c r="AA774" t="s">
        <v>46</v>
      </c>
    </row>
    <row r="775" spans="1:27" x14ac:dyDescent="0.3">
      <c r="A775" t="s">
        <v>866</v>
      </c>
      <c r="B775">
        <v>20</v>
      </c>
      <c r="C775" t="s">
        <v>53</v>
      </c>
      <c r="D775">
        <v>4.2</v>
      </c>
      <c r="E775" t="s">
        <v>54</v>
      </c>
      <c r="F775" t="s">
        <v>89</v>
      </c>
      <c r="G775" t="s">
        <v>71</v>
      </c>
      <c r="H775">
        <v>6.1</v>
      </c>
      <c r="I775" t="s">
        <v>41</v>
      </c>
      <c r="J775" t="s">
        <v>45</v>
      </c>
      <c r="K775" t="s">
        <v>34</v>
      </c>
      <c r="L775">
        <v>2.77</v>
      </c>
      <c r="M775">
        <v>2</v>
      </c>
      <c r="N775" t="s">
        <v>66</v>
      </c>
      <c r="O775" t="s">
        <v>33</v>
      </c>
      <c r="P775" t="b">
        <v>0</v>
      </c>
      <c r="Q775" t="b">
        <v>0</v>
      </c>
      <c r="R775" t="b">
        <v>0</v>
      </c>
      <c r="S775" t="b">
        <v>0</v>
      </c>
      <c r="T775" t="b">
        <v>0</v>
      </c>
      <c r="U775">
        <v>1.2</v>
      </c>
      <c r="V775">
        <v>7.8</v>
      </c>
      <c r="W775">
        <v>3</v>
      </c>
      <c r="X775">
        <v>10.9</v>
      </c>
      <c r="Y775">
        <v>22.92</v>
      </c>
      <c r="Z775">
        <v>1</v>
      </c>
      <c r="AA775" t="s">
        <v>46</v>
      </c>
    </row>
    <row r="776" spans="1:27" x14ac:dyDescent="0.3">
      <c r="A776" t="s">
        <v>867</v>
      </c>
      <c r="B776">
        <v>18</v>
      </c>
      <c r="C776" t="s">
        <v>28</v>
      </c>
      <c r="D776">
        <v>5</v>
      </c>
      <c r="E776" t="s">
        <v>82</v>
      </c>
      <c r="F776" t="s">
        <v>134</v>
      </c>
      <c r="G776" t="s">
        <v>31</v>
      </c>
      <c r="H776">
        <v>6.4</v>
      </c>
      <c r="I776" t="s">
        <v>41</v>
      </c>
      <c r="J776" t="s">
        <v>45</v>
      </c>
      <c r="K776" t="s">
        <v>34</v>
      </c>
      <c r="L776">
        <v>2.76</v>
      </c>
      <c r="N776" t="s">
        <v>80</v>
      </c>
      <c r="O776" t="s">
        <v>33</v>
      </c>
      <c r="P776" t="b">
        <v>0</v>
      </c>
      <c r="Q776" t="b">
        <v>0</v>
      </c>
      <c r="R776" t="b">
        <v>0</v>
      </c>
      <c r="S776" t="b">
        <v>0</v>
      </c>
      <c r="T776" t="b">
        <v>0</v>
      </c>
      <c r="U776">
        <v>1.8</v>
      </c>
      <c r="V776">
        <v>5.7</v>
      </c>
      <c r="W776">
        <v>3</v>
      </c>
      <c r="X776">
        <v>8.8000000000000007</v>
      </c>
      <c r="Y776">
        <v>130.46</v>
      </c>
      <c r="Z776">
        <v>5</v>
      </c>
      <c r="AA776" t="s">
        <v>46</v>
      </c>
    </row>
    <row r="777" spans="1:27" x14ac:dyDescent="0.3">
      <c r="A777" t="s">
        <v>868</v>
      </c>
      <c r="B777">
        <v>21</v>
      </c>
      <c r="C777" t="s">
        <v>152</v>
      </c>
      <c r="D777">
        <v>7.9</v>
      </c>
      <c r="E777" t="s">
        <v>82</v>
      </c>
      <c r="F777" t="s">
        <v>83</v>
      </c>
      <c r="G777" t="s">
        <v>31</v>
      </c>
      <c r="H777">
        <v>5.0999999999999996</v>
      </c>
      <c r="I777" t="s">
        <v>51</v>
      </c>
      <c r="J777" t="s">
        <v>42</v>
      </c>
      <c r="K777" t="s">
        <v>51</v>
      </c>
      <c r="L777">
        <v>1.63</v>
      </c>
      <c r="M777">
        <v>6</v>
      </c>
      <c r="N777" t="s">
        <v>35</v>
      </c>
      <c r="O777" t="s">
        <v>33</v>
      </c>
      <c r="P777" t="b">
        <v>0</v>
      </c>
      <c r="Q777" t="b">
        <v>1</v>
      </c>
      <c r="R777" t="b">
        <v>0</v>
      </c>
      <c r="S777" t="b">
        <v>0</v>
      </c>
      <c r="T777" t="b">
        <v>0</v>
      </c>
      <c r="U777">
        <v>1.6</v>
      </c>
      <c r="V777">
        <v>5.8</v>
      </c>
      <c r="W777">
        <v>4</v>
      </c>
      <c r="X777">
        <v>6.3</v>
      </c>
      <c r="Y777">
        <v>70.680000000000007</v>
      </c>
      <c r="Z777">
        <v>9</v>
      </c>
      <c r="AA777" t="s">
        <v>64</v>
      </c>
    </row>
    <row r="778" spans="1:27" x14ac:dyDescent="0.3">
      <c r="A778" t="s">
        <v>869</v>
      </c>
      <c r="B778">
        <v>21</v>
      </c>
      <c r="C778" t="s">
        <v>53</v>
      </c>
      <c r="D778">
        <v>10.7</v>
      </c>
      <c r="E778" t="s">
        <v>29</v>
      </c>
      <c r="F778" t="s">
        <v>118</v>
      </c>
      <c r="G778" t="s">
        <v>71</v>
      </c>
      <c r="H778">
        <v>3.7</v>
      </c>
      <c r="I778" t="s">
        <v>32</v>
      </c>
      <c r="J778" t="s">
        <v>45</v>
      </c>
      <c r="K778" t="s">
        <v>62</v>
      </c>
      <c r="L778">
        <v>1.1299999999999999</v>
      </c>
      <c r="M778">
        <v>6</v>
      </c>
      <c r="N778" t="s">
        <v>105</v>
      </c>
      <c r="O778" t="s">
        <v>33</v>
      </c>
      <c r="P778" t="b">
        <v>1</v>
      </c>
      <c r="Q778" t="b">
        <v>0</v>
      </c>
      <c r="R778" t="b">
        <v>0</v>
      </c>
      <c r="S778" t="b">
        <v>1</v>
      </c>
      <c r="T778" t="b">
        <v>1</v>
      </c>
      <c r="U778">
        <v>0.1</v>
      </c>
      <c r="V778">
        <v>5.7</v>
      </c>
      <c r="W778">
        <v>8</v>
      </c>
      <c r="X778">
        <v>0.7</v>
      </c>
      <c r="Y778">
        <v>394.92</v>
      </c>
      <c r="Z778">
        <v>2</v>
      </c>
      <c r="AA778" t="s">
        <v>58</v>
      </c>
    </row>
    <row r="779" spans="1:27" x14ac:dyDescent="0.3">
      <c r="A779" t="s">
        <v>870</v>
      </c>
      <c r="B779">
        <v>25</v>
      </c>
      <c r="C779" t="s">
        <v>28</v>
      </c>
      <c r="D779">
        <v>8.6</v>
      </c>
      <c r="E779" t="s">
        <v>60</v>
      </c>
      <c r="F779" t="s">
        <v>200</v>
      </c>
      <c r="G779" t="s">
        <v>31</v>
      </c>
      <c r="H779">
        <v>5.0999999999999996</v>
      </c>
      <c r="I779" t="s">
        <v>51</v>
      </c>
      <c r="J779" t="s">
        <v>45</v>
      </c>
      <c r="K779" t="s">
        <v>34</v>
      </c>
      <c r="M779">
        <v>9</v>
      </c>
      <c r="N779" t="s">
        <v>35</v>
      </c>
      <c r="O779" t="s">
        <v>57</v>
      </c>
      <c r="P779" t="b">
        <v>0</v>
      </c>
      <c r="Q779" t="b">
        <v>0</v>
      </c>
      <c r="R779" t="b">
        <v>1</v>
      </c>
      <c r="S779" t="b">
        <v>0</v>
      </c>
      <c r="T779" t="b">
        <v>1</v>
      </c>
      <c r="U779">
        <v>2.8</v>
      </c>
      <c r="V779">
        <v>6.6</v>
      </c>
      <c r="W779">
        <v>6</v>
      </c>
      <c r="X779">
        <v>5.5</v>
      </c>
      <c r="Y779">
        <v>141.47</v>
      </c>
      <c r="Z779">
        <v>5</v>
      </c>
      <c r="AA779" t="s">
        <v>58</v>
      </c>
    </row>
    <row r="780" spans="1:27" x14ac:dyDescent="0.3">
      <c r="A780" t="s">
        <v>871</v>
      </c>
      <c r="B780">
        <v>28</v>
      </c>
      <c r="C780" t="s">
        <v>53</v>
      </c>
      <c r="D780">
        <v>8.8000000000000007</v>
      </c>
      <c r="E780" t="s">
        <v>39</v>
      </c>
      <c r="F780" t="s">
        <v>93</v>
      </c>
      <c r="G780" t="s">
        <v>71</v>
      </c>
      <c r="H780">
        <v>4.8</v>
      </c>
      <c r="I780" t="s">
        <v>51</v>
      </c>
      <c r="J780" t="s">
        <v>42</v>
      </c>
      <c r="K780" t="s">
        <v>129</v>
      </c>
      <c r="M780">
        <v>5</v>
      </c>
      <c r="N780" t="s">
        <v>44</v>
      </c>
      <c r="O780" t="s">
        <v>33</v>
      </c>
      <c r="P780" t="b">
        <v>0</v>
      </c>
      <c r="Q780" t="b">
        <v>0</v>
      </c>
      <c r="R780" t="b">
        <v>1</v>
      </c>
      <c r="S780" t="b">
        <v>0</v>
      </c>
      <c r="T780" t="b">
        <v>1</v>
      </c>
      <c r="U780">
        <v>4.2</v>
      </c>
      <c r="V780">
        <v>7.4</v>
      </c>
      <c r="W780">
        <v>6</v>
      </c>
      <c r="X780">
        <v>2.5</v>
      </c>
      <c r="Y780">
        <v>442.42</v>
      </c>
      <c r="Z780">
        <v>5</v>
      </c>
      <c r="AA780" t="s">
        <v>58</v>
      </c>
    </row>
    <row r="781" spans="1:27" x14ac:dyDescent="0.3">
      <c r="A781" t="s">
        <v>872</v>
      </c>
      <c r="B781">
        <v>23</v>
      </c>
      <c r="C781" t="s">
        <v>28</v>
      </c>
      <c r="D781">
        <v>3.4</v>
      </c>
      <c r="E781" t="s">
        <v>60</v>
      </c>
      <c r="F781" t="s">
        <v>200</v>
      </c>
      <c r="G781" t="s">
        <v>86</v>
      </c>
      <c r="H781">
        <v>7.5</v>
      </c>
      <c r="I781" t="s">
        <v>43</v>
      </c>
      <c r="J781" t="s">
        <v>33</v>
      </c>
      <c r="K781" t="s">
        <v>43</v>
      </c>
      <c r="M781">
        <v>6</v>
      </c>
      <c r="N781" t="s">
        <v>44</v>
      </c>
      <c r="O781" t="s">
        <v>36</v>
      </c>
      <c r="P781" t="b">
        <v>0</v>
      </c>
      <c r="Q781" t="b">
        <v>0</v>
      </c>
      <c r="R781" t="b">
        <v>0</v>
      </c>
      <c r="S781" t="b">
        <v>0</v>
      </c>
      <c r="T781" t="b">
        <v>0</v>
      </c>
      <c r="U781">
        <v>0.4</v>
      </c>
      <c r="V781">
        <v>8.9</v>
      </c>
      <c r="W781">
        <v>1</v>
      </c>
      <c r="X781">
        <v>13.9</v>
      </c>
      <c r="Y781">
        <v>36.340000000000003</v>
      </c>
      <c r="Z781">
        <v>9</v>
      </c>
      <c r="AA781" t="s">
        <v>46</v>
      </c>
    </row>
    <row r="782" spans="1:27" x14ac:dyDescent="0.3">
      <c r="A782" t="s">
        <v>873</v>
      </c>
      <c r="B782">
        <v>21</v>
      </c>
      <c r="C782" t="s">
        <v>53</v>
      </c>
      <c r="D782">
        <v>6.3</v>
      </c>
      <c r="E782" t="s">
        <v>48</v>
      </c>
      <c r="F782" t="s">
        <v>128</v>
      </c>
      <c r="G782" t="s">
        <v>31</v>
      </c>
      <c r="H782">
        <v>6.1</v>
      </c>
      <c r="I782" t="s">
        <v>43</v>
      </c>
      <c r="J782" t="s">
        <v>36</v>
      </c>
      <c r="K782" t="s">
        <v>51</v>
      </c>
      <c r="L782">
        <v>1.67</v>
      </c>
      <c r="M782">
        <v>4</v>
      </c>
      <c r="N782" t="s">
        <v>66</v>
      </c>
      <c r="O782" t="s">
        <v>42</v>
      </c>
      <c r="P782" t="b">
        <v>0</v>
      </c>
      <c r="Q782" t="b">
        <v>1</v>
      </c>
      <c r="R782" t="b">
        <v>0</v>
      </c>
      <c r="S782" t="b">
        <v>1</v>
      </c>
      <c r="T782" t="b">
        <v>1</v>
      </c>
      <c r="U782">
        <v>4.0999999999999996</v>
      </c>
      <c r="V782">
        <v>5.0999999999999996</v>
      </c>
      <c r="W782">
        <v>2</v>
      </c>
      <c r="X782">
        <v>9.6</v>
      </c>
      <c r="Y782">
        <v>120.62</v>
      </c>
      <c r="Z782">
        <v>11</v>
      </c>
      <c r="AA782" t="s">
        <v>64</v>
      </c>
    </row>
    <row r="783" spans="1:27" x14ac:dyDescent="0.3">
      <c r="A783" t="s">
        <v>874</v>
      </c>
      <c r="B783">
        <v>18</v>
      </c>
      <c r="C783" t="s">
        <v>28</v>
      </c>
      <c r="D783">
        <v>2.1</v>
      </c>
      <c r="E783" t="s">
        <v>48</v>
      </c>
      <c r="F783" t="s">
        <v>128</v>
      </c>
      <c r="G783" t="s">
        <v>31</v>
      </c>
      <c r="H783">
        <v>7.4</v>
      </c>
      <c r="I783" t="s">
        <v>43</v>
      </c>
      <c r="J783" t="s">
        <v>36</v>
      </c>
      <c r="K783" t="s">
        <v>84</v>
      </c>
      <c r="L783">
        <v>1.79</v>
      </c>
      <c r="N783" t="s">
        <v>66</v>
      </c>
      <c r="O783" t="s">
        <v>33</v>
      </c>
      <c r="P783" t="b">
        <v>0</v>
      </c>
      <c r="Q783" t="b">
        <v>0</v>
      </c>
      <c r="R783" t="b">
        <v>0</v>
      </c>
      <c r="S783" t="b">
        <v>0</v>
      </c>
      <c r="T783" t="b">
        <v>0</v>
      </c>
      <c r="U783">
        <v>0.3</v>
      </c>
      <c r="V783">
        <v>10.6</v>
      </c>
      <c r="W783">
        <v>2</v>
      </c>
      <c r="X783">
        <v>11.1</v>
      </c>
      <c r="Y783">
        <v>39.9</v>
      </c>
      <c r="Z783">
        <v>3</v>
      </c>
      <c r="AA783" t="s">
        <v>46</v>
      </c>
    </row>
    <row r="784" spans="1:27" x14ac:dyDescent="0.3">
      <c r="A784" t="s">
        <v>875</v>
      </c>
      <c r="B784">
        <v>17</v>
      </c>
      <c r="C784" t="s">
        <v>28</v>
      </c>
      <c r="D784">
        <v>4.5999999999999996</v>
      </c>
      <c r="E784" t="s">
        <v>54</v>
      </c>
      <c r="F784" t="s">
        <v>98</v>
      </c>
      <c r="G784" t="s">
        <v>50</v>
      </c>
      <c r="H784">
        <v>5.0999999999999996</v>
      </c>
      <c r="I784" t="s">
        <v>41</v>
      </c>
      <c r="J784" t="s">
        <v>36</v>
      </c>
      <c r="K784" t="s">
        <v>34</v>
      </c>
      <c r="L784">
        <v>1.44</v>
      </c>
      <c r="N784" t="s">
        <v>69</v>
      </c>
      <c r="O784" t="s">
        <v>33</v>
      </c>
      <c r="P784" t="b">
        <v>0</v>
      </c>
      <c r="Q784" t="b">
        <v>0</v>
      </c>
      <c r="R784" t="b">
        <v>0</v>
      </c>
      <c r="S784" t="b">
        <v>0</v>
      </c>
      <c r="T784" t="b">
        <v>0</v>
      </c>
      <c r="U784">
        <v>2</v>
      </c>
      <c r="V784">
        <v>6.1</v>
      </c>
      <c r="W784">
        <v>3</v>
      </c>
      <c r="X784">
        <v>10.6</v>
      </c>
      <c r="Y784">
        <v>15.54</v>
      </c>
      <c r="Z784">
        <v>3</v>
      </c>
      <c r="AA784" t="s">
        <v>46</v>
      </c>
    </row>
    <row r="785" spans="1:27" x14ac:dyDescent="0.3">
      <c r="A785" t="s">
        <v>876</v>
      </c>
      <c r="B785">
        <v>25</v>
      </c>
      <c r="C785" t="s">
        <v>53</v>
      </c>
      <c r="D785">
        <v>9.8000000000000007</v>
      </c>
      <c r="E785" t="s">
        <v>29</v>
      </c>
      <c r="F785" t="s">
        <v>30</v>
      </c>
      <c r="G785" t="s">
        <v>71</v>
      </c>
      <c r="H785">
        <v>5.2</v>
      </c>
      <c r="I785" t="s">
        <v>41</v>
      </c>
      <c r="J785" t="s">
        <v>74</v>
      </c>
      <c r="K785" t="s">
        <v>51</v>
      </c>
      <c r="M785">
        <v>7</v>
      </c>
      <c r="N785" t="s">
        <v>69</v>
      </c>
      <c r="O785" t="s">
        <v>45</v>
      </c>
      <c r="P785" t="b">
        <v>1</v>
      </c>
      <c r="Q785" t="b">
        <v>1</v>
      </c>
      <c r="R785" t="b">
        <v>1</v>
      </c>
      <c r="S785" t="b">
        <v>0</v>
      </c>
      <c r="T785" t="b">
        <v>0</v>
      </c>
      <c r="U785">
        <v>8.1</v>
      </c>
      <c r="V785">
        <v>3.2</v>
      </c>
      <c r="W785">
        <v>6</v>
      </c>
      <c r="X785">
        <v>2.2000000000000002</v>
      </c>
      <c r="Y785">
        <v>63.25</v>
      </c>
      <c r="Z785">
        <v>10</v>
      </c>
      <c r="AA785" t="s">
        <v>37</v>
      </c>
    </row>
    <row r="786" spans="1:27" x14ac:dyDescent="0.3">
      <c r="A786" t="s">
        <v>877</v>
      </c>
      <c r="B786">
        <v>20</v>
      </c>
      <c r="C786" t="s">
        <v>28</v>
      </c>
      <c r="D786">
        <v>3</v>
      </c>
      <c r="E786" t="s">
        <v>60</v>
      </c>
      <c r="F786" t="s">
        <v>200</v>
      </c>
      <c r="G786" t="s">
        <v>86</v>
      </c>
      <c r="H786">
        <v>8.1</v>
      </c>
      <c r="I786" t="s">
        <v>43</v>
      </c>
      <c r="J786" t="s">
        <v>36</v>
      </c>
      <c r="K786" t="s">
        <v>84</v>
      </c>
      <c r="L786">
        <v>3.26</v>
      </c>
      <c r="M786">
        <v>1</v>
      </c>
      <c r="N786" t="s">
        <v>121</v>
      </c>
      <c r="O786" t="s">
        <v>42</v>
      </c>
      <c r="P786" t="b">
        <v>0</v>
      </c>
      <c r="Q786" t="b">
        <v>0</v>
      </c>
      <c r="R786" t="b">
        <v>0</v>
      </c>
      <c r="S786" t="b">
        <v>0</v>
      </c>
      <c r="T786" t="b">
        <v>0</v>
      </c>
      <c r="U786">
        <v>0.7</v>
      </c>
      <c r="V786">
        <v>9.6999999999999993</v>
      </c>
      <c r="W786">
        <v>1</v>
      </c>
      <c r="X786">
        <v>8.9</v>
      </c>
      <c r="Y786">
        <v>34.880000000000003</v>
      </c>
      <c r="Z786">
        <v>1</v>
      </c>
      <c r="AA786" t="s">
        <v>46</v>
      </c>
    </row>
    <row r="787" spans="1:27" x14ac:dyDescent="0.3">
      <c r="A787" t="s">
        <v>878</v>
      </c>
      <c r="B787">
        <v>14</v>
      </c>
      <c r="C787" t="s">
        <v>53</v>
      </c>
      <c r="D787">
        <v>2.9</v>
      </c>
      <c r="E787" t="s">
        <v>29</v>
      </c>
      <c r="F787" t="s">
        <v>104</v>
      </c>
      <c r="G787" t="s">
        <v>86</v>
      </c>
      <c r="H787">
        <v>8.6999999999999993</v>
      </c>
      <c r="I787" t="s">
        <v>43</v>
      </c>
      <c r="J787" t="s">
        <v>74</v>
      </c>
      <c r="K787" t="s">
        <v>84</v>
      </c>
      <c r="L787">
        <v>1.86</v>
      </c>
      <c r="N787" t="s">
        <v>63</v>
      </c>
      <c r="O787" t="s">
        <v>33</v>
      </c>
      <c r="P787" t="b">
        <v>0</v>
      </c>
      <c r="Q787" t="b">
        <v>0</v>
      </c>
      <c r="R787" t="b">
        <v>0</v>
      </c>
      <c r="S787" t="b">
        <v>0</v>
      </c>
      <c r="T787" t="b">
        <v>0</v>
      </c>
      <c r="U787">
        <v>0.9</v>
      </c>
      <c r="V787">
        <v>9.1999999999999993</v>
      </c>
      <c r="W787">
        <v>1</v>
      </c>
      <c r="X787">
        <v>12.3</v>
      </c>
      <c r="Y787">
        <v>0.78</v>
      </c>
      <c r="Z787">
        <v>4</v>
      </c>
      <c r="AA787" t="s">
        <v>46</v>
      </c>
    </row>
    <row r="788" spans="1:27" x14ac:dyDescent="0.3">
      <c r="A788" t="s">
        <v>879</v>
      </c>
      <c r="B788">
        <v>15</v>
      </c>
      <c r="C788" t="s">
        <v>28</v>
      </c>
      <c r="D788">
        <v>5.8</v>
      </c>
      <c r="E788" t="s">
        <v>76</v>
      </c>
      <c r="F788" t="s">
        <v>126</v>
      </c>
      <c r="G788" t="s">
        <v>50</v>
      </c>
      <c r="H788">
        <v>6.6</v>
      </c>
      <c r="I788" t="s">
        <v>41</v>
      </c>
      <c r="J788" t="s">
        <v>45</v>
      </c>
      <c r="K788" t="s">
        <v>43</v>
      </c>
      <c r="L788">
        <v>1.45</v>
      </c>
      <c r="N788" t="s">
        <v>69</v>
      </c>
      <c r="O788" t="s">
        <v>33</v>
      </c>
      <c r="P788" t="b">
        <v>0</v>
      </c>
      <c r="Q788" t="b">
        <v>0</v>
      </c>
      <c r="R788" t="b">
        <v>0</v>
      </c>
      <c r="S788" t="b">
        <v>0</v>
      </c>
      <c r="T788" t="b">
        <v>0</v>
      </c>
      <c r="U788">
        <v>0.5</v>
      </c>
      <c r="V788">
        <v>7.6</v>
      </c>
      <c r="W788">
        <v>4</v>
      </c>
      <c r="X788">
        <v>7.5</v>
      </c>
      <c r="Y788">
        <v>10.87</v>
      </c>
      <c r="Z788">
        <v>5</v>
      </c>
      <c r="AA788" t="s">
        <v>46</v>
      </c>
    </row>
    <row r="789" spans="1:27" x14ac:dyDescent="0.3">
      <c r="A789" t="s">
        <v>880</v>
      </c>
      <c r="B789">
        <v>22</v>
      </c>
      <c r="C789" t="s">
        <v>28</v>
      </c>
      <c r="D789">
        <v>5.7</v>
      </c>
      <c r="E789" t="s">
        <v>54</v>
      </c>
      <c r="F789" t="s">
        <v>89</v>
      </c>
      <c r="G789" t="s">
        <v>31</v>
      </c>
      <c r="H789">
        <v>6.8</v>
      </c>
      <c r="I789" t="s">
        <v>41</v>
      </c>
      <c r="J789" t="s">
        <v>74</v>
      </c>
      <c r="K789" t="s">
        <v>43</v>
      </c>
      <c r="L789">
        <v>3.89</v>
      </c>
      <c r="M789">
        <v>6</v>
      </c>
      <c r="N789" t="s">
        <v>105</v>
      </c>
      <c r="O789" t="s">
        <v>45</v>
      </c>
      <c r="P789" t="b">
        <v>0</v>
      </c>
      <c r="Q789" t="b">
        <v>0</v>
      </c>
      <c r="R789" t="b">
        <v>0</v>
      </c>
      <c r="S789" t="b">
        <v>0</v>
      </c>
      <c r="T789" t="b">
        <v>0</v>
      </c>
      <c r="U789">
        <v>1.9</v>
      </c>
      <c r="V789">
        <v>6.1</v>
      </c>
      <c r="W789">
        <v>3</v>
      </c>
      <c r="X789">
        <v>6.5</v>
      </c>
      <c r="Y789">
        <v>44.8</v>
      </c>
      <c r="Z789">
        <v>9</v>
      </c>
      <c r="AA789" t="s">
        <v>46</v>
      </c>
    </row>
    <row r="790" spans="1:27" x14ac:dyDescent="0.3">
      <c r="A790" t="s">
        <v>881</v>
      </c>
      <c r="B790">
        <v>19</v>
      </c>
      <c r="C790" t="s">
        <v>28</v>
      </c>
      <c r="D790">
        <v>7</v>
      </c>
      <c r="E790" t="s">
        <v>82</v>
      </c>
      <c r="F790" t="s">
        <v>167</v>
      </c>
      <c r="G790" t="s">
        <v>71</v>
      </c>
      <c r="H790">
        <v>3.8</v>
      </c>
      <c r="I790" t="s">
        <v>41</v>
      </c>
      <c r="J790" t="s">
        <v>74</v>
      </c>
      <c r="K790" t="s">
        <v>84</v>
      </c>
      <c r="L790">
        <v>3.08</v>
      </c>
      <c r="M790">
        <v>1</v>
      </c>
      <c r="N790" t="s">
        <v>69</v>
      </c>
      <c r="O790" t="s">
        <v>36</v>
      </c>
      <c r="P790" t="b">
        <v>1</v>
      </c>
      <c r="Q790" t="b">
        <v>1</v>
      </c>
      <c r="R790" t="b">
        <v>0</v>
      </c>
      <c r="S790" t="b">
        <v>0</v>
      </c>
      <c r="T790" t="b">
        <v>1</v>
      </c>
      <c r="U790">
        <v>3.3</v>
      </c>
      <c r="V790">
        <v>7</v>
      </c>
      <c r="W790">
        <v>2</v>
      </c>
      <c r="X790">
        <v>9.1999999999999993</v>
      </c>
      <c r="Y790">
        <v>61.59</v>
      </c>
      <c r="Z790">
        <v>8</v>
      </c>
      <c r="AA790" t="s">
        <v>58</v>
      </c>
    </row>
    <row r="791" spans="1:27" x14ac:dyDescent="0.3">
      <c r="A791" t="s">
        <v>882</v>
      </c>
      <c r="B791">
        <v>15</v>
      </c>
      <c r="C791" t="s">
        <v>53</v>
      </c>
      <c r="D791">
        <v>7.9</v>
      </c>
      <c r="E791" t="s">
        <v>54</v>
      </c>
      <c r="F791" t="s">
        <v>55</v>
      </c>
      <c r="G791" t="s">
        <v>50</v>
      </c>
      <c r="H791">
        <v>4.3</v>
      </c>
      <c r="I791" t="s">
        <v>43</v>
      </c>
      <c r="J791" t="s">
        <v>45</v>
      </c>
      <c r="K791" t="s">
        <v>51</v>
      </c>
      <c r="L791">
        <v>3.4</v>
      </c>
      <c r="N791" t="s">
        <v>69</v>
      </c>
      <c r="O791" t="s">
        <v>45</v>
      </c>
      <c r="P791" t="b">
        <v>0</v>
      </c>
      <c r="Q791" t="b">
        <v>0</v>
      </c>
      <c r="R791" t="b">
        <v>0</v>
      </c>
      <c r="S791" t="b">
        <v>1</v>
      </c>
      <c r="T791" t="b">
        <v>1</v>
      </c>
      <c r="U791">
        <v>0.7</v>
      </c>
      <c r="V791">
        <v>7.3</v>
      </c>
      <c r="W791">
        <v>5</v>
      </c>
      <c r="X791">
        <v>4.5999999999999996</v>
      </c>
      <c r="Y791">
        <v>80.06</v>
      </c>
      <c r="Z791">
        <v>4</v>
      </c>
      <c r="AA791" t="s">
        <v>46</v>
      </c>
    </row>
    <row r="792" spans="1:27" x14ac:dyDescent="0.3">
      <c r="A792" t="s">
        <v>883</v>
      </c>
      <c r="B792">
        <v>20</v>
      </c>
      <c r="C792" t="s">
        <v>28</v>
      </c>
      <c r="D792">
        <v>7</v>
      </c>
      <c r="E792" t="s">
        <v>82</v>
      </c>
      <c r="F792" t="s">
        <v>167</v>
      </c>
      <c r="G792" t="s">
        <v>31</v>
      </c>
      <c r="H792">
        <v>3.6</v>
      </c>
      <c r="I792" t="s">
        <v>32</v>
      </c>
      <c r="J792" t="s">
        <v>36</v>
      </c>
      <c r="K792" t="s">
        <v>51</v>
      </c>
      <c r="L792">
        <v>1.4</v>
      </c>
      <c r="M792">
        <v>3</v>
      </c>
      <c r="N792" t="s">
        <v>63</v>
      </c>
      <c r="O792" t="s">
        <v>45</v>
      </c>
      <c r="P792" t="b">
        <v>0</v>
      </c>
      <c r="Q792" t="b">
        <v>1</v>
      </c>
      <c r="R792" t="b">
        <v>0</v>
      </c>
      <c r="S792" t="b">
        <v>1</v>
      </c>
      <c r="T792" t="b">
        <v>1</v>
      </c>
      <c r="U792">
        <v>4</v>
      </c>
      <c r="V792">
        <v>7.6</v>
      </c>
      <c r="W792">
        <v>5</v>
      </c>
      <c r="X792">
        <v>7.2</v>
      </c>
      <c r="Y792">
        <v>23.82</v>
      </c>
      <c r="Z792">
        <v>3</v>
      </c>
      <c r="AA792" t="s">
        <v>64</v>
      </c>
    </row>
    <row r="793" spans="1:27" x14ac:dyDescent="0.3">
      <c r="A793" t="s">
        <v>884</v>
      </c>
      <c r="B793">
        <v>34</v>
      </c>
      <c r="C793" t="s">
        <v>28</v>
      </c>
      <c r="D793">
        <v>1.4</v>
      </c>
      <c r="E793" t="s">
        <v>29</v>
      </c>
      <c r="F793" t="s">
        <v>118</v>
      </c>
      <c r="G793" t="s">
        <v>50</v>
      </c>
      <c r="H793">
        <v>8.3000000000000007</v>
      </c>
      <c r="I793" t="s">
        <v>43</v>
      </c>
      <c r="J793" t="s">
        <v>45</v>
      </c>
      <c r="K793" t="s">
        <v>43</v>
      </c>
      <c r="M793">
        <v>9</v>
      </c>
      <c r="N793" t="s">
        <v>80</v>
      </c>
      <c r="O793" t="s">
        <v>36</v>
      </c>
      <c r="P793" t="b">
        <v>0</v>
      </c>
      <c r="Q793" t="b">
        <v>0</v>
      </c>
      <c r="R793" t="b">
        <v>0</v>
      </c>
      <c r="S793" t="b">
        <v>0</v>
      </c>
      <c r="T793" t="b">
        <v>0</v>
      </c>
      <c r="U793">
        <v>0.3</v>
      </c>
      <c r="V793">
        <v>10.4</v>
      </c>
      <c r="W793">
        <v>1</v>
      </c>
      <c r="X793">
        <v>13.5</v>
      </c>
      <c r="Y793">
        <v>48.31</v>
      </c>
      <c r="Z793">
        <v>16</v>
      </c>
      <c r="AA793" t="s">
        <v>46</v>
      </c>
    </row>
    <row r="794" spans="1:27" x14ac:dyDescent="0.3">
      <c r="A794" t="s">
        <v>885</v>
      </c>
      <c r="B794">
        <v>18</v>
      </c>
      <c r="C794" t="s">
        <v>53</v>
      </c>
      <c r="D794">
        <v>8.6999999999999993</v>
      </c>
      <c r="E794" t="s">
        <v>76</v>
      </c>
      <c r="F794" t="s">
        <v>77</v>
      </c>
      <c r="G794" t="s">
        <v>71</v>
      </c>
      <c r="H794">
        <v>6</v>
      </c>
      <c r="I794" t="s">
        <v>32</v>
      </c>
      <c r="J794" t="s">
        <v>45</v>
      </c>
      <c r="K794" t="s">
        <v>34</v>
      </c>
      <c r="L794">
        <v>2.87</v>
      </c>
      <c r="N794" t="s">
        <v>105</v>
      </c>
      <c r="O794" t="s">
        <v>33</v>
      </c>
      <c r="P794" t="b">
        <v>1</v>
      </c>
      <c r="Q794" t="b">
        <v>1</v>
      </c>
      <c r="R794" t="b">
        <v>0</v>
      </c>
      <c r="S794" t="b">
        <v>1</v>
      </c>
      <c r="T794" t="b">
        <v>1</v>
      </c>
      <c r="U794">
        <v>6.7</v>
      </c>
      <c r="V794">
        <v>6.6</v>
      </c>
      <c r="W794">
        <v>5</v>
      </c>
      <c r="X794">
        <v>2.6</v>
      </c>
      <c r="Y794">
        <v>486.6</v>
      </c>
      <c r="Z794">
        <v>1</v>
      </c>
      <c r="AA794" t="s">
        <v>37</v>
      </c>
    </row>
    <row r="795" spans="1:27" x14ac:dyDescent="0.3">
      <c r="A795" t="s">
        <v>886</v>
      </c>
      <c r="B795">
        <v>16</v>
      </c>
      <c r="C795" t="s">
        <v>53</v>
      </c>
      <c r="D795">
        <v>6</v>
      </c>
      <c r="E795" t="s">
        <v>60</v>
      </c>
      <c r="F795" t="s">
        <v>200</v>
      </c>
      <c r="G795" t="s">
        <v>71</v>
      </c>
      <c r="H795">
        <v>6</v>
      </c>
      <c r="I795" t="s">
        <v>41</v>
      </c>
      <c r="J795" t="s">
        <v>74</v>
      </c>
      <c r="K795" t="s">
        <v>43</v>
      </c>
      <c r="L795">
        <v>1.35</v>
      </c>
      <c r="N795" t="s">
        <v>35</v>
      </c>
      <c r="O795" t="s">
        <v>36</v>
      </c>
      <c r="P795" t="b">
        <v>0</v>
      </c>
      <c r="Q795" t="b">
        <v>1</v>
      </c>
      <c r="R795" t="b">
        <v>0</v>
      </c>
      <c r="S795" t="b">
        <v>0</v>
      </c>
      <c r="T795" t="b">
        <v>1</v>
      </c>
      <c r="U795">
        <v>0.5</v>
      </c>
      <c r="V795">
        <v>6</v>
      </c>
      <c r="W795">
        <v>3</v>
      </c>
      <c r="X795">
        <v>5.5</v>
      </c>
      <c r="Y795">
        <v>134.04</v>
      </c>
      <c r="Z795">
        <v>5</v>
      </c>
      <c r="AA795" t="s">
        <v>64</v>
      </c>
    </row>
    <row r="796" spans="1:27" x14ac:dyDescent="0.3">
      <c r="A796" t="s">
        <v>887</v>
      </c>
      <c r="B796">
        <v>17</v>
      </c>
      <c r="C796" t="s">
        <v>53</v>
      </c>
      <c r="D796">
        <v>4.7</v>
      </c>
      <c r="E796" t="s">
        <v>82</v>
      </c>
      <c r="F796" t="s">
        <v>167</v>
      </c>
      <c r="G796" t="s">
        <v>31</v>
      </c>
      <c r="H796">
        <v>5</v>
      </c>
      <c r="I796" t="s">
        <v>43</v>
      </c>
      <c r="J796" t="s">
        <v>36</v>
      </c>
      <c r="K796" t="s">
        <v>43</v>
      </c>
      <c r="L796">
        <v>3.27</v>
      </c>
      <c r="N796" t="s">
        <v>44</v>
      </c>
      <c r="O796" t="s">
        <v>45</v>
      </c>
      <c r="P796" t="b">
        <v>0</v>
      </c>
      <c r="Q796" t="b">
        <v>0</v>
      </c>
      <c r="R796" t="b">
        <v>0</v>
      </c>
      <c r="S796" t="b">
        <v>1</v>
      </c>
      <c r="T796" t="b">
        <v>0</v>
      </c>
      <c r="U796">
        <v>3.1</v>
      </c>
      <c r="V796">
        <v>7.9</v>
      </c>
      <c r="W796">
        <v>3</v>
      </c>
      <c r="X796">
        <v>10.199999999999999</v>
      </c>
      <c r="Y796">
        <v>22.32</v>
      </c>
      <c r="Z796">
        <v>7</v>
      </c>
      <c r="AA796" t="s">
        <v>46</v>
      </c>
    </row>
    <row r="797" spans="1:27" x14ac:dyDescent="0.3">
      <c r="A797" t="s">
        <v>888</v>
      </c>
      <c r="B797">
        <v>20</v>
      </c>
      <c r="C797" t="s">
        <v>53</v>
      </c>
      <c r="D797">
        <v>3.9</v>
      </c>
      <c r="E797" t="s">
        <v>82</v>
      </c>
      <c r="F797" t="s">
        <v>83</v>
      </c>
      <c r="G797" t="s">
        <v>31</v>
      </c>
      <c r="H797">
        <v>6</v>
      </c>
      <c r="I797" t="s">
        <v>43</v>
      </c>
      <c r="J797" t="s">
        <v>45</v>
      </c>
      <c r="K797" t="s">
        <v>34</v>
      </c>
      <c r="L797">
        <v>1.1599999999999999</v>
      </c>
      <c r="M797">
        <v>1</v>
      </c>
      <c r="N797" t="s">
        <v>66</v>
      </c>
      <c r="O797" t="s">
        <v>42</v>
      </c>
      <c r="P797" t="b">
        <v>0</v>
      </c>
      <c r="Q797" t="b">
        <v>0</v>
      </c>
      <c r="R797" t="b">
        <v>0</v>
      </c>
      <c r="S797" t="b">
        <v>0</v>
      </c>
      <c r="T797" t="b">
        <v>0</v>
      </c>
      <c r="U797">
        <v>1.3</v>
      </c>
      <c r="V797">
        <v>8.9</v>
      </c>
      <c r="W797">
        <v>3</v>
      </c>
      <c r="X797">
        <v>8.6</v>
      </c>
      <c r="Y797">
        <v>28.45</v>
      </c>
      <c r="Z797">
        <v>6</v>
      </c>
      <c r="AA797" t="s">
        <v>46</v>
      </c>
    </row>
    <row r="798" spans="1:27" x14ac:dyDescent="0.3">
      <c r="A798" t="s">
        <v>889</v>
      </c>
      <c r="B798">
        <v>18</v>
      </c>
      <c r="C798" t="s">
        <v>28</v>
      </c>
      <c r="D798">
        <v>7.1</v>
      </c>
      <c r="E798" t="s">
        <v>60</v>
      </c>
      <c r="F798" t="s">
        <v>61</v>
      </c>
      <c r="G798" t="s">
        <v>50</v>
      </c>
      <c r="H798">
        <v>4.4000000000000004</v>
      </c>
      <c r="I798" t="s">
        <v>32</v>
      </c>
      <c r="J798" t="s">
        <v>74</v>
      </c>
      <c r="K798" t="s">
        <v>34</v>
      </c>
      <c r="L798">
        <v>1.49</v>
      </c>
      <c r="N798" t="s">
        <v>35</v>
      </c>
      <c r="O798" t="s">
        <v>42</v>
      </c>
      <c r="P798" t="b">
        <v>1</v>
      </c>
      <c r="Q798" t="b">
        <v>1</v>
      </c>
      <c r="R798" t="b">
        <v>0</v>
      </c>
      <c r="S798" t="b">
        <v>1</v>
      </c>
      <c r="T798" t="b">
        <v>1</v>
      </c>
      <c r="U798">
        <v>0.4</v>
      </c>
      <c r="V798">
        <v>6.3</v>
      </c>
      <c r="W798">
        <v>4</v>
      </c>
      <c r="X798">
        <v>6.8</v>
      </c>
      <c r="Y798">
        <v>94.86</v>
      </c>
      <c r="Z798">
        <v>2</v>
      </c>
      <c r="AA798" t="s">
        <v>58</v>
      </c>
    </row>
    <row r="799" spans="1:27" x14ac:dyDescent="0.3">
      <c r="A799" t="s">
        <v>890</v>
      </c>
      <c r="B799">
        <v>20</v>
      </c>
      <c r="C799" t="s">
        <v>28</v>
      </c>
      <c r="D799">
        <v>2.9</v>
      </c>
      <c r="E799" t="s">
        <v>76</v>
      </c>
      <c r="F799" t="s">
        <v>126</v>
      </c>
      <c r="G799" t="s">
        <v>86</v>
      </c>
      <c r="H799">
        <v>7.7</v>
      </c>
      <c r="I799" t="s">
        <v>43</v>
      </c>
      <c r="J799" t="s">
        <v>33</v>
      </c>
      <c r="K799" t="s">
        <v>84</v>
      </c>
      <c r="L799">
        <v>2.13</v>
      </c>
      <c r="M799">
        <v>7</v>
      </c>
      <c r="N799" t="s">
        <v>69</v>
      </c>
      <c r="O799" t="s">
        <v>36</v>
      </c>
      <c r="P799" t="b">
        <v>0</v>
      </c>
      <c r="Q799" t="b">
        <v>0</v>
      </c>
      <c r="R799" t="b">
        <v>0</v>
      </c>
      <c r="S799" t="b">
        <v>0</v>
      </c>
      <c r="T799" t="b">
        <v>0</v>
      </c>
      <c r="U799">
        <v>0.6</v>
      </c>
      <c r="V799">
        <v>8.6999999999999993</v>
      </c>
      <c r="W799">
        <v>1</v>
      </c>
      <c r="X799">
        <v>8.9</v>
      </c>
      <c r="Y799">
        <v>41.86</v>
      </c>
      <c r="Z799">
        <v>8</v>
      </c>
      <c r="AA799" t="s">
        <v>46</v>
      </c>
    </row>
    <row r="800" spans="1:27" x14ac:dyDescent="0.3">
      <c r="A800" t="s">
        <v>891</v>
      </c>
      <c r="B800">
        <v>22</v>
      </c>
      <c r="C800" t="s">
        <v>53</v>
      </c>
      <c r="D800">
        <v>6.7</v>
      </c>
      <c r="E800" t="s">
        <v>54</v>
      </c>
      <c r="F800" t="s">
        <v>98</v>
      </c>
      <c r="G800" t="s">
        <v>50</v>
      </c>
      <c r="H800">
        <v>4</v>
      </c>
      <c r="I800" t="s">
        <v>51</v>
      </c>
      <c r="J800" t="s">
        <v>33</v>
      </c>
      <c r="K800" t="s">
        <v>34</v>
      </c>
      <c r="L800">
        <v>3.55</v>
      </c>
      <c r="M800">
        <v>4</v>
      </c>
      <c r="N800" t="s">
        <v>35</v>
      </c>
      <c r="O800" t="s">
        <v>57</v>
      </c>
      <c r="P800" t="b">
        <v>1</v>
      </c>
      <c r="Q800" t="b">
        <v>0</v>
      </c>
      <c r="R800" t="b">
        <v>0</v>
      </c>
      <c r="S800" t="b">
        <v>1</v>
      </c>
      <c r="T800" t="b">
        <v>1</v>
      </c>
      <c r="U800">
        <v>3</v>
      </c>
      <c r="V800">
        <v>4.5999999999999996</v>
      </c>
      <c r="W800">
        <v>4</v>
      </c>
      <c r="X800">
        <v>8.1</v>
      </c>
      <c r="Y800">
        <v>59.16</v>
      </c>
      <c r="Z800">
        <v>11</v>
      </c>
      <c r="AA800" t="s">
        <v>64</v>
      </c>
    </row>
    <row r="801" spans="1:27" x14ac:dyDescent="0.3">
      <c r="A801" t="s">
        <v>892</v>
      </c>
      <c r="B801">
        <v>27</v>
      </c>
      <c r="C801" t="s">
        <v>28</v>
      </c>
      <c r="D801">
        <v>7.6</v>
      </c>
      <c r="E801" t="s">
        <v>76</v>
      </c>
      <c r="F801" t="s">
        <v>110</v>
      </c>
      <c r="G801" t="s">
        <v>86</v>
      </c>
      <c r="H801">
        <v>3.3</v>
      </c>
      <c r="I801" t="s">
        <v>51</v>
      </c>
      <c r="J801" t="s">
        <v>45</v>
      </c>
      <c r="K801" t="s">
        <v>43</v>
      </c>
      <c r="M801">
        <v>5</v>
      </c>
      <c r="N801" t="s">
        <v>56</v>
      </c>
      <c r="O801" t="s">
        <v>45</v>
      </c>
      <c r="P801" t="b">
        <v>1</v>
      </c>
      <c r="Q801" t="b">
        <v>0</v>
      </c>
      <c r="R801" t="b">
        <v>0</v>
      </c>
      <c r="S801" t="b">
        <v>1</v>
      </c>
      <c r="T801" t="b">
        <v>1</v>
      </c>
      <c r="U801">
        <v>2.2000000000000002</v>
      </c>
      <c r="V801">
        <v>4.5999999999999996</v>
      </c>
      <c r="W801">
        <v>4</v>
      </c>
      <c r="X801">
        <v>2.8</v>
      </c>
      <c r="Y801">
        <v>114.21</v>
      </c>
      <c r="Z801">
        <v>15</v>
      </c>
      <c r="AA801" t="s">
        <v>64</v>
      </c>
    </row>
    <row r="802" spans="1:27" x14ac:dyDescent="0.3">
      <c r="A802" t="s">
        <v>893</v>
      </c>
      <c r="B802">
        <v>17</v>
      </c>
      <c r="C802" t="s">
        <v>28</v>
      </c>
      <c r="D802">
        <v>6.6</v>
      </c>
      <c r="E802" t="s">
        <v>76</v>
      </c>
      <c r="F802" t="s">
        <v>110</v>
      </c>
      <c r="G802" t="s">
        <v>86</v>
      </c>
      <c r="H802">
        <v>5.8</v>
      </c>
      <c r="I802" t="s">
        <v>32</v>
      </c>
      <c r="J802" t="s">
        <v>36</v>
      </c>
      <c r="K802" t="s">
        <v>34</v>
      </c>
      <c r="L802">
        <v>3.68</v>
      </c>
      <c r="N802" t="s">
        <v>35</v>
      </c>
      <c r="O802" t="s">
        <v>45</v>
      </c>
      <c r="P802" t="b">
        <v>1</v>
      </c>
      <c r="Q802" t="b">
        <v>0</v>
      </c>
      <c r="R802" t="b">
        <v>0</v>
      </c>
      <c r="S802" t="b">
        <v>1</v>
      </c>
      <c r="T802" t="b">
        <v>1</v>
      </c>
      <c r="U802">
        <v>0.3</v>
      </c>
      <c r="V802">
        <v>5.3</v>
      </c>
      <c r="W802">
        <v>5</v>
      </c>
      <c r="X802">
        <v>6.4</v>
      </c>
      <c r="Y802">
        <v>59.22</v>
      </c>
      <c r="Z802">
        <v>4</v>
      </c>
      <c r="AA802" t="s">
        <v>64</v>
      </c>
    </row>
    <row r="803" spans="1:27" x14ac:dyDescent="0.3">
      <c r="A803" t="s">
        <v>894</v>
      </c>
      <c r="B803">
        <v>19</v>
      </c>
      <c r="C803" t="s">
        <v>28</v>
      </c>
      <c r="D803">
        <v>5.3</v>
      </c>
      <c r="E803" t="s">
        <v>54</v>
      </c>
      <c r="F803" t="s">
        <v>98</v>
      </c>
      <c r="G803" t="s">
        <v>31</v>
      </c>
      <c r="H803">
        <v>5.5</v>
      </c>
      <c r="I803" t="s">
        <v>51</v>
      </c>
      <c r="J803" t="s">
        <v>36</v>
      </c>
      <c r="K803" t="s">
        <v>62</v>
      </c>
      <c r="L803">
        <v>2.2599999999999998</v>
      </c>
      <c r="M803">
        <v>2</v>
      </c>
      <c r="N803" t="s">
        <v>63</v>
      </c>
      <c r="O803" t="s">
        <v>42</v>
      </c>
      <c r="P803" t="b">
        <v>0</v>
      </c>
      <c r="Q803" t="b">
        <v>0</v>
      </c>
      <c r="R803" t="b">
        <v>0</v>
      </c>
      <c r="S803" t="b">
        <v>0</v>
      </c>
      <c r="T803" t="b">
        <v>0</v>
      </c>
      <c r="U803">
        <v>0.2</v>
      </c>
      <c r="V803">
        <v>5.6</v>
      </c>
      <c r="W803">
        <v>3</v>
      </c>
      <c r="X803">
        <v>9.1999999999999993</v>
      </c>
      <c r="Y803">
        <v>112.89</v>
      </c>
      <c r="Z803">
        <v>6</v>
      </c>
      <c r="AA803" t="s">
        <v>46</v>
      </c>
    </row>
    <row r="804" spans="1:27" x14ac:dyDescent="0.3">
      <c r="A804" t="s">
        <v>895</v>
      </c>
      <c r="B804">
        <v>17</v>
      </c>
      <c r="C804" t="s">
        <v>152</v>
      </c>
      <c r="D804">
        <v>5.6</v>
      </c>
      <c r="E804" t="s">
        <v>54</v>
      </c>
      <c r="F804" t="s">
        <v>55</v>
      </c>
      <c r="G804" t="s">
        <v>50</v>
      </c>
      <c r="H804">
        <v>6.3</v>
      </c>
      <c r="I804" t="s">
        <v>32</v>
      </c>
      <c r="J804" t="s">
        <v>45</v>
      </c>
      <c r="K804" t="s">
        <v>84</v>
      </c>
      <c r="L804">
        <v>1.82</v>
      </c>
      <c r="N804" t="s">
        <v>105</v>
      </c>
      <c r="O804" t="s">
        <v>45</v>
      </c>
      <c r="P804" t="b">
        <v>0</v>
      </c>
      <c r="Q804" t="b">
        <v>1</v>
      </c>
      <c r="R804" t="b">
        <v>0</v>
      </c>
      <c r="S804" t="b">
        <v>1</v>
      </c>
      <c r="T804" t="b">
        <v>0</v>
      </c>
      <c r="U804">
        <v>2.5</v>
      </c>
      <c r="V804">
        <v>7.3</v>
      </c>
      <c r="W804">
        <v>3</v>
      </c>
      <c r="X804">
        <v>9.9</v>
      </c>
      <c r="Y804">
        <v>148.83000000000001</v>
      </c>
      <c r="Z804">
        <v>5</v>
      </c>
      <c r="AA804" t="s">
        <v>64</v>
      </c>
    </row>
    <row r="805" spans="1:27" x14ac:dyDescent="0.3">
      <c r="A805" t="s">
        <v>896</v>
      </c>
      <c r="B805">
        <v>15</v>
      </c>
      <c r="C805" t="s">
        <v>28</v>
      </c>
      <c r="D805">
        <v>3.4</v>
      </c>
      <c r="E805" t="s">
        <v>39</v>
      </c>
      <c r="F805" t="s">
        <v>120</v>
      </c>
      <c r="G805" t="s">
        <v>71</v>
      </c>
      <c r="H805">
        <v>8.4</v>
      </c>
      <c r="I805" t="s">
        <v>43</v>
      </c>
      <c r="J805" t="s">
        <v>33</v>
      </c>
      <c r="K805" t="s">
        <v>34</v>
      </c>
      <c r="L805">
        <v>3.17</v>
      </c>
      <c r="N805" t="s">
        <v>66</v>
      </c>
      <c r="O805" t="s">
        <v>42</v>
      </c>
      <c r="P805" t="b">
        <v>0</v>
      </c>
      <c r="Q805" t="b">
        <v>0</v>
      </c>
      <c r="R805" t="b">
        <v>0</v>
      </c>
      <c r="S805" t="b">
        <v>0</v>
      </c>
      <c r="T805" t="b">
        <v>0</v>
      </c>
      <c r="U805">
        <v>1</v>
      </c>
      <c r="V805">
        <v>7.2</v>
      </c>
      <c r="W805">
        <v>3</v>
      </c>
      <c r="X805">
        <v>11.9</v>
      </c>
      <c r="Y805">
        <v>28.03</v>
      </c>
      <c r="Z805">
        <v>4</v>
      </c>
      <c r="AA805" t="s">
        <v>46</v>
      </c>
    </row>
    <row r="806" spans="1:27" x14ac:dyDescent="0.3">
      <c r="A806" t="s">
        <v>897</v>
      </c>
      <c r="B806">
        <v>15</v>
      </c>
      <c r="C806" t="s">
        <v>28</v>
      </c>
      <c r="D806">
        <v>8.1999999999999993</v>
      </c>
      <c r="E806" t="s">
        <v>82</v>
      </c>
      <c r="F806" t="s">
        <v>83</v>
      </c>
      <c r="G806" t="s">
        <v>86</v>
      </c>
      <c r="H806">
        <v>5.3</v>
      </c>
      <c r="I806" t="s">
        <v>51</v>
      </c>
      <c r="J806" t="s">
        <v>74</v>
      </c>
      <c r="K806" t="s">
        <v>34</v>
      </c>
      <c r="L806">
        <v>2.36</v>
      </c>
      <c r="N806" t="s">
        <v>35</v>
      </c>
      <c r="O806" t="s">
        <v>45</v>
      </c>
      <c r="P806" t="b">
        <v>0</v>
      </c>
      <c r="Q806" t="b">
        <v>0</v>
      </c>
      <c r="R806" t="b">
        <v>0</v>
      </c>
      <c r="S806" t="b">
        <v>1</v>
      </c>
      <c r="T806" t="b">
        <v>0</v>
      </c>
      <c r="U806">
        <v>1.6</v>
      </c>
      <c r="V806">
        <v>5.8</v>
      </c>
      <c r="W806">
        <v>5</v>
      </c>
      <c r="X806">
        <v>4.5999999999999996</v>
      </c>
      <c r="Y806">
        <v>88.12</v>
      </c>
      <c r="Z806">
        <v>1</v>
      </c>
      <c r="AA806" t="s">
        <v>46</v>
      </c>
    </row>
    <row r="807" spans="1:27" x14ac:dyDescent="0.3">
      <c r="A807" t="s">
        <v>898</v>
      </c>
      <c r="B807">
        <v>22</v>
      </c>
      <c r="C807" t="s">
        <v>28</v>
      </c>
      <c r="D807">
        <v>10.5</v>
      </c>
      <c r="E807" t="s">
        <v>48</v>
      </c>
      <c r="F807" t="s">
        <v>214</v>
      </c>
      <c r="G807" t="s">
        <v>71</v>
      </c>
      <c r="H807">
        <v>4.8</v>
      </c>
      <c r="I807" t="s">
        <v>32</v>
      </c>
      <c r="J807" t="s">
        <v>74</v>
      </c>
      <c r="K807" t="s">
        <v>51</v>
      </c>
      <c r="L807">
        <v>1.41</v>
      </c>
      <c r="M807">
        <v>6</v>
      </c>
      <c r="N807" t="s">
        <v>44</v>
      </c>
      <c r="O807" t="s">
        <v>45</v>
      </c>
      <c r="P807" t="b">
        <v>1</v>
      </c>
      <c r="Q807" t="b">
        <v>1</v>
      </c>
      <c r="R807" t="b">
        <v>1</v>
      </c>
      <c r="S807" t="b">
        <v>1</v>
      </c>
      <c r="T807" t="b">
        <v>0</v>
      </c>
      <c r="U807">
        <v>3.1</v>
      </c>
      <c r="V807">
        <v>4.9000000000000004</v>
      </c>
      <c r="W807">
        <v>6</v>
      </c>
      <c r="X807">
        <v>0.1</v>
      </c>
      <c r="Y807">
        <v>443.88</v>
      </c>
      <c r="Z807">
        <v>11</v>
      </c>
      <c r="AA807" t="s">
        <v>37</v>
      </c>
    </row>
    <row r="808" spans="1:27" x14ac:dyDescent="0.3">
      <c r="A808" t="s">
        <v>899</v>
      </c>
      <c r="B808">
        <v>22</v>
      </c>
      <c r="C808" t="s">
        <v>28</v>
      </c>
      <c r="D808">
        <v>7.4</v>
      </c>
      <c r="E808" t="s">
        <v>54</v>
      </c>
      <c r="F808" t="s">
        <v>98</v>
      </c>
      <c r="G808" t="s">
        <v>31</v>
      </c>
      <c r="H808">
        <v>3.2</v>
      </c>
      <c r="I808" t="s">
        <v>32</v>
      </c>
      <c r="J808" t="s">
        <v>74</v>
      </c>
      <c r="K808" t="s">
        <v>34</v>
      </c>
      <c r="L808">
        <v>2.8</v>
      </c>
      <c r="M808">
        <v>5</v>
      </c>
      <c r="N808" t="s">
        <v>63</v>
      </c>
      <c r="O808" t="s">
        <v>45</v>
      </c>
      <c r="P808" t="b">
        <v>0</v>
      </c>
      <c r="Q808" t="b">
        <v>1</v>
      </c>
      <c r="R808" t="b">
        <v>0</v>
      </c>
      <c r="S808" t="b">
        <v>1</v>
      </c>
      <c r="T808" t="b">
        <v>0</v>
      </c>
      <c r="U808">
        <v>2.6</v>
      </c>
      <c r="V808">
        <v>8.1999999999999993</v>
      </c>
      <c r="W808">
        <v>4</v>
      </c>
      <c r="X808">
        <v>4.5999999999999996</v>
      </c>
      <c r="Y808">
        <v>20.41</v>
      </c>
      <c r="Z808">
        <v>6</v>
      </c>
      <c r="AA808" t="s">
        <v>64</v>
      </c>
    </row>
    <row r="809" spans="1:27" x14ac:dyDescent="0.3">
      <c r="A809" t="s">
        <v>900</v>
      </c>
      <c r="B809">
        <v>27</v>
      </c>
      <c r="C809" t="s">
        <v>28</v>
      </c>
      <c r="D809">
        <v>4.7</v>
      </c>
      <c r="E809" t="s">
        <v>60</v>
      </c>
      <c r="F809" t="s">
        <v>102</v>
      </c>
      <c r="G809" t="s">
        <v>86</v>
      </c>
      <c r="H809">
        <v>5.9</v>
      </c>
      <c r="I809" t="s">
        <v>51</v>
      </c>
      <c r="J809" t="s">
        <v>36</v>
      </c>
      <c r="K809" t="s">
        <v>34</v>
      </c>
      <c r="M809">
        <v>6</v>
      </c>
      <c r="N809" t="s">
        <v>105</v>
      </c>
      <c r="O809" t="s">
        <v>42</v>
      </c>
      <c r="P809" t="b">
        <v>0</v>
      </c>
      <c r="Q809" t="b">
        <v>0</v>
      </c>
      <c r="R809" t="b">
        <v>0</v>
      </c>
      <c r="S809" t="b">
        <v>1</v>
      </c>
      <c r="T809" t="b">
        <v>0</v>
      </c>
      <c r="U809">
        <v>1.5</v>
      </c>
      <c r="V809">
        <v>5.9</v>
      </c>
      <c r="W809">
        <v>1</v>
      </c>
      <c r="X809">
        <v>11.6</v>
      </c>
      <c r="Y809">
        <v>121.89</v>
      </c>
      <c r="Z809">
        <v>6</v>
      </c>
      <c r="AA809" t="s">
        <v>46</v>
      </c>
    </row>
    <row r="810" spans="1:27" x14ac:dyDescent="0.3">
      <c r="A810" t="s">
        <v>901</v>
      </c>
      <c r="B810">
        <v>16</v>
      </c>
      <c r="C810" t="s">
        <v>28</v>
      </c>
      <c r="D810">
        <v>5</v>
      </c>
      <c r="E810" t="s">
        <v>29</v>
      </c>
      <c r="F810" t="s">
        <v>118</v>
      </c>
      <c r="G810" t="s">
        <v>31</v>
      </c>
      <c r="H810">
        <v>6.1</v>
      </c>
      <c r="I810" t="s">
        <v>41</v>
      </c>
      <c r="J810" t="s">
        <v>33</v>
      </c>
      <c r="K810" t="s">
        <v>34</v>
      </c>
      <c r="L810">
        <v>3.18</v>
      </c>
      <c r="N810" t="s">
        <v>35</v>
      </c>
      <c r="O810" t="s">
        <v>42</v>
      </c>
      <c r="P810" t="b">
        <v>0</v>
      </c>
      <c r="Q810" t="b">
        <v>0</v>
      </c>
      <c r="R810" t="b">
        <v>0</v>
      </c>
      <c r="S810" t="b">
        <v>1</v>
      </c>
      <c r="T810" t="b">
        <v>0</v>
      </c>
      <c r="U810">
        <v>1.5</v>
      </c>
      <c r="V810">
        <v>8.8000000000000007</v>
      </c>
      <c r="W810">
        <v>2</v>
      </c>
      <c r="X810">
        <v>9.6999999999999993</v>
      </c>
      <c r="Y810">
        <v>90.52</v>
      </c>
      <c r="Z810">
        <v>2</v>
      </c>
      <c r="AA810" t="s">
        <v>46</v>
      </c>
    </row>
    <row r="811" spans="1:27" x14ac:dyDescent="0.3">
      <c r="A811" t="s">
        <v>902</v>
      </c>
      <c r="B811">
        <v>22</v>
      </c>
      <c r="C811" t="s">
        <v>28</v>
      </c>
      <c r="D811">
        <v>4.9000000000000004</v>
      </c>
      <c r="E811" t="s">
        <v>82</v>
      </c>
      <c r="F811" t="s">
        <v>83</v>
      </c>
      <c r="G811" t="s">
        <v>86</v>
      </c>
      <c r="H811">
        <v>5.3</v>
      </c>
      <c r="I811" t="s">
        <v>51</v>
      </c>
      <c r="J811" t="s">
        <v>45</v>
      </c>
      <c r="K811" t="s">
        <v>34</v>
      </c>
      <c r="L811">
        <v>3.98</v>
      </c>
      <c r="M811">
        <v>9</v>
      </c>
      <c r="N811" t="s">
        <v>63</v>
      </c>
      <c r="O811" t="s">
        <v>45</v>
      </c>
      <c r="P811" t="b">
        <v>0</v>
      </c>
      <c r="Q811" t="b">
        <v>0</v>
      </c>
      <c r="R811" t="b">
        <v>0</v>
      </c>
      <c r="S811" t="b">
        <v>1</v>
      </c>
      <c r="T811" t="b">
        <v>0</v>
      </c>
      <c r="U811">
        <v>0.4</v>
      </c>
      <c r="V811">
        <v>8.9</v>
      </c>
      <c r="W811">
        <v>5</v>
      </c>
      <c r="X811">
        <v>8.9</v>
      </c>
      <c r="Y811">
        <v>40.15</v>
      </c>
      <c r="Z811">
        <v>6</v>
      </c>
      <c r="AA811" t="s">
        <v>46</v>
      </c>
    </row>
    <row r="812" spans="1:27" x14ac:dyDescent="0.3">
      <c r="A812" t="s">
        <v>903</v>
      </c>
      <c r="B812">
        <v>14</v>
      </c>
      <c r="C812" t="s">
        <v>28</v>
      </c>
      <c r="D812">
        <v>8.6999999999999993</v>
      </c>
      <c r="E812" t="s">
        <v>54</v>
      </c>
      <c r="F812" t="s">
        <v>98</v>
      </c>
      <c r="G812" t="s">
        <v>31</v>
      </c>
      <c r="H812">
        <v>5.0999999999999996</v>
      </c>
      <c r="I812" t="s">
        <v>51</v>
      </c>
      <c r="J812" t="s">
        <v>74</v>
      </c>
      <c r="K812" t="s">
        <v>34</v>
      </c>
      <c r="L812">
        <v>2.0699999999999998</v>
      </c>
      <c r="N812" t="s">
        <v>69</v>
      </c>
      <c r="O812" t="s">
        <v>33</v>
      </c>
      <c r="P812" t="b">
        <v>0</v>
      </c>
      <c r="Q812" t="b">
        <v>1</v>
      </c>
      <c r="R812" t="b">
        <v>1</v>
      </c>
      <c r="S812" t="b">
        <v>1</v>
      </c>
      <c r="T812" t="b">
        <v>1</v>
      </c>
      <c r="U812">
        <v>1.5</v>
      </c>
      <c r="V812">
        <v>7.2</v>
      </c>
      <c r="W812">
        <v>6</v>
      </c>
      <c r="X812">
        <v>5.2</v>
      </c>
      <c r="Y812">
        <v>259.52</v>
      </c>
      <c r="Z812">
        <v>3</v>
      </c>
      <c r="AA812" t="s">
        <v>37</v>
      </c>
    </row>
    <row r="813" spans="1:27" x14ac:dyDescent="0.3">
      <c r="A813" t="s">
        <v>904</v>
      </c>
      <c r="B813">
        <v>19</v>
      </c>
      <c r="C813" t="s">
        <v>28</v>
      </c>
      <c r="D813">
        <v>1.7</v>
      </c>
      <c r="E813" t="s">
        <v>54</v>
      </c>
      <c r="F813" t="s">
        <v>98</v>
      </c>
      <c r="G813" t="s">
        <v>50</v>
      </c>
      <c r="H813">
        <v>7.4</v>
      </c>
      <c r="I813" t="s">
        <v>51</v>
      </c>
      <c r="J813" t="s">
        <v>33</v>
      </c>
      <c r="K813" t="s">
        <v>43</v>
      </c>
      <c r="L813">
        <v>2.27</v>
      </c>
      <c r="M813">
        <v>3</v>
      </c>
      <c r="N813" t="s">
        <v>66</v>
      </c>
      <c r="O813" t="s">
        <v>42</v>
      </c>
      <c r="P813" t="b">
        <v>0</v>
      </c>
      <c r="Q813" t="b">
        <v>0</v>
      </c>
      <c r="R813" t="b">
        <v>0</v>
      </c>
      <c r="S813" t="b">
        <v>0</v>
      </c>
      <c r="T813" t="b">
        <v>0</v>
      </c>
      <c r="U813">
        <v>0.5</v>
      </c>
      <c r="V813">
        <v>9.3000000000000007</v>
      </c>
      <c r="W813">
        <v>1</v>
      </c>
      <c r="X813">
        <v>11.2</v>
      </c>
      <c r="Y813">
        <v>16.37</v>
      </c>
      <c r="Z813">
        <v>5</v>
      </c>
      <c r="AA813" t="s">
        <v>46</v>
      </c>
    </row>
    <row r="814" spans="1:27" x14ac:dyDescent="0.3">
      <c r="A814" t="s">
        <v>905</v>
      </c>
      <c r="B814">
        <v>18</v>
      </c>
      <c r="C814" t="s">
        <v>28</v>
      </c>
      <c r="D814">
        <v>6.8</v>
      </c>
      <c r="E814" t="s">
        <v>29</v>
      </c>
      <c r="F814" t="s">
        <v>73</v>
      </c>
      <c r="G814" t="s">
        <v>31</v>
      </c>
      <c r="H814">
        <v>5.2</v>
      </c>
      <c r="I814" t="s">
        <v>78</v>
      </c>
      <c r="J814" t="s">
        <v>74</v>
      </c>
      <c r="K814" t="s">
        <v>129</v>
      </c>
      <c r="L814">
        <v>3.29</v>
      </c>
      <c r="N814" t="s">
        <v>35</v>
      </c>
      <c r="O814" t="s">
        <v>45</v>
      </c>
      <c r="P814" t="b">
        <v>1</v>
      </c>
      <c r="Q814" t="b">
        <v>0</v>
      </c>
      <c r="R814" t="b">
        <v>0</v>
      </c>
      <c r="S814" t="b">
        <v>0</v>
      </c>
      <c r="T814" t="b">
        <v>1</v>
      </c>
      <c r="U814">
        <v>0.2</v>
      </c>
      <c r="V814">
        <v>6.8</v>
      </c>
      <c r="W814">
        <v>6</v>
      </c>
      <c r="X814">
        <v>7.9</v>
      </c>
      <c r="Y814">
        <v>26.83</v>
      </c>
      <c r="Z814">
        <v>7</v>
      </c>
      <c r="AA814" t="s">
        <v>64</v>
      </c>
    </row>
    <row r="815" spans="1:27" x14ac:dyDescent="0.3">
      <c r="A815" t="s">
        <v>906</v>
      </c>
      <c r="B815">
        <v>24</v>
      </c>
      <c r="C815" t="s">
        <v>28</v>
      </c>
      <c r="D815">
        <v>8.9</v>
      </c>
      <c r="E815" t="s">
        <v>76</v>
      </c>
      <c r="F815" t="s">
        <v>77</v>
      </c>
      <c r="G815" t="s">
        <v>31</v>
      </c>
      <c r="H815">
        <v>4.7</v>
      </c>
      <c r="I815" t="s">
        <v>32</v>
      </c>
      <c r="J815" t="s">
        <v>36</v>
      </c>
      <c r="K815" t="s">
        <v>43</v>
      </c>
      <c r="M815">
        <v>4</v>
      </c>
      <c r="N815" t="s">
        <v>80</v>
      </c>
      <c r="O815" t="s">
        <v>45</v>
      </c>
      <c r="P815" t="b">
        <v>1</v>
      </c>
      <c r="Q815" t="b">
        <v>1</v>
      </c>
      <c r="R815" t="b">
        <v>0</v>
      </c>
      <c r="S815" t="b">
        <v>1</v>
      </c>
      <c r="T815" t="b">
        <v>1</v>
      </c>
      <c r="U815">
        <v>5</v>
      </c>
      <c r="V815">
        <v>4.3</v>
      </c>
      <c r="W815">
        <v>7</v>
      </c>
      <c r="X815">
        <v>2.8</v>
      </c>
      <c r="Y815">
        <v>391.6</v>
      </c>
      <c r="Z815">
        <v>5</v>
      </c>
      <c r="AA815" t="s">
        <v>37</v>
      </c>
    </row>
    <row r="816" spans="1:27" x14ac:dyDescent="0.3">
      <c r="A816" t="s">
        <v>907</v>
      </c>
      <c r="B816">
        <v>25</v>
      </c>
      <c r="C816" t="s">
        <v>28</v>
      </c>
      <c r="D816">
        <v>4.2</v>
      </c>
      <c r="E816" t="s">
        <v>54</v>
      </c>
      <c r="F816" t="s">
        <v>89</v>
      </c>
      <c r="G816" t="s">
        <v>71</v>
      </c>
      <c r="H816">
        <v>5.3</v>
      </c>
      <c r="I816" t="s">
        <v>43</v>
      </c>
      <c r="J816" t="s">
        <v>45</v>
      </c>
      <c r="K816" t="s">
        <v>84</v>
      </c>
      <c r="M816">
        <v>5</v>
      </c>
      <c r="N816" t="s">
        <v>80</v>
      </c>
      <c r="O816" t="s">
        <v>45</v>
      </c>
      <c r="P816" t="b">
        <v>0</v>
      </c>
      <c r="Q816" t="b">
        <v>0</v>
      </c>
      <c r="R816" t="b">
        <v>0</v>
      </c>
      <c r="S816" t="b">
        <v>0</v>
      </c>
      <c r="T816" t="b">
        <v>0</v>
      </c>
      <c r="U816">
        <v>1.1000000000000001</v>
      </c>
      <c r="V816">
        <v>8.5</v>
      </c>
      <c r="W816">
        <v>2</v>
      </c>
      <c r="X816">
        <v>12.8</v>
      </c>
      <c r="Y816">
        <v>48.39</v>
      </c>
      <c r="Z816">
        <v>13</v>
      </c>
      <c r="AA816" t="s">
        <v>46</v>
      </c>
    </row>
    <row r="817" spans="1:27" x14ac:dyDescent="0.3">
      <c r="A817" t="s">
        <v>908</v>
      </c>
      <c r="B817">
        <v>18</v>
      </c>
      <c r="C817" t="s">
        <v>28</v>
      </c>
      <c r="D817">
        <v>6.9</v>
      </c>
      <c r="E817" t="s">
        <v>82</v>
      </c>
      <c r="F817" t="s">
        <v>167</v>
      </c>
      <c r="G817" t="s">
        <v>71</v>
      </c>
      <c r="H817">
        <v>5.7</v>
      </c>
      <c r="I817" t="s">
        <v>51</v>
      </c>
      <c r="J817" t="s">
        <v>45</v>
      </c>
      <c r="K817" t="s">
        <v>34</v>
      </c>
      <c r="L817">
        <v>3.77</v>
      </c>
      <c r="N817" t="s">
        <v>80</v>
      </c>
      <c r="O817" t="s">
        <v>33</v>
      </c>
      <c r="P817" t="b">
        <v>1</v>
      </c>
      <c r="Q817" t="b">
        <v>1</v>
      </c>
      <c r="R817" t="b">
        <v>0</v>
      </c>
      <c r="S817" t="b">
        <v>0</v>
      </c>
      <c r="T817" t="b">
        <v>0</v>
      </c>
      <c r="U817">
        <v>3.6</v>
      </c>
      <c r="V817">
        <v>7.5</v>
      </c>
      <c r="W817">
        <v>3</v>
      </c>
      <c r="X817">
        <v>9.4</v>
      </c>
      <c r="Y817">
        <v>146.82</v>
      </c>
      <c r="Z817">
        <v>7</v>
      </c>
      <c r="AA817" t="s">
        <v>58</v>
      </c>
    </row>
    <row r="818" spans="1:27" x14ac:dyDescent="0.3">
      <c r="A818" t="s">
        <v>909</v>
      </c>
      <c r="B818">
        <v>27</v>
      </c>
      <c r="C818" t="s">
        <v>28</v>
      </c>
      <c r="D818">
        <v>6</v>
      </c>
      <c r="E818" t="s">
        <v>39</v>
      </c>
      <c r="F818" t="s">
        <v>40</v>
      </c>
      <c r="G818" t="s">
        <v>50</v>
      </c>
      <c r="H818">
        <v>6.3</v>
      </c>
      <c r="I818" t="s">
        <v>32</v>
      </c>
      <c r="J818" t="s">
        <v>42</v>
      </c>
      <c r="K818" t="s">
        <v>84</v>
      </c>
      <c r="M818">
        <v>10</v>
      </c>
      <c r="N818" t="s">
        <v>69</v>
      </c>
      <c r="O818" t="s">
        <v>57</v>
      </c>
      <c r="P818" t="b">
        <v>0</v>
      </c>
      <c r="Q818" t="b">
        <v>1</v>
      </c>
      <c r="R818" t="b">
        <v>0</v>
      </c>
      <c r="S818" t="b">
        <v>1</v>
      </c>
      <c r="T818" t="b">
        <v>1</v>
      </c>
      <c r="U818">
        <v>1.1000000000000001</v>
      </c>
      <c r="V818">
        <v>5.6</v>
      </c>
      <c r="W818">
        <v>3</v>
      </c>
      <c r="X818">
        <v>9.4</v>
      </c>
      <c r="Y818">
        <v>107.64</v>
      </c>
      <c r="Z818">
        <v>10</v>
      </c>
      <c r="AA818" t="s">
        <v>64</v>
      </c>
    </row>
    <row r="819" spans="1:27" x14ac:dyDescent="0.3">
      <c r="A819" t="s">
        <v>910</v>
      </c>
      <c r="B819">
        <v>19</v>
      </c>
      <c r="C819" t="s">
        <v>28</v>
      </c>
      <c r="D819">
        <v>11</v>
      </c>
      <c r="E819" t="s">
        <v>29</v>
      </c>
      <c r="F819" t="s">
        <v>30</v>
      </c>
      <c r="G819" t="s">
        <v>71</v>
      </c>
      <c r="H819">
        <v>5.3</v>
      </c>
      <c r="I819" t="s">
        <v>78</v>
      </c>
      <c r="J819" t="s">
        <v>33</v>
      </c>
      <c r="K819" t="s">
        <v>129</v>
      </c>
      <c r="L819">
        <v>1.88</v>
      </c>
      <c r="M819">
        <v>9</v>
      </c>
      <c r="N819" t="s">
        <v>69</v>
      </c>
      <c r="O819" t="s">
        <v>45</v>
      </c>
      <c r="P819" t="b">
        <v>0</v>
      </c>
      <c r="Q819" t="b">
        <v>0</v>
      </c>
      <c r="R819" t="b">
        <v>0</v>
      </c>
      <c r="S819" t="b">
        <v>1</v>
      </c>
      <c r="T819" t="b">
        <v>0</v>
      </c>
      <c r="U819">
        <v>1.4</v>
      </c>
      <c r="V819">
        <v>4.7</v>
      </c>
      <c r="W819">
        <v>6</v>
      </c>
      <c r="X819">
        <v>0</v>
      </c>
      <c r="Y819">
        <v>341.34</v>
      </c>
      <c r="Z819">
        <v>1</v>
      </c>
      <c r="AA819" t="s">
        <v>64</v>
      </c>
    </row>
    <row r="820" spans="1:27" x14ac:dyDescent="0.3">
      <c r="A820" t="s">
        <v>911</v>
      </c>
      <c r="B820">
        <v>18</v>
      </c>
      <c r="C820" t="s">
        <v>28</v>
      </c>
      <c r="D820">
        <v>11.9</v>
      </c>
      <c r="E820" t="s">
        <v>39</v>
      </c>
      <c r="F820" t="s">
        <v>40</v>
      </c>
      <c r="G820" t="s">
        <v>50</v>
      </c>
      <c r="H820">
        <v>5.7</v>
      </c>
      <c r="I820" t="s">
        <v>43</v>
      </c>
      <c r="J820" t="s">
        <v>74</v>
      </c>
      <c r="K820" t="s">
        <v>62</v>
      </c>
      <c r="L820">
        <v>1.03</v>
      </c>
      <c r="N820" t="s">
        <v>80</v>
      </c>
      <c r="O820" t="s">
        <v>57</v>
      </c>
      <c r="P820" t="b">
        <v>1</v>
      </c>
      <c r="Q820" t="b">
        <v>1</v>
      </c>
      <c r="R820" t="b">
        <v>0</v>
      </c>
      <c r="S820" t="b">
        <v>1</v>
      </c>
      <c r="T820" t="b">
        <v>0</v>
      </c>
      <c r="U820">
        <v>0.7</v>
      </c>
      <c r="V820">
        <v>3.6</v>
      </c>
      <c r="W820">
        <v>7</v>
      </c>
      <c r="X820">
        <v>1.7</v>
      </c>
      <c r="Y820">
        <v>97.11</v>
      </c>
      <c r="Z820">
        <v>8</v>
      </c>
      <c r="AA820" t="s">
        <v>37</v>
      </c>
    </row>
    <row r="821" spans="1:27" x14ac:dyDescent="0.3">
      <c r="A821" t="s">
        <v>912</v>
      </c>
      <c r="B821">
        <v>18</v>
      </c>
      <c r="C821" t="s">
        <v>28</v>
      </c>
      <c r="D821">
        <v>6.3</v>
      </c>
      <c r="E821" t="s">
        <v>54</v>
      </c>
      <c r="F821" t="s">
        <v>55</v>
      </c>
      <c r="G821" t="s">
        <v>50</v>
      </c>
      <c r="H821">
        <v>6</v>
      </c>
      <c r="I821" t="s">
        <v>41</v>
      </c>
      <c r="J821" t="s">
        <v>45</v>
      </c>
      <c r="K821" t="s">
        <v>62</v>
      </c>
      <c r="L821">
        <v>3.41</v>
      </c>
      <c r="N821" t="s">
        <v>44</v>
      </c>
      <c r="O821" t="s">
        <v>42</v>
      </c>
      <c r="P821" t="b">
        <v>0</v>
      </c>
      <c r="Q821" t="b">
        <v>1</v>
      </c>
      <c r="R821" t="b">
        <v>0</v>
      </c>
      <c r="S821" t="b">
        <v>1</v>
      </c>
      <c r="T821" t="b">
        <v>0</v>
      </c>
      <c r="U821">
        <v>0.2</v>
      </c>
      <c r="V821">
        <v>6.2</v>
      </c>
      <c r="W821">
        <v>3</v>
      </c>
      <c r="X821">
        <v>5.8</v>
      </c>
      <c r="Y821">
        <v>147.18</v>
      </c>
      <c r="Z821">
        <v>5</v>
      </c>
      <c r="AA821" t="s">
        <v>64</v>
      </c>
    </row>
    <row r="822" spans="1:27" x14ac:dyDescent="0.3">
      <c r="A822" t="s">
        <v>913</v>
      </c>
      <c r="B822">
        <v>21</v>
      </c>
      <c r="C822" t="s">
        <v>28</v>
      </c>
      <c r="D822">
        <v>2.2000000000000002</v>
      </c>
      <c r="E822" t="s">
        <v>29</v>
      </c>
      <c r="F822" t="s">
        <v>104</v>
      </c>
      <c r="G822" t="s">
        <v>71</v>
      </c>
      <c r="H822">
        <v>7.7</v>
      </c>
      <c r="I822" t="s">
        <v>41</v>
      </c>
      <c r="J822" t="s">
        <v>45</v>
      </c>
      <c r="K822" t="s">
        <v>84</v>
      </c>
      <c r="L822">
        <v>3.16</v>
      </c>
      <c r="M822">
        <v>1</v>
      </c>
      <c r="N822" t="s">
        <v>69</v>
      </c>
      <c r="O822" t="s">
        <v>45</v>
      </c>
      <c r="P822" t="b">
        <v>0</v>
      </c>
      <c r="Q822" t="b">
        <v>0</v>
      </c>
      <c r="R822" t="b">
        <v>0</v>
      </c>
      <c r="S822" t="b">
        <v>0</v>
      </c>
      <c r="T822" t="b">
        <v>0</v>
      </c>
      <c r="U822">
        <v>0</v>
      </c>
      <c r="V822">
        <v>9.8000000000000007</v>
      </c>
      <c r="W822">
        <v>1</v>
      </c>
      <c r="X822">
        <v>14.8</v>
      </c>
      <c r="Y822">
        <v>0.44</v>
      </c>
      <c r="Z822">
        <v>5</v>
      </c>
      <c r="AA822" t="s">
        <v>46</v>
      </c>
    </row>
    <row r="823" spans="1:27" x14ac:dyDescent="0.3">
      <c r="A823" t="s">
        <v>914</v>
      </c>
      <c r="B823">
        <v>23</v>
      </c>
      <c r="C823" t="s">
        <v>53</v>
      </c>
      <c r="D823">
        <v>6.2</v>
      </c>
      <c r="E823" t="s">
        <v>39</v>
      </c>
      <c r="F823" t="s">
        <v>40</v>
      </c>
      <c r="G823" t="s">
        <v>86</v>
      </c>
      <c r="H823">
        <v>5.3</v>
      </c>
      <c r="I823" t="s">
        <v>43</v>
      </c>
      <c r="J823" t="s">
        <v>33</v>
      </c>
      <c r="K823" t="s">
        <v>43</v>
      </c>
      <c r="M823">
        <v>10</v>
      </c>
      <c r="N823" t="s">
        <v>35</v>
      </c>
      <c r="O823" t="s">
        <v>57</v>
      </c>
      <c r="P823" t="b">
        <v>0</v>
      </c>
      <c r="Q823" t="b">
        <v>1</v>
      </c>
      <c r="R823" t="b">
        <v>0</v>
      </c>
      <c r="S823" t="b">
        <v>0</v>
      </c>
      <c r="T823" t="b">
        <v>0</v>
      </c>
      <c r="U823">
        <v>2.7</v>
      </c>
      <c r="V823">
        <v>8.6</v>
      </c>
      <c r="W823">
        <v>3</v>
      </c>
      <c r="X823">
        <v>5.9</v>
      </c>
      <c r="Y823">
        <v>130.71</v>
      </c>
      <c r="Z823">
        <v>5</v>
      </c>
      <c r="AA823" t="s">
        <v>64</v>
      </c>
    </row>
    <row r="824" spans="1:27" x14ac:dyDescent="0.3">
      <c r="A824" t="s">
        <v>915</v>
      </c>
      <c r="B824">
        <v>22</v>
      </c>
      <c r="C824" t="s">
        <v>53</v>
      </c>
      <c r="D824">
        <v>9.3000000000000007</v>
      </c>
      <c r="E824" t="s">
        <v>48</v>
      </c>
      <c r="F824" t="s">
        <v>68</v>
      </c>
      <c r="G824" t="s">
        <v>50</v>
      </c>
      <c r="H824">
        <v>5.4</v>
      </c>
      <c r="I824" t="s">
        <v>32</v>
      </c>
      <c r="J824" t="s">
        <v>45</v>
      </c>
      <c r="K824" t="s">
        <v>51</v>
      </c>
      <c r="L824">
        <v>3.56</v>
      </c>
      <c r="M824">
        <v>10</v>
      </c>
      <c r="N824" t="s">
        <v>80</v>
      </c>
      <c r="O824" t="s">
        <v>45</v>
      </c>
      <c r="P824" t="b">
        <v>1</v>
      </c>
      <c r="Q824" t="b">
        <v>1</v>
      </c>
      <c r="R824" t="b">
        <v>1</v>
      </c>
      <c r="S824" t="b">
        <v>1</v>
      </c>
      <c r="T824" t="b">
        <v>1</v>
      </c>
      <c r="U824">
        <v>1.5</v>
      </c>
      <c r="V824">
        <v>3.7</v>
      </c>
      <c r="W824">
        <v>6</v>
      </c>
      <c r="X824">
        <v>4</v>
      </c>
      <c r="Y824">
        <v>377.17</v>
      </c>
      <c r="Z824">
        <v>1</v>
      </c>
      <c r="AA824" t="s">
        <v>37</v>
      </c>
    </row>
    <row r="825" spans="1:27" x14ac:dyDescent="0.3">
      <c r="A825" t="s">
        <v>916</v>
      </c>
      <c r="B825">
        <v>20</v>
      </c>
      <c r="C825" t="s">
        <v>28</v>
      </c>
      <c r="D825">
        <v>5.6</v>
      </c>
      <c r="E825" t="s">
        <v>39</v>
      </c>
      <c r="F825" t="s">
        <v>120</v>
      </c>
      <c r="G825" t="s">
        <v>50</v>
      </c>
      <c r="H825">
        <v>5.9</v>
      </c>
      <c r="I825" t="s">
        <v>41</v>
      </c>
      <c r="J825" t="s">
        <v>36</v>
      </c>
      <c r="K825" t="s">
        <v>51</v>
      </c>
      <c r="L825">
        <v>3.33</v>
      </c>
      <c r="M825">
        <v>9</v>
      </c>
      <c r="N825" t="s">
        <v>35</v>
      </c>
      <c r="O825" t="s">
        <v>42</v>
      </c>
      <c r="P825" t="b">
        <v>0</v>
      </c>
      <c r="Q825" t="b">
        <v>1</v>
      </c>
      <c r="R825" t="b">
        <v>0</v>
      </c>
      <c r="S825" t="b">
        <v>1</v>
      </c>
      <c r="T825" t="b">
        <v>1</v>
      </c>
      <c r="U825">
        <v>1.9</v>
      </c>
      <c r="V825">
        <v>8</v>
      </c>
      <c r="W825">
        <v>4</v>
      </c>
      <c r="X825">
        <v>9</v>
      </c>
      <c r="Y825">
        <v>141.66999999999999</v>
      </c>
      <c r="Z825">
        <v>1</v>
      </c>
      <c r="AA825" t="s">
        <v>64</v>
      </c>
    </row>
    <row r="826" spans="1:27" x14ac:dyDescent="0.3">
      <c r="A826" t="s">
        <v>917</v>
      </c>
      <c r="B826">
        <v>20</v>
      </c>
      <c r="C826" t="s">
        <v>28</v>
      </c>
      <c r="D826">
        <v>6.2</v>
      </c>
      <c r="E826" t="s">
        <v>60</v>
      </c>
      <c r="F826" t="s">
        <v>200</v>
      </c>
      <c r="G826" t="s">
        <v>31</v>
      </c>
      <c r="H826">
        <v>5.6</v>
      </c>
      <c r="I826" t="s">
        <v>43</v>
      </c>
      <c r="J826" t="s">
        <v>74</v>
      </c>
      <c r="K826" t="s">
        <v>43</v>
      </c>
      <c r="L826">
        <v>2.19</v>
      </c>
      <c r="M826">
        <v>3</v>
      </c>
      <c r="N826" t="s">
        <v>69</v>
      </c>
      <c r="O826" t="s">
        <v>57</v>
      </c>
      <c r="P826" t="b">
        <v>0</v>
      </c>
      <c r="Q826" t="b">
        <v>1</v>
      </c>
      <c r="R826" t="b">
        <v>0</v>
      </c>
      <c r="S826" t="b">
        <v>1</v>
      </c>
      <c r="T826" t="b">
        <v>1</v>
      </c>
      <c r="U826">
        <v>0.2</v>
      </c>
      <c r="V826">
        <v>8.5</v>
      </c>
      <c r="W826">
        <v>3</v>
      </c>
      <c r="X826">
        <v>10</v>
      </c>
      <c r="Y826">
        <v>142.94999999999999</v>
      </c>
      <c r="Z826">
        <v>6</v>
      </c>
      <c r="AA826" t="s">
        <v>64</v>
      </c>
    </row>
    <row r="827" spans="1:27" x14ac:dyDescent="0.3">
      <c r="A827" t="s">
        <v>918</v>
      </c>
      <c r="B827">
        <v>19</v>
      </c>
      <c r="C827" t="s">
        <v>53</v>
      </c>
      <c r="D827">
        <v>7.1</v>
      </c>
      <c r="E827" t="s">
        <v>39</v>
      </c>
      <c r="F827" t="s">
        <v>120</v>
      </c>
      <c r="G827" t="s">
        <v>86</v>
      </c>
      <c r="H827">
        <v>5.0999999999999996</v>
      </c>
      <c r="I827" t="s">
        <v>32</v>
      </c>
      <c r="J827" t="s">
        <v>36</v>
      </c>
      <c r="K827" t="s">
        <v>62</v>
      </c>
      <c r="L827">
        <v>1.38</v>
      </c>
      <c r="M827">
        <v>6</v>
      </c>
      <c r="N827" t="s">
        <v>35</v>
      </c>
      <c r="O827" t="s">
        <v>57</v>
      </c>
      <c r="P827" t="b">
        <v>1</v>
      </c>
      <c r="Q827" t="b">
        <v>0</v>
      </c>
      <c r="R827" t="b">
        <v>0</v>
      </c>
      <c r="S827" t="b">
        <v>1</v>
      </c>
      <c r="T827" t="b">
        <v>1</v>
      </c>
      <c r="U827">
        <v>1</v>
      </c>
      <c r="V827">
        <v>5.2</v>
      </c>
      <c r="W827">
        <v>3</v>
      </c>
      <c r="X827">
        <v>9.6</v>
      </c>
      <c r="Y827">
        <v>83.29</v>
      </c>
      <c r="Z827">
        <v>6</v>
      </c>
      <c r="AA827" t="s">
        <v>64</v>
      </c>
    </row>
    <row r="828" spans="1:27" x14ac:dyDescent="0.3">
      <c r="A828" t="s">
        <v>919</v>
      </c>
      <c r="B828">
        <v>30</v>
      </c>
      <c r="C828" t="s">
        <v>28</v>
      </c>
      <c r="D828">
        <v>7</v>
      </c>
      <c r="E828" t="s">
        <v>60</v>
      </c>
      <c r="F828" t="s">
        <v>102</v>
      </c>
      <c r="G828" t="s">
        <v>71</v>
      </c>
      <c r="H828">
        <v>3.7</v>
      </c>
      <c r="I828" t="s">
        <v>41</v>
      </c>
      <c r="J828" t="s">
        <v>45</v>
      </c>
      <c r="K828" t="s">
        <v>34</v>
      </c>
      <c r="M828">
        <v>1</v>
      </c>
      <c r="N828" t="s">
        <v>35</v>
      </c>
      <c r="O828" t="s">
        <v>57</v>
      </c>
      <c r="P828" t="b">
        <v>1</v>
      </c>
      <c r="Q828" t="b">
        <v>1</v>
      </c>
      <c r="R828" t="b">
        <v>0</v>
      </c>
      <c r="S828" t="b">
        <v>0</v>
      </c>
      <c r="T828" t="b">
        <v>1</v>
      </c>
      <c r="U828">
        <v>4.7</v>
      </c>
      <c r="V828">
        <v>8.5</v>
      </c>
      <c r="W828">
        <v>4</v>
      </c>
      <c r="X828">
        <v>6.8</v>
      </c>
      <c r="Y828">
        <v>44.15</v>
      </c>
      <c r="Z828">
        <v>5</v>
      </c>
      <c r="AA828" t="s">
        <v>58</v>
      </c>
    </row>
    <row r="829" spans="1:27" x14ac:dyDescent="0.3">
      <c r="A829" t="s">
        <v>920</v>
      </c>
      <c r="B829">
        <v>16</v>
      </c>
      <c r="C829" t="s">
        <v>28</v>
      </c>
      <c r="D829">
        <v>3.7</v>
      </c>
      <c r="E829" t="s">
        <v>82</v>
      </c>
      <c r="F829" t="s">
        <v>134</v>
      </c>
      <c r="G829" t="s">
        <v>50</v>
      </c>
      <c r="H829">
        <v>6.6</v>
      </c>
      <c r="I829" t="s">
        <v>43</v>
      </c>
      <c r="J829" t="s">
        <v>74</v>
      </c>
      <c r="K829" t="s">
        <v>43</v>
      </c>
      <c r="L829">
        <v>2.89</v>
      </c>
      <c r="N829" t="s">
        <v>69</v>
      </c>
      <c r="O829" t="s">
        <v>42</v>
      </c>
      <c r="P829" t="b">
        <v>0</v>
      </c>
      <c r="Q829" t="b">
        <v>0</v>
      </c>
      <c r="R829" t="b">
        <v>0</v>
      </c>
      <c r="S829" t="b">
        <v>0</v>
      </c>
      <c r="T829" t="b">
        <v>0</v>
      </c>
      <c r="U829">
        <v>0.4</v>
      </c>
      <c r="V829">
        <v>9.1999999999999993</v>
      </c>
      <c r="W829">
        <v>3</v>
      </c>
      <c r="X829">
        <v>12.8</v>
      </c>
      <c r="Y829">
        <v>6.16</v>
      </c>
      <c r="Z829">
        <v>4</v>
      </c>
      <c r="AA829" t="s">
        <v>46</v>
      </c>
    </row>
    <row r="830" spans="1:27" x14ac:dyDescent="0.3">
      <c r="A830" t="s">
        <v>921</v>
      </c>
      <c r="B830">
        <v>23</v>
      </c>
      <c r="C830" t="s">
        <v>28</v>
      </c>
      <c r="D830">
        <v>3.3</v>
      </c>
      <c r="E830" t="s">
        <v>60</v>
      </c>
      <c r="F830" t="s">
        <v>102</v>
      </c>
      <c r="G830" t="s">
        <v>71</v>
      </c>
      <c r="H830">
        <v>7.4</v>
      </c>
      <c r="I830" t="s">
        <v>41</v>
      </c>
      <c r="J830" t="s">
        <v>45</v>
      </c>
      <c r="K830" t="s">
        <v>84</v>
      </c>
      <c r="M830">
        <v>3</v>
      </c>
      <c r="N830" t="s">
        <v>66</v>
      </c>
      <c r="O830" t="s">
        <v>45</v>
      </c>
      <c r="P830" t="b">
        <v>0</v>
      </c>
      <c r="Q830" t="b">
        <v>0</v>
      </c>
      <c r="R830" t="b">
        <v>0</v>
      </c>
      <c r="S830" t="b">
        <v>0</v>
      </c>
      <c r="T830" t="b">
        <v>0</v>
      </c>
      <c r="U830">
        <v>0.6</v>
      </c>
      <c r="V830">
        <v>6.8</v>
      </c>
      <c r="W830">
        <v>1</v>
      </c>
      <c r="X830">
        <v>8.8000000000000007</v>
      </c>
      <c r="Y830">
        <v>44.8</v>
      </c>
      <c r="Z830">
        <v>6</v>
      </c>
      <c r="AA830" t="s">
        <v>46</v>
      </c>
    </row>
    <row r="831" spans="1:27" x14ac:dyDescent="0.3">
      <c r="A831" t="s">
        <v>922</v>
      </c>
      <c r="B831">
        <v>21</v>
      </c>
      <c r="C831" t="s">
        <v>28</v>
      </c>
      <c r="D831">
        <v>7.6</v>
      </c>
      <c r="E831" t="s">
        <v>29</v>
      </c>
      <c r="F831" t="s">
        <v>118</v>
      </c>
      <c r="G831" t="s">
        <v>71</v>
      </c>
      <c r="H831">
        <v>5.7</v>
      </c>
      <c r="I831" t="s">
        <v>51</v>
      </c>
      <c r="J831" t="s">
        <v>42</v>
      </c>
      <c r="K831" t="s">
        <v>43</v>
      </c>
      <c r="L831">
        <v>3.53</v>
      </c>
      <c r="M831">
        <v>6</v>
      </c>
      <c r="N831" t="s">
        <v>35</v>
      </c>
      <c r="O831" t="s">
        <v>45</v>
      </c>
      <c r="P831" t="b">
        <v>0</v>
      </c>
      <c r="Q831" t="b">
        <v>1</v>
      </c>
      <c r="R831" t="b">
        <v>0</v>
      </c>
      <c r="S831" t="b">
        <v>1</v>
      </c>
      <c r="T831" t="b">
        <v>0</v>
      </c>
      <c r="U831">
        <v>0.8</v>
      </c>
      <c r="V831">
        <v>6.4</v>
      </c>
      <c r="W831">
        <v>3</v>
      </c>
      <c r="X831">
        <v>7.1</v>
      </c>
      <c r="Y831">
        <v>80.72</v>
      </c>
      <c r="Z831">
        <v>2</v>
      </c>
      <c r="AA831" t="s">
        <v>64</v>
      </c>
    </row>
    <row r="832" spans="1:27" x14ac:dyDescent="0.3">
      <c r="A832" t="s">
        <v>923</v>
      </c>
      <c r="B832">
        <v>22</v>
      </c>
      <c r="C832" t="s">
        <v>53</v>
      </c>
      <c r="D832">
        <v>6.4</v>
      </c>
      <c r="E832" t="s">
        <v>60</v>
      </c>
      <c r="F832" t="s">
        <v>96</v>
      </c>
      <c r="G832" t="s">
        <v>50</v>
      </c>
      <c r="H832">
        <v>5.4</v>
      </c>
      <c r="I832" t="s">
        <v>32</v>
      </c>
      <c r="J832" t="s">
        <v>33</v>
      </c>
      <c r="K832" t="s">
        <v>62</v>
      </c>
      <c r="L832">
        <v>2.1800000000000002</v>
      </c>
      <c r="M832">
        <v>2</v>
      </c>
      <c r="N832" t="s">
        <v>121</v>
      </c>
      <c r="O832" t="s">
        <v>33</v>
      </c>
      <c r="P832" t="b">
        <v>0</v>
      </c>
      <c r="Q832" t="b">
        <v>1</v>
      </c>
      <c r="R832" t="b">
        <v>0</v>
      </c>
      <c r="S832" t="b">
        <v>1</v>
      </c>
      <c r="T832" t="b">
        <v>0</v>
      </c>
      <c r="U832">
        <v>1.6</v>
      </c>
      <c r="V832">
        <v>7.3</v>
      </c>
      <c r="W832">
        <v>4</v>
      </c>
      <c r="X832">
        <v>10.3</v>
      </c>
      <c r="Y832">
        <v>18.13</v>
      </c>
      <c r="Z832">
        <v>5</v>
      </c>
      <c r="AA832" t="s">
        <v>64</v>
      </c>
    </row>
    <row r="833" spans="1:27" x14ac:dyDescent="0.3">
      <c r="A833" t="s">
        <v>924</v>
      </c>
      <c r="B833">
        <v>24</v>
      </c>
      <c r="C833" t="s">
        <v>28</v>
      </c>
      <c r="D833">
        <v>5</v>
      </c>
      <c r="E833" t="s">
        <v>60</v>
      </c>
      <c r="F833" t="s">
        <v>96</v>
      </c>
      <c r="G833" t="s">
        <v>71</v>
      </c>
      <c r="H833">
        <v>5.0999999999999996</v>
      </c>
      <c r="I833" t="s">
        <v>51</v>
      </c>
      <c r="J833" t="s">
        <v>36</v>
      </c>
      <c r="K833" t="s">
        <v>34</v>
      </c>
      <c r="M833">
        <v>7</v>
      </c>
      <c r="N833" t="s">
        <v>80</v>
      </c>
      <c r="O833" t="s">
        <v>45</v>
      </c>
      <c r="P833" t="b">
        <v>0</v>
      </c>
      <c r="Q833" t="b">
        <v>0</v>
      </c>
      <c r="R833" t="b">
        <v>0</v>
      </c>
      <c r="S833" t="b">
        <v>1</v>
      </c>
      <c r="T833" t="b">
        <v>0</v>
      </c>
      <c r="U833">
        <v>0</v>
      </c>
      <c r="V833">
        <v>8.4</v>
      </c>
      <c r="W833">
        <v>4</v>
      </c>
      <c r="X833">
        <v>11.4</v>
      </c>
      <c r="Y833">
        <v>120.77</v>
      </c>
      <c r="Z833">
        <v>2</v>
      </c>
      <c r="AA833" t="s">
        <v>46</v>
      </c>
    </row>
    <row r="834" spans="1:27" x14ac:dyDescent="0.3">
      <c r="A834" t="s">
        <v>925</v>
      </c>
      <c r="B834">
        <v>19</v>
      </c>
      <c r="C834" t="s">
        <v>53</v>
      </c>
      <c r="D834">
        <v>4.2</v>
      </c>
      <c r="E834" t="s">
        <v>82</v>
      </c>
      <c r="F834" t="s">
        <v>134</v>
      </c>
      <c r="G834" t="s">
        <v>31</v>
      </c>
      <c r="H834">
        <v>5.3</v>
      </c>
      <c r="I834" t="s">
        <v>32</v>
      </c>
      <c r="J834" t="s">
        <v>36</v>
      </c>
      <c r="K834" t="s">
        <v>62</v>
      </c>
      <c r="L834">
        <v>3.38</v>
      </c>
      <c r="M834">
        <v>8</v>
      </c>
      <c r="N834" t="s">
        <v>69</v>
      </c>
      <c r="O834" t="s">
        <v>33</v>
      </c>
      <c r="P834" t="b">
        <v>0</v>
      </c>
      <c r="Q834" t="b">
        <v>0</v>
      </c>
      <c r="R834" t="b">
        <v>0</v>
      </c>
      <c r="S834" t="b">
        <v>0</v>
      </c>
      <c r="T834" t="b">
        <v>0</v>
      </c>
      <c r="U834">
        <v>0.8</v>
      </c>
      <c r="V834">
        <v>7.5</v>
      </c>
      <c r="W834">
        <v>1</v>
      </c>
      <c r="X834">
        <v>8.3000000000000007</v>
      </c>
      <c r="Y834">
        <v>28.98</v>
      </c>
      <c r="Z834">
        <v>5</v>
      </c>
      <c r="AA834" t="s">
        <v>46</v>
      </c>
    </row>
    <row r="835" spans="1:27" x14ac:dyDescent="0.3">
      <c r="A835" t="s">
        <v>926</v>
      </c>
      <c r="B835">
        <v>23</v>
      </c>
      <c r="C835" t="s">
        <v>53</v>
      </c>
      <c r="D835">
        <v>10.199999999999999</v>
      </c>
      <c r="E835" t="s">
        <v>82</v>
      </c>
      <c r="F835" t="s">
        <v>167</v>
      </c>
      <c r="G835" t="s">
        <v>86</v>
      </c>
      <c r="H835">
        <v>5.0999999999999996</v>
      </c>
      <c r="I835" t="s">
        <v>32</v>
      </c>
      <c r="J835" t="s">
        <v>36</v>
      </c>
      <c r="K835" t="s">
        <v>34</v>
      </c>
      <c r="M835">
        <v>5</v>
      </c>
      <c r="N835" t="s">
        <v>35</v>
      </c>
      <c r="O835" t="s">
        <v>33</v>
      </c>
      <c r="P835" t="b">
        <v>1</v>
      </c>
      <c r="Q835" t="b">
        <v>0</v>
      </c>
      <c r="R835" t="b">
        <v>1</v>
      </c>
      <c r="S835" t="b">
        <v>1</v>
      </c>
      <c r="T835" t="b">
        <v>1</v>
      </c>
      <c r="U835">
        <v>1</v>
      </c>
      <c r="V835">
        <v>3.1</v>
      </c>
      <c r="W835">
        <v>8</v>
      </c>
      <c r="X835">
        <v>0.7</v>
      </c>
      <c r="Y835">
        <v>307.08</v>
      </c>
      <c r="Z835">
        <v>9</v>
      </c>
      <c r="AA835" t="s">
        <v>37</v>
      </c>
    </row>
    <row r="836" spans="1:27" x14ac:dyDescent="0.3">
      <c r="A836" t="s">
        <v>927</v>
      </c>
      <c r="B836">
        <v>19</v>
      </c>
      <c r="C836" t="s">
        <v>28</v>
      </c>
      <c r="D836">
        <v>5.0999999999999996</v>
      </c>
      <c r="E836" t="s">
        <v>39</v>
      </c>
      <c r="F836" t="s">
        <v>120</v>
      </c>
      <c r="G836" t="s">
        <v>71</v>
      </c>
      <c r="H836">
        <v>6.5</v>
      </c>
      <c r="I836" t="s">
        <v>41</v>
      </c>
      <c r="J836" t="s">
        <v>45</v>
      </c>
      <c r="K836" t="s">
        <v>34</v>
      </c>
      <c r="L836">
        <v>2.29</v>
      </c>
      <c r="M836">
        <v>3</v>
      </c>
      <c r="N836" t="s">
        <v>66</v>
      </c>
      <c r="O836" t="s">
        <v>36</v>
      </c>
      <c r="P836" t="b">
        <v>0</v>
      </c>
      <c r="Q836" t="b">
        <v>0</v>
      </c>
      <c r="R836" t="b">
        <v>0</v>
      </c>
      <c r="S836" t="b">
        <v>1</v>
      </c>
      <c r="T836" t="b">
        <v>0</v>
      </c>
      <c r="U836">
        <v>1.4</v>
      </c>
      <c r="V836">
        <v>7.1</v>
      </c>
      <c r="W836">
        <v>3</v>
      </c>
      <c r="X836">
        <v>9.3000000000000007</v>
      </c>
      <c r="Y836">
        <v>111.43</v>
      </c>
      <c r="Z836">
        <v>7</v>
      </c>
      <c r="AA836" t="s">
        <v>46</v>
      </c>
    </row>
    <row r="837" spans="1:27" x14ac:dyDescent="0.3">
      <c r="A837" t="s">
        <v>928</v>
      </c>
      <c r="B837">
        <v>20</v>
      </c>
      <c r="C837" t="s">
        <v>53</v>
      </c>
      <c r="D837">
        <v>8.1</v>
      </c>
      <c r="E837" t="s">
        <v>60</v>
      </c>
      <c r="F837" t="s">
        <v>200</v>
      </c>
      <c r="G837" t="s">
        <v>71</v>
      </c>
      <c r="H837">
        <v>5.7</v>
      </c>
      <c r="I837" t="s">
        <v>32</v>
      </c>
      <c r="J837" t="s">
        <v>36</v>
      </c>
      <c r="K837" t="s">
        <v>51</v>
      </c>
      <c r="L837">
        <v>1.79</v>
      </c>
      <c r="M837">
        <v>5</v>
      </c>
      <c r="N837" t="s">
        <v>69</v>
      </c>
      <c r="O837" t="s">
        <v>36</v>
      </c>
      <c r="P837" t="b">
        <v>1</v>
      </c>
      <c r="Q837" t="b">
        <v>1</v>
      </c>
      <c r="R837" t="b">
        <v>1</v>
      </c>
      <c r="S837" t="b">
        <v>0</v>
      </c>
      <c r="T837" t="b">
        <v>1</v>
      </c>
      <c r="U837">
        <v>0.8</v>
      </c>
      <c r="V837">
        <v>7.8</v>
      </c>
      <c r="W837">
        <v>6</v>
      </c>
      <c r="X837">
        <v>7.9</v>
      </c>
      <c r="Y837">
        <v>47.01</v>
      </c>
      <c r="Z837">
        <v>7</v>
      </c>
      <c r="AA837" t="s">
        <v>37</v>
      </c>
    </row>
    <row r="838" spans="1:27" x14ac:dyDescent="0.3">
      <c r="A838" t="s">
        <v>929</v>
      </c>
      <c r="B838">
        <v>19</v>
      </c>
      <c r="C838" t="s">
        <v>28</v>
      </c>
      <c r="D838">
        <v>6.9</v>
      </c>
      <c r="E838" t="s">
        <v>29</v>
      </c>
      <c r="F838" t="s">
        <v>30</v>
      </c>
      <c r="G838" t="s">
        <v>31</v>
      </c>
      <c r="H838">
        <v>3.5</v>
      </c>
      <c r="I838" t="s">
        <v>32</v>
      </c>
      <c r="J838" t="s">
        <v>33</v>
      </c>
      <c r="K838" t="s">
        <v>51</v>
      </c>
      <c r="L838">
        <v>2.0699999999999998</v>
      </c>
      <c r="M838">
        <v>2</v>
      </c>
      <c r="N838" t="s">
        <v>80</v>
      </c>
      <c r="O838" t="s">
        <v>33</v>
      </c>
      <c r="P838" t="b">
        <v>1</v>
      </c>
      <c r="Q838" t="b">
        <v>1</v>
      </c>
      <c r="R838" t="b">
        <v>0</v>
      </c>
      <c r="S838" t="b">
        <v>1</v>
      </c>
      <c r="T838" t="b">
        <v>0</v>
      </c>
      <c r="U838">
        <v>4.3</v>
      </c>
      <c r="V838">
        <v>5.2</v>
      </c>
      <c r="W838">
        <v>3</v>
      </c>
      <c r="X838">
        <v>7.6</v>
      </c>
      <c r="Y838">
        <v>127.17</v>
      </c>
      <c r="Z838">
        <v>7</v>
      </c>
      <c r="AA838" t="s">
        <v>58</v>
      </c>
    </row>
    <row r="839" spans="1:27" x14ac:dyDescent="0.3">
      <c r="A839" t="s">
        <v>930</v>
      </c>
      <c r="B839">
        <v>24</v>
      </c>
      <c r="C839" t="s">
        <v>28</v>
      </c>
      <c r="D839">
        <v>4.5</v>
      </c>
      <c r="E839" t="s">
        <v>29</v>
      </c>
      <c r="F839" t="s">
        <v>73</v>
      </c>
      <c r="G839" t="s">
        <v>50</v>
      </c>
      <c r="H839">
        <v>6.6</v>
      </c>
      <c r="I839" t="s">
        <v>41</v>
      </c>
      <c r="J839" t="s">
        <v>33</v>
      </c>
      <c r="K839" t="s">
        <v>62</v>
      </c>
      <c r="M839">
        <v>5</v>
      </c>
      <c r="N839" t="s">
        <v>66</v>
      </c>
      <c r="O839" t="s">
        <v>45</v>
      </c>
      <c r="P839" t="b">
        <v>0</v>
      </c>
      <c r="Q839" t="b">
        <v>0</v>
      </c>
      <c r="R839" t="b">
        <v>0</v>
      </c>
      <c r="S839" t="b">
        <v>1</v>
      </c>
      <c r="T839" t="b">
        <v>0</v>
      </c>
      <c r="U839">
        <v>2.2000000000000002</v>
      </c>
      <c r="V839">
        <v>8.5</v>
      </c>
      <c r="W839">
        <v>2</v>
      </c>
      <c r="X839">
        <v>6.3</v>
      </c>
      <c r="Y839">
        <v>145.25</v>
      </c>
      <c r="Z839">
        <v>3</v>
      </c>
      <c r="AA839" t="s">
        <v>46</v>
      </c>
    </row>
    <row r="840" spans="1:27" x14ac:dyDescent="0.3">
      <c r="A840" t="s">
        <v>931</v>
      </c>
      <c r="B840">
        <v>18</v>
      </c>
      <c r="C840" t="s">
        <v>53</v>
      </c>
      <c r="D840">
        <v>6.1</v>
      </c>
      <c r="E840" t="s">
        <v>54</v>
      </c>
      <c r="F840" t="s">
        <v>89</v>
      </c>
      <c r="G840" t="s">
        <v>50</v>
      </c>
      <c r="H840">
        <v>6.6</v>
      </c>
      <c r="I840" t="s">
        <v>41</v>
      </c>
      <c r="J840" t="s">
        <v>42</v>
      </c>
      <c r="K840" t="s">
        <v>84</v>
      </c>
      <c r="L840">
        <v>3.87</v>
      </c>
      <c r="N840" t="s">
        <v>66</v>
      </c>
      <c r="O840" t="s">
        <v>45</v>
      </c>
      <c r="P840" t="b">
        <v>0</v>
      </c>
      <c r="Q840" t="b">
        <v>1</v>
      </c>
      <c r="R840" t="b">
        <v>0</v>
      </c>
      <c r="S840" t="b">
        <v>1</v>
      </c>
      <c r="T840" t="b">
        <v>0</v>
      </c>
      <c r="U840">
        <v>2.2000000000000002</v>
      </c>
      <c r="V840">
        <v>7.4</v>
      </c>
      <c r="W840">
        <v>4</v>
      </c>
      <c r="X840">
        <v>6.9</v>
      </c>
      <c r="Y840">
        <v>31.46</v>
      </c>
      <c r="Z840">
        <v>4</v>
      </c>
      <c r="AA840" t="s">
        <v>64</v>
      </c>
    </row>
    <row r="841" spans="1:27" x14ac:dyDescent="0.3">
      <c r="A841" t="s">
        <v>932</v>
      </c>
      <c r="B841">
        <v>27</v>
      </c>
      <c r="C841" t="s">
        <v>152</v>
      </c>
      <c r="D841">
        <v>8.8000000000000007</v>
      </c>
      <c r="E841" t="s">
        <v>48</v>
      </c>
      <c r="F841" t="s">
        <v>68</v>
      </c>
      <c r="G841" t="s">
        <v>71</v>
      </c>
      <c r="H841">
        <v>3.4</v>
      </c>
      <c r="I841" t="s">
        <v>32</v>
      </c>
      <c r="J841" t="s">
        <v>42</v>
      </c>
      <c r="K841" t="s">
        <v>62</v>
      </c>
      <c r="M841">
        <v>10</v>
      </c>
      <c r="N841" t="s">
        <v>44</v>
      </c>
      <c r="O841" t="s">
        <v>57</v>
      </c>
      <c r="P841" t="b">
        <v>1</v>
      </c>
      <c r="Q841" t="b">
        <v>1</v>
      </c>
      <c r="R841" t="b">
        <v>1</v>
      </c>
      <c r="S841" t="b">
        <v>0</v>
      </c>
      <c r="T841" t="b">
        <v>1</v>
      </c>
      <c r="U841">
        <v>0.5</v>
      </c>
      <c r="V841">
        <v>6</v>
      </c>
      <c r="W841">
        <v>6</v>
      </c>
      <c r="X841">
        <v>5.2</v>
      </c>
      <c r="Y841">
        <v>66.849999999999994</v>
      </c>
      <c r="Z841">
        <v>7</v>
      </c>
      <c r="AA841" t="s">
        <v>37</v>
      </c>
    </row>
    <row r="842" spans="1:27" x14ac:dyDescent="0.3">
      <c r="A842" t="s">
        <v>933</v>
      </c>
      <c r="B842">
        <v>19</v>
      </c>
      <c r="C842" t="s">
        <v>53</v>
      </c>
      <c r="D842">
        <v>5.3</v>
      </c>
      <c r="E842" t="s">
        <v>76</v>
      </c>
      <c r="F842" t="s">
        <v>110</v>
      </c>
      <c r="G842" t="s">
        <v>50</v>
      </c>
      <c r="H842">
        <v>5.7</v>
      </c>
      <c r="I842" t="s">
        <v>41</v>
      </c>
      <c r="J842" t="s">
        <v>45</v>
      </c>
      <c r="K842" t="s">
        <v>34</v>
      </c>
      <c r="L842">
        <v>1.54</v>
      </c>
      <c r="M842">
        <v>9</v>
      </c>
      <c r="N842" t="s">
        <v>80</v>
      </c>
      <c r="O842" t="s">
        <v>36</v>
      </c>
      <c r="P842" t="b">
        <v>0</v>
      </c>
      <c r="Q842" t="b">
        <v>0</v>
      </c>
      <c r="R842" t="b">
        <v>0</v>
      </c>
      <c r="S842" t="b">
        <v>1</v>
      </c>
      <c r="T842" t="b">
        <v>0</v>
      </c>
      <c r="U842">
        <v>1.9</v>
      </c>
      <c r="V842">
        <v>5.7</v>
      </c>
      <c r="W842">
        <v>5</v>
      </c>
      <c r="X842">
        <v>6.6</v>
      </c>
      <c r="Y842">
        <v>36.25</v>
      </c>
      <c r="Z842">
        <v>2</v>
      </c>
      <c r="AA842" t="s">
        <v>46</v>
      </c>
    </row>
    <row r="843" spans="1:27" x14ac:dyDescent="0.3">
      <c r="A843" t="s">
        <v>934</v>
      </c>
      <c r="B843">
        <v>16</v>
      </c>
      <c r="C843" t="s">
        <v>28</v>
      </c>
      <c r="D843">
        <v>9</v>
      </c>
      <c r="E843" t="s">
        <v>48</v>
      </c>
      <c r="F843" t="s">
        <v>68</v>
      </c>
      <c r="G843" t="s">
        <v>50</v>
      </c>
      <c r="H843">
        <v>5.8</v>
      </c>
      <c r="I843" t="s">
        <v>51</v>
      </c>
      <c r="J843" t="s">
        <v>42</v>
      </c>
      <c r="K843" t="s">
        <v>51</v>
      </c>
      <c r="L843">
        <v>2.8</v>
      </c>
      <c r="N843" t="s">
        <v>44</v>
      </c>
      <c r="O843" t="s">
        <v>42</v>
      </c>
      <c r="P843" t="b">
        <v>1</v>
      </c>
      <c r="Q843" t="b">
        <v>1</v>
      </c>
      <c r="R843" t="b">
        <v>1</v>
      </c>
      <c r="S843" t="b">
        <v>0</v>
      </c>
      <c r="T843" t="b">
        <v>1</v>
      </c>
      <c r="U843">
        <v>0.3</v>
      </c>
      <c r="V843">
        <v>7</v>
      </c>
      <c r="W843">
        <v>6</v>
      </c>
      <c r="X843">
        <v>3.8</v>
      </c>
      <c r="Y843">
        <v>315.72000000000003</v>
      </c>
      <c r="Z843">
        <v>5</v>
      </c>
      <c r="AA843" t="s">
        <v>37</v>
      </c>
    </row>
    <row r="844" spans="1:27" x14ac:dyDescent="0.3">
      <c r="A844" t="s">
        <v>935</v>
      </c>
      <c r="B844">
        <v>23</v>
      </c>
      <c r="C844" t="s">
        <v>28</v>
      </c>
      <c r="D844">
        <v>8.3000000000000007</v>
      </c>
      <c r="E844" t="s">
        <v>82</v>
      </c>
      <c r="F844" t="s">
        <v>83</v>
      </c>
      <c r="G844" t="s">
        <v>31</v>
      </c>
      <c r="H844">
        <v>3.8</v>
      </c>
      <c r="I844" t="s">
        <v>32</v>
      </c>
      <c r="J844" t="s">
        <v>74</v>
      </c>
      <c r="K844" t="s">
        <v>129</v>
      </c>
      <c r="M844">
        <v>4</v>
      </c>
      <c r="N844" t="s">
        <v>80</v>
      </c>
      <c r="O844" t="s">
        <v>33</v>
      </c>
      <c r="P844" t="b">
        <v>0</v>
      </c>
      <c r="Q844" t="b">
        <v>0</v>
      </c>
      <c r="R844" t="b">
        <v>0</v>
      </c>
      <c r="S844" t="b">
        <v>1</v>
      </c>
      <c r="T844" t="b">
        <v>0</v>
      </c>
      <c r="U844">
        <v>7.6</v>
      </c>
      <c r="V844">
        <v>7.6</v>
      </c>
      <c r="W844">
        <v>5</v>
      </c>
      <c r="X844">
        <v>3.1</v>
      </c>
      <c r="Y844">
        <v>14.06</v>
      </c>
      <c r="Z844">
        <v>10</v>
      </c>
      <c r="AA844" t="s">
        <v>46</v>
      </c>
    </row>
    <row r="845" spans="1:27" x14ac:dyDescent="0.3">
      <c r="A845" t="s">
        <v>936</v>
      </c>
      <c r="B845">
        <v>20</v>
      </c>
      <c r="C845" t="s">
        <v>28</v>
      </c>
      <c r="D845">
        <v>0.7</v>
      </c>
      <c r="E845" t="s">
        <v>48</v>
      </c>
      <c r="F845" t="s">
        <v>49</v>
      </c>
      <c r="G845" t="s">
        <v>86</v>
      </c>
      <c r="H845">
        <v>7</v>
      </c>
      <c r="I845" t="s">
        <v>43</v>
      </c>
      <c r="J845" t="s">
        <v>74</v>
      </c>
      <c r="K845" t="s">
        <v>43</v>
      </c>
      <c r="L845">
        <v>2.36</v>
      </c>
      <c r="M845">
        <v>5</v>
      </c>
      <c r="N845" t="s">
        <v>69</v>
      </c>
      <c r="O845" t="s">
        <v>42</v>
      </c>
      <c r="P845" t="b">
        <v>0</v>
      </c>
      <c r="Q845" t="b">
        <v>0</v>
      </c>
      <c r="R845" t="b">
        <v>0</v>
      </c>
      <c r="S845" t="b">
        <v>0</v>
      </c>
      <c r="T845" t="b">
        <v>0</v>
      </c>
      <c r="U845">
        <v>0.4</v>
      </c>
      <c r="V845">
        <v>8.3000000000000007</v>
      </c>
      <c r="W845">
        <v>1</v>
      </c>
      <c r="X845">
        <v>14.2</v>
      </c>
      <c r="Y845">
        <v>16.79</v>
      </c>
      <c r="Z845">
        <v>2</v>
      </c>
      <c r="AA845" t="s">
        <v>46</v>
      </c>
    </row>
    <row r="846" spans="1:27" x14ac:dyDescent="0.3">
      <c r="A846" t="s">
        <v>937</v>
      </c>
      <c r="B846">
        <v>19</v>
      </c>
      <c r="C846" t="s">
        <v>28</v>
      </c>
      <c r="D846">
        <v>10.9</v>
      </c>
      <c r="E846" t="s">
        <v>82</v>
      </c>
      <c r="F846" t="s">
        <v>83</v>
      </c>
      <c r="G846" t="s">
        <v>71</v>
      </c>
      <c r="H846">
        <v>5.7</v>
      </c>
      <c r="I846" t="s">
        <v>32</v>
      </c>
      <c r="J846" t="s">
        <v>74</v>
      </c>
      <c r="K846" t="s">
        <v>43</v>
      </c>
      <c r="L846">
        <v>2.39</v>
      </c>
      <c r="M846">
        <v>5</v>
      </c>
      <c r="N846" t="s">
        <v>35</v>
      </c>
      <c r="O846" t="s">
        <v>36</v>
      </c>
      <c r="P846" t="b">
        <v>1</v>
      </c>
      <c r="Q846" t="b">
        <v>0</v>
      </c>
      <c r="R846" t="b">
        <v>1</v>
      </c>
      <c r="S846" t="b">
        <v>1</v>
      </c>
      <c r="T846" t="b">
        <v>1</v>
      </c>
      <c r="U846">
        <v>3.7</v>
      </c>
      <c r="V846">
        <v>4.5999999999999996</v>
      </c>
      <c r="W846">
        <v>7</v>
      </c>
      <c r="X846">
        <v>0</v>
      </c>
      <c r="Y846">
        <v>486.86</v>
      </c>
      <c r="Z846">
        <v>8</v>
      </c>
      <c r="AA846" t="s">
        <v>37</v>
      </c>
    </row>
    <row r="847" spans="1:27" x14ac:dyDescent="0.3">
      <c r="A847" t="s">
        <v>938</v>
      </c>
      <c r="B847">
        <v>21</v>
      </c>
      <c r="C847" t="s">
        <v>53</v>
      </c>
      <c r="D847">
        <v>10.1</v>
      </c>
      <c r="E847" t="s">
        <v>82</v>
      </c>
      <c r="F847" t="s">
        <v>167</v>
      </c>
      <c r="G847" t="s">
        <v>31</v>
      </c>
      <c r="H847">
        <v>4.0999999999999996</v>
      </c>
      <c r="I847" t="s">
        <v>51</v>
      </c>
      <c r="J847" t="s">
        <v>74</v>
      </c>
      <c r="K847" t="s">
        <v>34</v>
      </c>
      <c r="L847">
        <v>3.04</v>
      </c>
      <c r="M847">
        <v>2</v>
      </c>
      <c r="N847" t="s">
        <v>35</v>
      </c>
      <c r="O847" t="s">
        <v>42</v>
      </c>
      <c r="P847" t="b">
        <v>0</v>
      </c>
      <c r="Q847" t="b">
        <v>0</v>
      </c>
      <c r="R847" t="b">
        <v>1</v>
      </c>
      <c r="S847" t="b">
        <v>1</v>
      </c>
      <c r="T847" t="b">
        <v>1</v>
      </c>
      <c r="U847">
        <v>2.4</v>
      </c>
      <c r="V847">
        <v>5.2</v>
      </c>
      <c r="W847">
        <v>8</v>
      </c>
      <c r="X847">
        <v>0.8</v>
      </c>
      <c r="Y847">
        <v>216.97</v>
      </c>
      <c r="Z847">
        <v>9</v>
      </c>
      <c r="AA847" t="s">
        <v>58</v>
      </c>
    </row>
    <row r="848" spans="1:27" x14ac:dyDescent="0.3">
      <c r="A848" t="s">
        <v>939</v>
      </c>
      <c r="B848">
        <v>20</v>
      </c>
      <c r="C848" t="s">
        <v>53</v>
      </c>
      <c r="D848">
        <v>5.7</v>
      </c>
      <c r="E848" t="s">
        <v>76</v>
      </c>
      <c r="F848" t="s">
        <v>126</v>
      </c>
      <c r="G848" t="s">
        <v>86</v>
      </c>
      <c r="H848">
        <v>6.1</v>
      </c>
      <c r="I848" t="s">
        <v>41</v>
      </c>
      <c r="J848" t="s">
        <v>42</v>
      </c>
      <c r="K848" t="s">
        <v>34</v>
      </c>
      <c r="L848">
        <v>3.04</v>
      </c>
      <c r="M848">
        <v>9</v>
      </c>
      <c r="N848" t="s">
        <v>105</v>
      </c>
      <c r="O848" t="s">
        <v>33</v>
      </c>
      <c r="P848" t="b">
        <v>0</v>
      </c>
      <c r="Q848" t="b">
        <v>0</v>
      </c>
      <c r="R848" t="b">
        <v>0</v>
      </c>
      <c r="S848" t="b">
        <v>1</v>
      </c>
      <c r="T848" t="b">
        <v>1</v>
      </c>
      <c r="U848">
        <v>0.7</v>
      </c>
      <c r="V848">
        <v>5</v>
      </c>
      <c r="W848">
        <v>4</v>
      </c>
      <c r="X848">
        <v>6.2</v>
      </c>
      <c r="Y848">
        <v>45.63</v>
      </c>
      <c r="Z848">
        <v>4</v>
      </c>
      <c r="AA848" t="s">
        <v>46</v>
      </c>
    </row>
    <row r="849" spans="1:27" x14ac:dyDescent="0.3">
      <c r="A849" t="s">
        <v>940</v>
      </c>
      <c r="B849">
        <v>21</v>
      </c>
      <c r="C849" t="s">
        <v>28</v>
      </c>
      <c r="D849">
        <v>7</v>
      </c>
      <c r="E849" t="s">
        <v>76</v>
      </c>
      <c r="F849" t="s">
        <v>110</v>
      </c>
      <c r="G849" t="s">
        <v>71</v>
      </c>
      <c r="H849">
        <v>5.9</v>
      </c>
      <c r="I849" t="s">
        <v>78</v>
      </c>
      <c r="J849" t="s">
        <v>42</v>
      </c>
      <c r="K849" t="s">
        <v>129</v>
      </c>
      <c r="L849">
        <v>3.46</v>
      </c>
      <c r="M849">
        <v>6</v>
      </c>
      <c r="N849" t="s">
        <v>80</v>
      </c>
      <c r="O849" t="s">
        <v>45</v>
      </c>
      <c r="P849" t="b">
        <v>1</v>
      </c>
      <c r="Q849" t="b">
        <v>1</v>
      </c>
      <c r="R849" t="b">
        <v>0</v>
      </c>
      <c r="S849" t="b">
        <v>1</v>
      </c>
      <c r="T849" t="b">
        <v>1</v>
      </c>
      <c r="U849">
        <v>1.4</v>
      </c>
      <c r="V849">
        <v>5.6</v>
      </c>
      <c r="W849">
        <v>5</v>
      </c>
      <c r="X849">
        <v>6.1</v>
      </c>
      <c r="Y849">
        <v>100.91</v>
      </c>
      <c r="Z849">
        <v>11</v>
      </c>
      <c r="AA849" t="s">
        <v>58</v>
      </c>
    </row>
    <row r="850" spans="1:27" x14ac:dyDescent="0.3">
      <c r="A850" t="s">
        <v>941</v>
      </c>
      <c r="B850">
        <v>23</v>
      </c>
      <c r="C850" t="s">
        <v>28</v>
      </c>
      <c r="D850">
        <v>7.3</v>
      </c>
      <c r="E850" t="s">
        <v>39</v>
      </c>
      <c r="F850" t="s">
        <v>93</v>
      </c>
      <c r="G850" t="s">
        <v>50</v>
      </c>
      <c r="H850">
        <v>5.6</v>
      </c>
      <c r="I850" t="s">
        <v>32</v>
      </c>
      <c r="J850" t="s">
        <v>45</v>
      </c>
      <c r="K850" t="s">
        <v>51</v>
      </c>
      <c r="M850">
        <v>4</v>
      </c>
      <c r="N850" t="s">
        <v>80</v>
      </c>
      <c r="O850" t="s">
        <v>33</v>
      </c>
      <c r="P850" t="b">
        <v>0</v>
      </c>
      <c r="Q850" t="b">
        <v>0</v>
      </c>
      <c r="R850" t="b">
        <v>0</v>
      </c>
      <c r="S850" t="b">
        <v>0</v>
      </c>
      <c r="T850" t="b">
        <v>1</v>
      </c>
      <c r="U850">
        <v>0.4</v>
      </c>
      <c r="V850">
        <v>8.5</v>
      </c>
      <c r="W850">
        <v>3</v>
      </c>
      <c r="X850">
        <v>5.2</v>
      </c>
      <c r="Y850">
        <v>29.85</v>
      </c>
      <c r="Z850">
        <v>9</v>
      </c>
      <c r="AA850" t="s">
        <v>46</v>
      </c>
    </row>
    <row r="851" spans="1:27" x14ac:dyDescent="0.3">
      <c r="A851" t="s">
        <v>942</v>
      </c>
      <c r="B851">
        <v>21</v>
      </c>
      <c r="C851" t="s">
        <v>53</v>
      </c>
      <c r="D851">
        <v>6.1</v>
      </c>
      <c r="E851" t="s">
        <v>82</v>
      </c>
      <c r="F851" t="s">
        <v>167</v>
      </c>
      <c r="G851" t="s">
        <v>31</v>
      </c>
      <c r="H851">
        <v>6.4</v>
      </c>
      <c r="I851" t="s">
        <v>32</v>
      </c>
      <c r="J851" t="s">
        <v>36</v>
      </c>
      <c r="K851" t="s">
        <v>51</v>
      </c>
      <c r="L851">
        <v>3.62</v>
      </c>
      <c r="M851">
        <v>8</v>
      </c>
      <c r="N851" t="s">
        <v>44</v>
      </c>
      <c r="O851" t="s">
        <v>45</v>
      </c>
      <c r="P851" t="b">
        <v>0</v>
      </c>
      <c r="Q851" t="b">
        <v>1</v>
      </c>
      <c r="R851" t="b">
        <v>0</v>
      </c>
      <c r="S851" t="b">
        <v>0</v>
      </c>
      <c r="T851" t="b">
        <v>1</v>
      </c>
      <c r="U851">
        <v>1.9</v>
      </c>
      <c r="V851">
        <v>5.0999999999999996</v>
      </c>
      <c r="W851">
        <v>4</v>
      </c>
      <c r="X851">
        <v>9.4</v>
      </c>
      <c r="Y851">
        <v>102.56</v>
      </c>
      <c r="Z851">
        <v>11</v>
      </c>
      <c r="AA851" t="s">
        <v>64</v>
      </c>
    </row>
    <row r="852" spans="1:27" x14ac:dyDescent="0.3">
      <c r="A852" t="s">
        <v>943</v>
      </c>
      <c r="B852">
        <v>23</v>
      </c>
      <c r="C852" t="s">
        <v>28</v>
      </c>
      <c r="D852">
        <v>7.1</v>
      </c>
      <c r="E852" t="s">
        <v>39</v>
      </c>
      <c r="F852" t="s">
        <v>93</v>
      </c>
      <c r="G852" t="s">
        <v>50</v>
      </c>
      <c r="H852">
        <v>3.7</v>
      </c>
      <c r="I852" t="s">
        <v>43</v>
      </c>
      <c r="J852" t="s">
        <v>36</v>
      </c>
      <c r="K852" t="s">
        <v>62</v>
      </c>
      <c r="M852">
        <v>5</v>
      </c>
      <c r="N852" t="s">
        <v>69</v>
      </c>
      <c r="O852" t="s">
        <v>36</v>
      </c>
      <c r="P852" t="b">
        <v>1</v>
      </c>
      <c r="Q852" t="b">
        <v>1</v>
      </c>
      <c r="R852" t="b">
        <v>0</v>
      </c>
      <c r="S852" t="b">
        <v>1</v>
      </c>
      <c r="T852" t="b">
        <v>0</v>
      </c>
      <c r="U852">
        <v>0.6</v>
      </c>
      <c r="V852">
        <v>6.4</v>
      </c>
      <c r="W852">
        <v>4</v>
      </c>
      <c r="X852">
        <v>4.5</v>
      </c>
      <c r="Y852">
        <v>89.72</v>
      </c>
      <c r="Z852">
        <v>5</v>
      </c>
      <c r="AA852" t="s">
        <v>58</v>
      </c>
    </row>
    <row r="853" spans="1:27" x14ac:dyDescent="0.3">
      <c r="A853" t="s">
        <v>944</v>
      </c>
      <c r="B853">
        <v>15</v>
      </c>
      <c r="C853" t="s">
        <v>53</v>
      </c>
      <c r="D853">
        <v>4.0999999999999996</v>
      </c>
      <c r="E853" t="s">
        <v>54</v>
      </c>
      <c r="F853" t="s">
        <v>55</v>
      </c>
      <c r="G853" t="s">
        <v>50</v>
      </c>
      <c r="H853">
        <v>6.2</v>
      </c>
      <c r="I853" t="s">
        <v>41</v>
      </c>
      <c r="J853" t="s">
        <v>42</v>
      </c>
      <c r="K853" t="s">
        <v>84</v>
      </c>
      <c r="L853">
        <v>2.62</v>
      </c>
      <c r="N853" t="s">
        <v>35</v>
      </c>
      <c r="O853" t="s">
        <v>36</v>
      </c>
      <c r="P853" t="b">
        <v>0</v>
      </c>
      <c r="Q853" t="b">
        <v>0</v>
      </c>
      <c r="R853" t="b">
        <v>0</v>
      </c>
      <c r="S853" t="b">
        <v>0</v>
      </c>
      <c r="T853" t="b">
        <v>0</v>
      </c>
      <c r="U853">
        <v>1</v>
      </c>
      <c r="V853">
        <v>9.6</v>
      </c>
      <c r="W853">
        <v>3</v>
      </c>
      <c r="X853">
        <v>9.5</v>
      </c>
      <c r="Y853">
        <v>47</v>
      </c>
      <c r="Z853">
        <v>1</v>
      </c>
      <c r="AA853" t="s">
        <v>46</v>
      </c>
    </row>
    <row r="854" spans="1:27" x14ac:dyDescent="0.3">
      <c r="A854" t="s">
        <v>945</v>
      </c>
      <c r="B854">
        <v>23</v>
      </c>
      <c r="C854" t="s">
        <v>53</v>
      </c>
      <c r="D854">
        <v>4.5</v>
      </c>
      <c r="E854" t="s">
        <v>76</v>
      </c>
      <c r="F854" t="s">
        <v>77</v>
      </c>
      <c r="G854" t="s">
        <v>71</v>
      </c>
      <c r="H854">
        <v>5.7</v>
      </c>
      <c r="I854" t="s">
        <v>32</v>
      </c>
      <c r="J854" t="s">
        <v>45</v>
      </c>
      <c r="K854" t="s">
        <v>62</v>
      </c>
      <c r="M854">
        <v>9</v>
      </c>
      <c r="N854" t="s">
        <v>80</v>
      </c>
      <c r="O854" t="s">
        <v>33</v>
      </c>
      <c r="P854" t="b">
        <v>0</v>
      </c>
      <c r="Q854" t="b">
        <v>0</v>
      </c>
      <c r="R854" t="b">
        <v>0</v>
      </c>
      <c r="S854" t="b">
        <v>1</v>
      </c>
      <c r="T854" t="b">
        <v>0</v>
      </c>
      <c r="U854">
        <v>0.4</v>
      </c>
      <c r="V854">
        <v>7.1</v>
      </c>
      <c r="W854">
        <v>3</v>
      </c>
      <c r="X854">
        <v>7.4</v>
      </c>
      <c r="Y854">
        <v>40.72</v>
      </c>
      <c r="Z854">
        <v>12</v>
      </c>
      <c r="AA854" t="s">
        <v>46</v>
      </c>
    </row>
    <row r="855" spans="1:27" x14ac:dyDescent="0.3">
      <c r="A855" t="s">
        <v>946</v>
      </c>
      <c r="B855">
        <v>21</v>
      </c>
      <c r="C855" t="s">
        <v>152</v>
      </c>
      <c r="D855">
        <v>5.2</v>
      </c>
      <c r="E855" t="s">
        <v>54</v>
      </c>
      <c r="F855" t="s">
        <v>98</v>
      </c>
      <c r="G855" t="s">
        <v>50</v>
      </c>
      <c r="H855">
        <v>5.9</v>
      </c>
      <c r="I855" t="s">
        <v>51</v>
      </c>
      <c r="J855" t="s">
        <v>42</v>
      </c>
      <c r="K855" t="s">
        <v>62</v>
      </c>
      <c r="L855">
        <v>3.62</v>
      </c>
      <c r="M855">
        <v>6</v>
      </c>
      <c r="N855" t="s">
        <v>35</v>
      </c>
      <c r="O855" t="s">
        <v>57</v>
      </c>
      <c r="P855" t="b">
        <v>0</v>
      </c>
      <c r="Q855" t="b">
        <v>0</v>
      </c>
      <c r="R855" t="b">
        <v>0</v>
      </c>
      <c r="S855" t="b">
        <v>1</v>
      </c>
      <c r="T855" t="b">
        <v>0</v>
      </c>
      <c r="U855">
        <v>1.3</v>
      </c>
      <c r="V855">
        <v>6.8</v>
      </c>
      <c r="W855">
        <v>3</v>
      </c>
      <c r="X855">
        <v>8.5</v>
      </c>
      <c r="Y855">
        <v>27.48</v>
      </c>
      <c r="Z855">
        <v>3</v>
      </c>
      <c r="AA855" t="s">
        <v>46</v>
      </c>
    </row>
    <row r="856" spans="1:27" x14ac:dyDescent="0.3">
      <c r="A856" t="s">
        <v>947</v>
      </c>
      <c r="B856">
        <v>18</v>
      </c>
      <c r="C856" t="s">
        <v>28</v>
      </c>
      <c r="D856">
        <v>2.2999999999999998</v>
      </c>
      <c r="E856" t="s">
        <v>82</v>
      </c>
      <c r="F856" t="s">
        <v>83</v>
      </c>
      <c r="G856" t="s">
        <v>50</v>
      </c>
      <c r="H856">
        <v>7.9</v>
      </c>
      <c r="I856" t="s">
        <v>43</v>
      </c>
      <c r="J856" t="s">
        <v>42</v>
      </c>
      <c r="K856" t="s">
        <v>84</v>
      </c>
      <c r="L856">
        <v>3.38</v>
      </c>
      <c r="N856" t="s">
        <v>69</v>
      </c>
      <c r="O856" t="s">
        <v>57</v>
      </c>
      <c r="P856" t="b">
        <v>0</v>
      </c>
      <c r="Q856" t="b">
        <v>0</v>
      </c>
      <c r="R856" t="b">
        <v>0</v>
      </c>
      <c r="S856" t="b">
        <v>0</v>
      </c>
      <c r="T856" t="b">
        <v>0</v>
      </c>
      <c r="U856">
        <v>0.6</v>
      </c>
      <c r="V856">
        <v>10.8</v>
      </c>
      <c r="W856">
        <v>1</v>
      </c>
      <c r="X856">
        <v>13.8</v>
      </c>
      <c r="Y856">
        <v>40.47</v>
      </c>
      <c r="Z856">
        <v>2</v>
      </c>
      <c r="AA856" t="s">
        <v>46</v>
      </c>
    </row>
    <row r="857" spans="1:27" x14ac:dyDescent="0.3">
      <c r="A857" t="s">
        <v>948</v>
      </c>
      <c r="B857">
        <v>26</v>
      </c>
      <c r="C857" t="s">
        <v>152</v>
      </c>
      <c r="D857">
        <v>9.1</v>
      </c>
      <c r="E857" t="s">
        <v>39</v>
      </c>
      <c r="F857" t="s">
        <v>40</v>
      </c>
      <c r="G857" t="s">
        <v>86</v>
      </c>
      <c r="H857">
        <v>5.7</v>
      </c>
      <c r="I857" t="s">
        <v>51</v>
      </c>
      <c r="J857" t="s">
        <v>36</v>
      </c>
      <c r="K857" t="s">
        <v>34</v>
      </c>
      <c r="M857">
        <v>9</v>
      </c>
      <c r="N857" t="s">
        <v>105</v>
      </c>
      <c r="O857" t="s">
        <v>36</v>
      </c>
      <c r="P857" t="b">
        <v>0</v>
      </c>
      <c r="Q857" t="b">
        <v>0</v>
      </c>
      <c r="R857" t="b">
        <v>0</v>
      </c>
      <c r="S857" t="b">
        <v>1</v>
      </c>
      <c r="T857" t="b">
        <v>0</v>
      </c>
      <c r="U857">
        <v>0.9</v>
      </c>
      <c r="V857">
        <v>6.7</v>
      </c>
      <c r="W857">
        <v>6</v>
      </c>
      <c r="X857">
        <v>3.2</v>
      </c>
      <c r="Y857">
        <v>413.14</v>
      </c>
      <c r="Z857">
        <v>9</v>
      </c>
      <c r="AA857" t="s">
        <v>64</v>
      </c>
    </row>
    <row r="858" spans="1:27" x14ac:dyDescent="0.3">
      <c r="A858" t="s">
        <v>949</v>
      </c>
      <c r="B858">
        <v>18</v>
      </c>
      <c r="C858" t="s">
        <v>28</v>
      </c>
      <c r="D858">
        <v>8.1999999999999993</v>
      </c>
      <c r="E858" t="s">
        <v>76</v>
      </c>
      <c r="F858" t="s">
        <v>110</v>
      </c>
      <c r="G858" t="s">
        <v>71</v>
      </c>
      <c r="H858">
        <v>5.2</v>
      </c>
      <c r="I858" t="s">
        <v>32</v>
      </c>
      <c r="J858" t="s">
        <v>36</v>
      </c>
      <c r="K858" t="s">
        <v>34</v>
      </c>
      <c r="L858">
        <v>3.83</v>
      </c>
      <c r="N858" t="s">
        <v>44</v>
      </c>
      <c r="O858" t="s">
        <v>42</v>
      </c>
      <c r="P858" t="b">
        <v>0</v>
      </c>
      <c r="Q858" t="b">
        <v>1</v>
      </c>
      <c r="R858" t="b">
        <v>1</v>
      </c>
      <c r="S858" t="b">
        <v>1</v>
      </c>
      <c r="T858" t="b">
        <v>0</v>
      </c>
      <c r="U858">
        <v>0.7</v>
      </c>
      <c r="V858">
        <v>6.1</v>
      </c>
      <c r="W858">
        <v>8</v>
      </c>
      <c r="X858">
        <v>2.6</v>
      </c>
      <c r="Y858">
        <v>75.11</v>
      </c>
      <c r="Z858">
        <v>3</v>
      </c>
      <c r="AA858" t="s">
        <v>58</v>
      </c>
    </row>
    <row r="859" spans="1:27" x14ac:dyDescent="0.3">
      <c r="A859" t="s">
        <v>950</v>
      </c>
      <c r="B859">
        <v>20</v>
      </c>
      <c r="C859" t="s">
        <v>28</v>
      </c>
      <c r="D859">
        <v>4.5</v>
      </c>
      <c r="E859" t="s">
        <v>76</v>
      </c>
      <c r="F859" t="s">
        <v>77</v>
      </c>
      <c r="G859" t="s">
        <v>71</v>
      </c>
      <c r="H859">
        <v>6.6</v>
      </c>
      <c r="I859" t="s">
        <v>41</v>
      </c>
      <c r="J859" t="s">
        <v>45</v>
      </c>
      <c r="K859" t="s">
        <v>43</v>
      </c>
      <c r="L859">
        <v>2.23</v>
      </c>
      <c r="M859">
        <v>6</v>
      </c>
      <c r="N859" t="s">
        <v>80</v>
      </c>
      <c r="O859" t="s">
        <v>45</v>
      </c>
      <c r="P859" t="b">
        <v>0</v>
      </c>
      <c r="Q859" t="b">
        <v>0</v>
      </c>
      <c r="R859" t="b">
        <v>0</v>
      </c>
      <c r="S859" t="b">
        <v>1</v>
      </c>
      <c r="T859" t="b">
        <v>0</v>
      </c>
      <c r="U859">
        <v>0.1</v>
      </c>
      <c r="V859">
        <v>6.2</v>
      </c>
      <c r="W859">
        <v>4</v>
      </c>
      <c r="X859">
        <v>10.6</v>
      </c>
      <c r="Y859">
        <v>25.62</v>
      </c>
      <c r="Z859">
        <v>1</v>
      </c>
      <c r="AA859" t="s">
        <v>46</v>
      </c>
    </row>
    <row r="860" spans="1:27" x14ac:dyDescent="0.3">
      <c r="A860" t="s">
        <v>951</v>
      </c>
      <c r="B860">
        <v>30</v>
      </c>
      <c r="C860" t="s">
        <v>28</v>
      </c>
      <c r="D860">
        <v>6.3</v>
      </c>
      <c r="E860" t="s">
        <v>60</v>
      </c>
      <c r="F860" t="s">
        <v>200</v>
      </c>
      <c r="G860" t="s">
        <v>71</v>
      </c>
      <c r="H860">
        <v>6.5</v>
      </c>
      <c r="I860" t="s">
        <v>43</v>
      </c>
      <c r="J860" t="s">
        <v>42</v>
      </c>
      <c r="K860" t="s">
        <v>84</v>
      </c>
      <c r="M860">
        <v>1</v>
      </c>
      <c r="N860" t="s">
        <v>63</v>
      </c>
      <c r="O860" t="s">
        <v>33</v>
      </c>
      <c r="P860" t="b">
        <v>0</v>
      </c>
      <c r="Q860" t="b">
        <v>1</v>
      </c>
      <c r="R860" t="b">
        <v>0</v>
      </c>
      <c r="S860" t="b">
        <v>1</v>
      </c>
      <c r="T860" t="b">
        <v>0</v>
      </c>
      <c r="U860">
        <v>0.3</v>
      </c>
      <c r="V860">
        <v>5.0999999999999996</v>
      </c>
      <c r="W860">
        <v>3</v>
      </c>
      <c r="X860">
        <v>8.8000000000000007</v>
      </c>
      <c r="Y860">
        <v>90.63</v>
      </c>
      <c r="Z860">
        <v>16</v>
      </c>
      <c r="AA860" t="s">
        <v>64</v>
      </c>
    </row>
    <row r="861" spans="1:27" x14ac:dyDescent="0.3">
      <c r="A861" t="s">
        <v>952</v>
      </c>
      <c r="B861">
        <v>24</v>
      </c>
      <c r="C861" t="s">
        <v>53</v>
      </c>
      <c r="D861">
        <v>6.1</v>
      </c>
      <c r="E861" t="s">
        <v>76</v>
      </c>
      <c r="F861" t="s">
        <v>126</v>
      </c>
      <c r="G861" t="s">
        <v>31</v>
      </c>
      <c r="H861">
        <v>5.9</v>
      </c>
      <c r="I861" t="s">
        <v>41</v>
      </c>
      <c r="J861" t="s">
        <v>33</v>
      </c>
      <c r="K861" t="s">
        <v>34</v>
      </c>
      <c r="M861">
        <v>1</v>
      </c>
      <c r="N861" t="s">
        <v>105</v>
      </c>
      <c r="O861" t="s">
        <v>45</v>
      </c>
      <c r="P861" t="b">
        <v>0</v>
      </c>
      <c r="Q861" t="b">
        <v>0</v>
      </c>
      <c r="R861" t="b">
        <v>0</v>
      </c>
      <c r="S861" t="b">
        <v>1</v>
      </c>
      <c r="T861" t="b">
        <v>0</v>
      </c>
      <c r="U861">
        <v>2.7</v>
      </c>
      <c r="V861">
        <v>5.4</v>
      </c>
      <c r="W861">
        <v>4</v>
      </c>
      <c r="X861">
        <v>10.4</v>
      </c>
      <c r="Y861">
        <v>49.79</v>
      </c>
      <c r="Z861">
        <v>10</v>
      </c>
      <c r="AA861" t="s">
        <v>46</v>
      </c>
    </row>
    <row r="862" spans="1:27" x14ac:dyDescent="0.3">
      <c r="A862" t="s">
        <v>953</v>
      </c>
      <c r="B862">
        <v>20</v>
      </c>
      <c r="C862" t="s">
        <v>28</v>
      </c>
      <c r="D862">
        <v>8.1</v>
      </c>
      <c r="E862" t="s">
        <v>29</v>
      </c>
      <c r="F862" t="s">
        <v>30</v>
      </c>
      <c r="G862" t="s">
        <v>71</v>
      </c>
      <c r="H862">
        <v>3.3</v>
      </c>
      <c r="I862" t="s">
        <v>41</v>
      </c>
      <c r="J862" t="s">
        <v>74</v>
      </c>
      <c r="K862" t="s">
        <v>129</v>
      </c>
      <c r="L862">
        <v>3.11</v>
      </c>
      <c r="M862">
        <v>3</v>
      </c>
      <c r="N862" t="s">
        <v>69</v>
      </c>
      <c r="O862" t="s">
        <v>33</v>
      </c>
      <c r="P862" t="b">
        <v>1</v>
      </c>
      <c r="Q862" t="b">
        <v>1</v>
      </c>
      <c r="R862" t="b">
        <v>1</v>
      </c>
      <c r="S862" t="b">
        <v>0</v>
      </c>
      <c r="T862" t="b">
        <v>0</v>
      </c>
      <c r="U862">
        <v>0.3</v>
      </c>
      <c r="V862">
        <v>6.2</v>
      </c>
      <c r="W862">
        <v>6</v>
      </c>
      <c r="X862">
        <v>8</v>
      </c>
      <c r="Y862">
        <v>84.8</v>
      </c>
      <c r="Z862">
        <v>8</v>
      </c>
      <c r="AA862" t="s">
        <v>37</v>
      </c>
    </row>
    <row r="863" spans="1:27" x14ac:dyDescent="0.3">
      <c r="A863" t="s">
        <v>954</v>
      </c>
      <c r="B863">
        <v>23</v>
      </c>
      <c r="C863" t="s">
        <v>53</v>
      </c>
      <c r="D863">
        <v>5.6</v>
      </c>
      <c r="E863" t="s">
        <v>29</v>
      </c>
      <c r="F863" t="s">
        <v>118</v>
      </c>
      <c r="G863" t="s">
        <v>71</v>
      </c>
      <c r="H863">
        <v>5.2</v>
      </c>
      <c r="I863" t="s">
        <v>41</v>
      </c>
      <c r="J863" t="s">
        <v>36</v>
      </c>
      <c r="K863" t="s">
        <v>34</v>
      </c>
      <c r="M863">
        <v>5</v>
      </c>
      <c r="N863" t="s">
        <v>66</v>
      </c>
      <c r="O863" t="s">
        <v>36</v>
      </c>
      <c r="P863" t="b">
        <v>0</v>
      </c>
      <c r="Q863" t="b">
        <v>1</v>
      </c>
      <c r="R863" t="b">
        <v>0</v>
      </c>
      <c r="S863" t="b">
        <v>0</v>
      </c>
      <c r="T863" t="b">
        <v>1</v>
      </c>
      <c r="U863">
        <v>1.7</v>
      </c>
      <c r="V863">
        <v>5.2</v>
      </c>
      <c r="W863">
        <v>4</v>
      </c>
      <c r="X863">
        <v>9.9</v>
      </c>
      <c r="Y863">
        <v>98.62</v>
      </c>
      <c r="Z863">
        <v>13</v>
      </c>
      <c r="AA863" t="s">
        <v>64</v>
      </c>
    </row>
    <row r="864" spans="1:27" x14ac:dyDescent="0.3">
      <c r="A864" t="s">
        <v>955</v>
      </c>
      <c r="B864">
        <v>19</v>
      </c>
      <c r="C864" t="s">
        <v>28</v>
      </c>
      <c r="D864">
        <v>0.6</v>
      </c>
      <c r="E864" t="s">
        <v>39</v>
      </c>
      <c r="F864" t="s">
        <v>120</v>
      </c>
      <c r="G864" t="s">
        <v>71</v>
      </c>
      <c r="H864">
        <v>7.8</v>
      </c>
      <c r="I864" t="s">
        <v>41</v>
      </c>
      <c r="J864" t="s">
        <v>74</v>
      </c>
      <c r="K864" t="s">
        <v>62</v>
      </c>
      <c r="L864">
        <v>3.18</v>
      </c>
      <c r="M864">
        <v>1</v>
      </c>
      <c r="N864" t="s">
        <v>80</v>
      </c>
      <c r="O864" t="s">
        <v>33</v>
      </c>
      <c r="P864" t="b">
        <v>0</v>
      </c>
      <c r="Q864" t="b">
        <v>0</v>
      </c>
      <c r="R864" t="b">
        <v>0</v>
      </c>
      <c r="S864" t="b">
        <v>0</v>
      </c>
      <c r="T864" t="b">
        <v>0</v>
      </c>
      <c r="U864">
        <v>0</v>
      </c>
      <c r="V864">
        <v>8.9</v>
      </c>
      <c r="W864">
        <v>2</v>
      </c>
      <c r="X864">
        <v>13.2</v>
      </c>
      <c r="Y864">
        <v>20.329999999999998</v>
      </c>
      <c r="Z864">
        <v>3</v>
      </c>
      <c r="AA864" t="s">
        <v>46</v>
      </c>
    </row>
    <row r="865" spans="1:27" x14ac:dyDescent="0.3">
      <c r="A865" t="s">
        <v>956</v>
      </c>
      <c r="B865">
        <v>19</v>
      </c>
      <c r="C865" t="s">
        <v>28</v>
      </c>
      <c r="D865">
        <v>6.6</v>
      </c>
      <c r="E865" t="s">
        <v>39</v>
      </c>
      <c r="F865" t="s">
        <v>93</v>
      </c>
      <c r="G865" t="s">
        <v>31</v>
      </c>
      <c r="H865">
        <v>6</v>
      </c>
      <c r="I865" t="s">
        <v>32</v>
      </c>
      <c r="J865" t="s">
        <v>33</v>
      </c>
      <c r="K865" t="s">
        <v>34</v>
      </c>
      <c r="L865">
        <v>2.36</v>
      </c>
      <c r="M865">
        <v>3</v>
      </c>
      <c r="N865" t="s">
        <v>66</v>
      </c>
      <c r="O865" t="s">
        <v>42</v>
      </c>
      <c r="P865" t="b">
        <v>1</v>
      </c>
      <c r="Q865" t="b">
        <v>0</v>
      </c>
      <c r="R865" t="b">
        <v>0</v>
      </c>
      <c r="S865" t="b">
        <v>1</v>
      </c>
      <c r="T865" t="b">
        <v>0</v>
      </c>
      <c r="U865">
        <v>1.8</v>
      </c>
      <c r="V865">
        <v>6.7</v>
      </c>
      <c r="W865">
        <v>5</v>
      </c>
      <c r="X865">
        <v>6.9</v>
      </c>
      <c r="Y865">
        <v>60.38</v>
      </c>
      <c r="Z865">
        <v>4</v>
      </c>
      <c r="AA865" t="s">
        <v>64</v>
      </c>
    </row>
    <row r="866" spans="1:27" x14ac:dyDescent="0.3">
      <c r="A866" t="s">
        <v>957</v>
      </c>
      <c r="B866">
        <v>18</v>
      </c>
      <c r="C866" t="s">
        <v>28</v>
      </c>
      <c r="D866">
        <v>8</v>
      </c>
      <c r="E866" t="s">
        <v>29</v>
      </c>
      <c r="F866" t="s">
        <v>118</v>
      </c>
      <c r="G866" t="s">
        <v>86</v>
      </c>
      <c r="H866">
        <v>4.5</v>
      </c>
      <c r="I866" t="s">
        <v>41</v>
      </c>
      <c r="J866" t="s">
        <v>45</v>
      </c>
      <c r="K866" t="s">
        <v>34</v>
      </c>
      <c r="L866">
        <v>3</v>
      </c>
      <c r="N866" t="s">
        <v>44</v>
      </c>
      <c r="O866" t="s">
        <v>33</v>
      </c>
      <c r="P866" t="b">
        <v>1</v>
      </c>
      <c r="Q866" t="b">
        <v>1</v>
      </c>
      <c r="R866" t="b">
        <v>0</v>
      </c>
      <c r="S866" t="b">
        <v>1</v>
      </c>
      <c r="T866" t="b">
        <v>1</v>
      </c>
      <c r="U866">
        <v>3.1</v>
      </c>
      <c r="V866">
        <v>5.3</v>
      </c>
      <c r="W866">
        <v>5</v>
      </c>
      <c r="X866">
        <v>3.5</v>
      </c>
      <c r="Y866">
        <v>14.54</v>
      </c>
      <c r="Z866">
        <v>8</v>
      </c>
      <c r="AA866" t="s">
        <v>58</v>
      </c>
    </row>
    <row r="867" spans="1:27" x14ac:dyDescent="0.3">
      <c r="A867" t="s">
        <v>958</v>
      </c>
      <c r="B867">
        <v>19</v>
      </c>
      <c r="C867" t="s">
        <v>28</v>
      </c>
      <c r="D867">
        <v>14.7</v>
      </c>
      <c r="E867" t="s">
        <v>29</v>
      </c>
      <c r="F867" t="s">
        <v>73</v>
      </c>
      <c r="G867" t="s">
        <v>50</v>
      </c>
      <c r="H867">
        <v>3.5</v>
      </c>
      <c r="I867" t="s">
        <v>51</v>
      </c>
      <c r="J867" t="s">
        <v>36</v>
      </c>
      <c r="K867" t="s">
        <v>34</v>
      </c>
      <c r="L867">
        <v>2.2799999999999998</v>
      </c>
      <c r="M867">
        <v>5</v>
      </c>
      <c r="N867" t="s">
        <v>56</v>
      </c>
      <c r="O867" t="s">
        <v>45</v>
      </c>
      <c r="P867" t="b">
        <v>0</v>
      </c>
      <c r="Q867" t="b">
        <v>1</v>
      </c>
      <c r="R867" t="b">
        <v>0</v>
      </c>
      <c r="S867" t="b">
        <v>1</v>
      </c>
      <c r="T867" t="b">
        <v>1</v>
      </c>
      <c r="U867">
        <v>2.1</v>
      </c>
      <c r="V867">
        <v>1.3</v>
      </c>
      <c r="W867">
        <v>10</v>
      </c>
      <c r="X867">
        <v>0</v>
      </c>
      <c r="Y867">
        <v>178.29</v>
      </c>
      <c r="Z867">
        <v>1</v>
      </c>
      <c r="AA867" t="s">
        <v>58</v>
      </c>
    </row>
    <row r="868" spans="1:27" x14ac:dyDescent="0.3">
      <c r="A868" t="s">
        <v>959</v>
      </c>
      <c r="B868">
        <v>23</v>
      </c>
      <c r="C868" t="s">
        <v>53</v>
      </c>
      <c r="D868">
        <v>8.1999999999999993</v>
      </c>
      <c r="E868" t="s">
        <v>60</v>
      </c>
      <c r="F868" t="s">
        <v>61</v>
      </c>
      <c r="G868" t="s">
        <v>71</v>
      </c>
      <c r="H868">
        <v>5</v>
      </c>
      <c r="I868" t="s">
        <v>41</v>
      </c>
      <c r="J868" t="s">
        <v>45</v>
      </c>
      <c r="K868" t="s">
        <v>34</v>
      </c>
      <c r="M868">
        <v>5</v>
      </c>
      <c r="N868" t="s">
        <v>80</v>
      </c>
      <c r="O868" t="s">
        <v>42</v>
      </c>
      <c r="P868" t="b">
        <v>1</v>
      </c>
      <c r="Q868" t="b">
        <v>1</v>
      </c>
      <c r="R868" t="b">
        <v>1</v>
      </c>
      <c r="S868" t="b">
        <v>1</v>
      </c>
      <c r="T868" t="b">
        <v>0</v>
      </c>
      <c r="U868">
        <v>2.7</v>
      </c>
      <c r="V868">
        <v>5.7</v>
      </c>
      <c r="W868">
        <v>5</v>
      </c>
      <c r="X868">
        <v>8.4</v>
      </c>
      <c r="Y868">
        <v>140.71</v>
      </c>
      <c r="Z868">
        <v>8</v>
      </c>
      <c r="AA868" t="s">
        <v>37</v>
      </c>
    </row>
    <row r="869" spans="1:27" x14ac:dyDescent="0.3">
      <c r="A869" t="s">
        <v>960</v>
      </c>
      <c r="B869">
        <v>19</v>
      </c>
      <c r="C869" t="s">
        <v>53</v>
      </c>
      <c r="D869">
        <v>4.3</v>
      </c>
      <c r="E869" t="s">
        <v>29</v>
      </c>
      <c r="F869" t="s">
        <v>104</v>
      </c>
      <c r="G869" t="s">
        <v>71</v>
      </c>
      <c r="H869">
        <v>6.3</v>
      </c>
      <c r="I869" t="s">
        <v>41</v>
      </c>
      <c r="J869" t="s">
        <v>42</v>
      </c>
      <c r="K869" t="s">
        <v>34</v>
      </c>
      <c r="L869">
        <v>3.87</v>
      </c>
      <c r="M869">
        <v>3</v>
      </c>
      <c r="N869" t="s">
        <v>44</v>
      </c>
      <c r="O869" t="s">
        <v>57</v>
      </c>
      <c r="P869" t="b">
        <v>0</v>
      </c>
      <c r="Q869" t="b">
        <v>0</v>
      </c>
      <c r="R869" t="b">
        <v>0</v>
      </c>
      <c r="S869" t="b">
        <v>0</v>
      </c>
      <c r="T869" t="b">
        <v>0</v>
      </c>
      <c r="U869">
        <v>0.2</v>
      </c>
      <c r="V869">
        <v>8.5</v>
      </c>
      <c r="W869">
        <v>2</v>
      </c>
      <c r="X869">
        <v>8.3000000000000007</v>
      </c>
      <c r="Y869">
        <v>24.27</v>
      </c>
      <c r="Z869">
        <v>5</v>
      </c>
      <c r="AA869" t="s">
        <v>46</v>
      </c>
    </row>
    <row r="870" spans="1:27" x14ac:dyDescent="0.3">
      <c r="A870" t="s">
        <v>961</v>
      </c>
      <c r="B870">
        <v>14</v>
      </c>
      <c r="C870" t="s">
        <v>28</v>
      </c>
      <c r="D870">
        <v>3.8</v>
      </c>
      <c r="E870" t="s">
        <v>48</v>
      </c>
      <c r="F870" t="s">
        <v>49</v>
      </c>
      <c r="G870" t="s">
        <v>71</v>
      </c>
      <c r="H870">
        <v>6.3</v>
      </c>
      <c r="I870" t="s">
        <v>51</v>
      </c>
      <c r="J870" t="s">
        <v>33</v>
      </c>
      <c r="K870" t="s">
        <v>34</v>
      </c>
      <c r="L870">
        <v>1.1200000000000001</v>
      </c>
      <c r="N870" t="s">
        <v>63</v>
      </c>
      <c r="O870" t="s">
        <v>36</v>
      </c>
      <c r="P870" t="b">
        <v>0</v>
      </c>
      <c r="Q870" t="b">
        <v>0</v>
      </c>
      <c r="R870" t="b">
        <v>0</v>
      </c>
      <c r="S870" t="b">
        <v>0</v>
      </c>
      <c r="T870" t="b">
        <v>0</v>
      </c>
      <c r="U870">
        <v>0.6</v>
      </c>
      <c r="V870">
        <v>9.3000000000000007</v>
      </c>
      <c r="W870">
        <v>2</v>
      </c>
      <c r="X870">
        <v>8.9</v>
      </c>
      <c r="Y870">
        <v>26</v>
      </c>
      <c r="Z870">
        <v>4</v>
      </c>
      <c r="AA870" t="s">
        <v>46</v>
      </c>
    </row>
    <row r="871" spans="1:27" x14ac:dyDescent="0.3">
      <c r="A871" t="s">
        <v>962</v>
      </c>
      <c r="B871">
        <v>17</v>
      </c>
      <c r="C871" t="s">
        <v>28</v>
      </c>
      <c r="D871">
        <v>5.8</v>
      </c>
      <c r="E871" t="s">
        <v>29</v>
      </c>
      <c r="F871" t="s">
        <v>73</v>
      </c>
      <c r="G871" t="s">
        <v>50</v>
      </c>
      <c r="H871">
        <v>6.4</v>
      </c>
      <c r="I871" t="s">
        <v>43</v>
      </c>
      <c r="J871" t="s">
        <v>74</v>
      </c>
      <c r="K871" t="s">
        <v>62</v>
      </c>
      <c r="L871">
        <v>1.49</v>
      </c>
      <c r="N871" t="s">
        <v>69</v>
      </c>
      <c r="O871" t="s">
        <v>45</v>
      </c>
      <c r="P871" t="b">
        <v>0</v>
      </c>
      <c r="Q871" t="b">
        <v>0</v>
      </c>
      <c r="R871" t="b">
        <v>0</v>
      </c>
      <c r="S871" t="b">
        <v>1</v>
      </c>
      <c r="T871" t="b">
        <v>1</v>
      </c>
      <c r="U871">
        <v>3.1</v>
      </c>
      <c r="V871">
        <v>6.8</v>
      </c>
      <c r="W871">
        <v>4</v>
      </c>
      <c r="X871">
        <v>5.8</v>
      </c>
      <c r="Y871">
        <v>10.29</v>
      </c>
      <c r="Z871">
        <v>6</v>
      </c>
      <c r="AA871" t="s">
        <v>46</v>
      </c>
    </row>
    <row r="872" spans="1:27" x14ac:dyDescent="0.3">
      <c r="A872" t="s">
        <v>963</v>
      </c>
      <c r="B872">
        <v>13</v>
      </c>
      <c r="C872" t="s">
        <v>28</v>
      </c>
      <c r="D872">
        <v>2.9</v>
      </c>
      <c r="E872" t="s">
        <v>39</v>
      </c>
      <c r="F872" t="s">
        <v>120</v>
      </c>
      <c r="G872" t="s">
        <v>50</v>
      </c>
      <c r="H872">
        <v>8.5</v>
      </c>
      <c r="I872" t="s">
        <v>41</v>
      </c>
      <c r="J872" t="s">
        <v>33</v>
      </c>
      <c r="K872" t="s">
        <v>43</v>
      </c>
      <c r="L872">
        <v>2.27</v>
      </c>
      <c r="N872" t="s">
        <v>69</v>
      </c>
      <c r="O872" t="s">
        <v>57</v>
      </c>
      <c r="P872" t="b">
        <v>0</v>
      </c>
      <c r="Q872" t="b">
        <v>0</v>
      </c>
      <c r="R872" t="b">
        <v>0</v>
      </c>
      <c r="S872" t="b">
        <v>0</v>
      </c>
      <c r="T872" t="b">
        <v>0</v>
      </c>
      <c r="U872">
        <v>0.7</v>
      </c>
      <c r="V872">
        <v>9.1</v>
      </c>
      <c r="W872">
        <v>2</v>
      </c>
      <c r="X872">
        <v>9.8000000000000007</v>
      </c>
      <c r="Y872">
        <v>36</v>
      </c>
      <c r="Z872">
        <v>3</v>
      </c>
      <c r="AA872" t="s">
        <v>46</v>
      </c>
    </row>
    <row r="873" spans="1:27" x14ac:dyDescent="0.3">
      <c r="A873" t="s">
        <v>964</v>
      </c>
      <c r="B873">
        <v>14</v>
      </c>
      <c r="C873" t="s">
        <v>28</v>
      </c>
      <c r="D873">
        <v>4.9000000000000004</v>
      </c>
      <c r="E873" t="s">
        <v>60</v>
      </c>
      <c r="F873" t="s">
        <v>96</v>
      </c>
      <c r="G873" t="s">
        <v>86</v>
      </c>
      <c r="H873">
        <v>6.1</v>
      </c>
      <c r="I873" t="s">
        <v>51</v>
      </c>
      <c r="J873" t="s">
        <v>45</v>
      </c>
      <c r="K873" t="s">
        <v>84</v>
      </c>
      <c r="L873">
        <v>1.78</v>
      </c>
      <c r="N873" t="s">
        <v>66</v>
      </c>
      <c r="O873" t="s">
        <v>33</v>
      </c>
      <c r="P873" t="b">
        <v>0</v>
      </c>
      <c r="Q873" t="b">
        <v>0</v>
      </c>
      <c r="R873" t="b">
        <v>0</v>
      </c>
      <c r="S873" t="b">
        <v>1</v>
      </c>
      <c r="T873" t="b">
        <v>0</v>
      </c>
      <c r="U873">
        <v>0.4</v>
      </c>
      <c r="V873">
        <v>7.1</v>
      </c>
      <c r="W873">
        <v>3</v>
      </c>
      <c r="X873">
        <v>7.9</v>
      </c>
      <c r="Y873">
        <v>128.35</v>
      </c>
      <c r="Z873">
        <v>4</v>
      </c>
      <c r="AA873" t="s">
        <v>46</v>
      </c>
    </row>
    <row r="874" spans="1:27" x14ac:dyDescent="0.3">
      <c r="A874" t="s">
        <v>965</v>
      </c>
      <c r="B874">
        <v>17</v>
      </c>
      <c r="C874" t="s">
        <v>28</v>
      </c>
      <c r="D874">
        <v>6.7</v>
      </c>
      <c r="E874" t="s">
        <v>60</v>
      </c>
      <c r="F874" t="s">
        <v>102</v>
      </c>
      <c r="G874" t="s">
        <v>31</v>
      </c>
      <c r="H874">
        <v>3.4</v>
      </c>
      <c r="I874" t="s">
        <v>43</v>
      </c>
      <c r="J874" t="s">
        <v>42</v>
      </c>
      <c r="K874" t="s">
        <v>34</v>
      </c>
      <c r="L874">
        <v>2.99</v>
      </c>
      <c r="N874" t="s">
        <v>56</v>
      </c>
      <c r="O874" t="s">
        <v>36</v>
      </c>
      <c r="P874" t="b">
        <v>1</v>
      </c>
      <c r="Q874" t="b">
        <v>0</v>
      </c>
      <c r="R874" t="b">
        <v>0</v>
      </c>
      <c r="S874" t="b">
        <v>1</v>
      </c>
      <c r="T874" t="b">
        <v>0</v>
      </c>
      <c r="U874">
        <v>2.7</v>
      </c>
      <c r="V874">
        <v>7.5</v>
      </c>
      <c r="W874">
        <v>4</v>
      </c>
      <c r="X874">
        <v>6.2</v>
      </c>
      <c r="Y874">
        <v>10.6</v>
      </c>
      <c r="Z874">
        <v>3</v>
      </c>
      <c r="AA874" t="s">
        <v>64</v>
      </c>
    </row>
    <row r="875" spans="1:27" x14ac:dyDescent="0.3">
      <c r="A875" t="s">
        <v>966</v>
      </c>
      <c r="B875">
        <v>25</v>
      </c>
      <c r="C875" t="s">
        <v>53</v>
      </c>
      <c r="D875">
        <v>9.5</v>
      </c>
      <c r="E875" t="s">
        <v>60</v>
      </c>
      <c r="F875" t="s">
        <v>200</v>
      </c>
      <c r="G875" t="s">
        <v>31</v>
      </c>
      <c r="H875">
        <v>4.7</v>
      </c>
      <c r="I875" t="s">
        <v>51</v>
      </c>
      <c r="J875" t="s">
        <v>33</v>
      </c>
      <c r="K875" t="s">
        <v>34</v>
      </c>
      <c r="M875">
        <v>1</v>
      </c>
      <c r="N875" t="s">
        <v>63</v>
      </c>
      <c r="O875" t="s">
        <v>57</v>
      </c>
      <c r="P875" t="b">
        <v>1</v>
      </c>
      <c r="Q875" t="b">
        <v>0</v>
      </c>
      <c r="R875" t="b">
        <v>1</v>
      </c>
      <c r="S875" t="b">
        <v>0</v>
      </c>
      <c r="T875" t="b">
        <v>0</v>
      </c>
      <c r="U875">
        <v>1.1000000000000001</v>
      </c>
      <c r="V875">
        <v>5.5</v>
      </c>
      <c r="W875">
        <v>7</v>
      </c>
      <c r="X875">
        <v>1.9</v>
      </c>
      <c r="Y875">
        <v>204.58</v>
      </c>
      <c r="Z875">
        <v>13</v>
      </c>
      <c r="AA875" t="s">
        <v>37</v>
      </c>
    </row>
    <row r="876" spans="1:27" x14ac:dyDescent="0.3">
      <c r="A876" t="s">
        <v>967</v>
      </c>
      <c r="B876">
        <v>15</v>
      </c>
      <c r="C876" t="s">
        <v>28</v>
      </c>
      <c r="D876">
        <v>5.7</v>
      </c>
      <c r="E876" t="s">
        <v>76</v>
      </c>
      <c r="F876" t="s">
        <v>110</v>
      </c>
      <c r="G876" t="s">
        <v>31</v>
      </c>
      <c r="H876">
        <v>6</v>
      </c>
      <c r="I876" t="s">
        <v>51</v>
      </c>
      <c r="J876" t="s">
        <v>45</v>
      </c>
      <c r="K876" t="s">
        <v>34</v>
      </c>
      <c r="L876">
        <v>2.59</v>
      </c>
      <c r="N876" t="s">
        <v>56</v>
      </c>
      <c r="O876" t="s">
        <v>36</v>
      </c>
      <c r="P876" t="b">
        <v>0</v>
      </c>
      <c r="Q876" t="b">
        <v>0</v>
      </c>
      <c r="R876" t="b">
        <v>0</v>
      </c>
      <c r="S876" t="b">
        <v>0</v>
      </c>
      <c r="T876" t="b">
        <v>1</v>
      </c>
      <c r="U876">
        <v>1.6</v>
      </c>
      <c r="V876">
        <v>6.5</v>
      </c>
      <c r="W876">
        <v>4</v>
      </c>
      <c r="X876">
        <v>7.1</v>
      </c>
      <c r="Y876">
        <v>30.98</v>
      </c>
      <c r="Z876">
        <v>2</v>
      </c>
      <c r="AA876" t="s">
        <v>46</v>
      </c>
    </row>
    <row r="877" spans="1:27" x14ac:dyDescent="0.3">
      <c r="A877" t="s">
        <v>968</v>
      </c>
      <c r="B877">
        <v>20</v>
      </c>
      <c r="C877" t="s">
        <v>28</v>
      </c>
      <c r="D877">
        <v>7.1</v>
      </c>
      <c r="E877" t="s">
        <v>48</v>
      </c>
      <c r="F877" t="s">
        <v>214</v>
      </c>
      <c r="G877" t="s">
        <v>86</v>
      </c>
      <c r="H877">
        <v>4.2</v>
      </c>
      <c r="I877" t="s">
        <v>41</v>
      </c>
      <c r="J877" t="s">
        <v>74</v>
      </c>
      <c r="K877" t="s">
        <v>129</v>
      </c>
      <c r="L877">
        <v>2.85</v>
      </c>
      <c r="M877">
        <v>7</v>
      </c>
      <c r="N877" t="s">
        <v>105</v>
      </c>
      <c r="O877" t="s">
        <v>57</v>
      </c>
      <c r="P877" t="b">
        <v>1</v>
      </c>
      <c r="Q877" t="b">
        <v>1</v>
      </c>
      <c r="R877" t="b">
        <v>0</v>
      </c>
      <c r="S877" t="b">
        <v>0</v>
      </c>
      <c r="T877" t="b">
        <v>1</v>
      </c>
      <c r="U877">
        <v>1.1000000000000001</v>
      </c>
      <c r="V877">
        <v>6.6</v>
      </c>
      <c r="W877">
        <v>4</v>
      </c>
      <c r="X877">
        <v>6.6</v>
      </c>
      <c r="Y877">
        <v>78.44</v>
      </c>
      <c r="Z877">
        <v>2</v>
      </c>
      <c r="AA877" t="s">
        <v>58</v>
      </c>
    </row>
    <row r="878" spans="1:27" x14ac:dyDescent="0.3">
      <c r="A878" t="s">
        <v>969</v>
      </c>
      <c r="B878">
        <v>27</v>
      </c>
      <c r="C878" t="s">
        <v>53</v>
      </c>
      <c r="D878">
        <v>7.5</v>
      </c>
      <c r="E878" t="s">
        <v>29</v>
      </c>
      <c r="F878" t="s">
        <v>118</v>
      </c>
      <c r="G878" t="s">
        <v>50</v>
      </c>
      <c r="H878">
        <v>3.4</v>
      </c>
      <c r="I878" t="s">
        <v>51</v>
      </c>
      <c r="J878" t="s">
        <v>45</v>
      </c>
      <c r="K878" t="s">
        <v>62</v>
      </c>
      <c r="M878">
        <v>3</v>
      </c>
      <c r="N878" t="s">
        <v>44</v>
      </c>
      <c r="O878" t="s">
        <v>33</v>
      </c>
      <c r="P878" t="b">
        <v>0</v>
      </c>
      <c r="Q878" t="b">
        <v>1</v>
      </c>
      <c r="R878" t="b">
        <v>0</v>
      </c>
      <c r="S878" t="b">
        <v>1</v>
      </c>
      <c r="T878" t="b">
        <v>1</v>
      </c>
      <c r="U878">
        <v>0.2</v>
      </c>
      <c r="V878">
        <v>6.4</v>
      </c>
      <c r="W878">
        <v>5</v>
      </c>
      <c r="X878">
        <v>4.4000000000000004</v>
      </c>
      <c r="Y878">
        <v>143.88999999999999</v>
      </c>
      <c r="Z878">
        <v>12</v>
      </c>
      <c r="AA878" t="s">
        <v>64</v>
      </c>
    </row>
    <row r="879" spans="1:27" x14ac:dyDescent="0.3">
      <c r="A879" t="s">
        <v>970</v>
      </c>
      <c r="B879">
        <v>22</v>
      </c>
      <c r="C879" t="s">
        <v>53</v>
      </c>
      <c r="D879">
        <v>4.9000000000000004</v>
      </c>
      <c r="E879" t="s">
        <v>54</v>
      </c>
      <c r="F879" t="s">
        <v>89</v>
      </c>
      <c r="G879" t="s">
        <v>50</v>
      </c>
      <c r="H879">
        <v>6.9</v>
      </c>
      <c r="I879" t="s">
        <v>41</v>
      </c>
      <c r="J879" t="s">
        <v>42</v>
      </c>
      <c r="K879" t="s">
        <v>62</v>
      </c>
      <c r="L879">
        <v>1.42</v>
      </c>
      <c r="M879">
        <v>3</v>
      </c>
      <c r="N879" t="s">
        <v>66</v>
      </c>
      <c r="O879" t="s">
        <v>33</v>
      </c>
      <c r="P879" t="b">
        <v>0</v>
      </c>
      <c r="Q879" t="b">
        <v>0</v>
      </c>
      <c r="R879" t="b">
        <v>0</v>
      </c>
      <c r="S879" t="b">
        <v>1</v>
      </c>
      <c r="T879" t="b">
        <v>0</v>
      </c>
      <c r="U879">
        <v>1</v>
      </c>
      <c r="V879">
        <v>9</v>
      </c>
      <c r="W879">
        <v>2</v>
      </c>
      <c r="X879">
        <v>11.6</v>
      </c>
      <c r="Y879">
        <v>85.49</v>
      </c>
      <c r="Z879">
        <v>1</v>
      </c>
      <c r="AA879" t="s">
        <v>46</v>
      </c>
    </row>
    <row r="880" spans="1:27" x14ac:dyDescent="0.3">
      <c r="A880" t="s">
        <v>971</v>
      </c>
      <c r="B880">
        <v>20</v>
      </c>
      <c r="C880" t="s">
        <v>53</v>
      </c>
      <c r="D880">
        <v>5</v>
      </c>
      <c r="E880" t="s">
        <v>60</v>
      </c>
      <c r="F880" t="s">
        <v>200</v>
      </c>
      <c r="G880" t="s">
        <v>31</v>
      </c>
      <c r="H880">
        <v>5.9</v>
      </c>
      <c r="I880" t="s">
        <v>51</v>
      </c>
      <c r="J880" t="s">
        <v>36</v>
      </c>
      <c r="K880" t="s">
        <v>62</v>
      </c>
      <c r="L880">
        <v>1.85</v>
      </c>
      <c r="M880">
        <v>1</v>
      </c>
      <c r="N880" t="s">
        <v>35</v>
      </c>
      <c r="O880" t="s">
        <v>57</v>
      </c>
      <c r="P880" t="b">
        <v>0</v>
      </c>
      <c r="Q880" t="b">
        <v>0</v>
      </c>
      <c r="R880" t="b">
        <v>0</v>
      </c>
      <c r="S880" t="b">
        <v>1</v>
      </c>
      <c r="T880" t="b">
        <v>0</v>
      </c>
      <c r="U880">
        <v>0.7</v>
      </c>
      <c r="V880">
        <v>8.1999999999999993</v>
      </c>
      <c r="W880">
        <v>3</v>
      </c>
      <c r="X880">
        <v>9.3000000000000007</v>
      </c>
      <c r="Y880">
        <v>48.66</v>
      </c>
      <c r="Z880">
        <v>6</v>
      </c>
      <c r="AA880" t="s">
        <v>46</v>
      </c>
    </row>
    <row r="881" spans="1:27" x14ac:dyDescent="0.3">
      <c r="A881" t="s">
        <v>972</v>
      </c>
      <c r="B881">
        <v>18</v>
      </c>
      <c r="C881" t="s">
        <v>53</v>
      </c>
      <c r="D881">
        <v>2</v>
      </c>
      <c r="E881" t="s">
        <v>29</v>
      </c>
      <c r="F881" t="s">
        <v>104</v>
      </c>
      <c r="G881" t="s">
        <v>31</v>
      </c>
      <c r="H881">
        <v>8.5</v>
      </c>
      <c r="I881" t="s">
        <v>41</v>
      </c>
      <c r="J881" t="s">
        <v>33</v>
      </c>
      <c r="K881" t="s">
        <v>43</v>
      </c>
      <c r="L881">
        <v>3.34</v>
      </c>
      <c r="N881" t="s">
        <v>69</v>
      </c>
      <c r="O881" t="s">
        <v>45</v>
      </c>
      <c r="P881" t="b">
        <v>0</v>
      </c>
      <c r="Q881" t="b">
        <v>0</v>
      </c>
      <c r="R881" t="b">
        <v>0</v>
      </c>
      <c r="S881" t="b">
        <v>0</v>
      </c>
      <c r="T881" t="b">
        <v>0</v>
      </c>
      <c r="U881">
        <v>0.6</v>
      </c>
      <c r="V881">
        <v>8.1999999999999993</v>
      </c>
      <c r="W881">
        <v>1</v>
      </c>
      <c r="X881">
        <v>13</v>
      </c>
      <c r="Y881">
        <v>14.51</v>
      </c>
      <c r="Z881">
        <v>5</v>
      </c>
      <c r="AA881" t="s">
        <v>46</v>
      </c>
    </row>
    <row r="882" spans="1:27" x14ac:dyDescent="0.3">
      <c r="A882" t="s">
        <v>973</v>
      </c>
      <c r="B882">
        <v>17</v>
      </c>
      <c r="C882" t="s">
        <v>28</v>
      </c>
      <c r="D882">
        <v>5.8</v>
      </c>
      <c r="E882" t="s">
        <v>76</v>
      </c>
      <c r="F882" t="s">
        <v>110</v>
      </c>
      <c r="G882" t="s">
        <v>86</v>
      </c>
      <c r="H882">
        <v>5.8</v>
      </c>
      <c r="I882" t="s">
        <v>41</v>
      </c>
      <c r="J882" t="s">
        <v>42</v>
      </c>
      <c r="K882" t="s">
        <v>62</v>
      </c>
      <c r="L882">
        <v>2.9</v>
      </c>
      <c r="N882" t="s">
        <v>80</v>
      </c>
      <c r="O882" t="s">
        <v>57</v>
      </c>
      <c r="P882" t="b">
        <v>0</v>
      </c>
      <c r="Q882" t="b">
        <v>1</v>
      </c>
      <c r="R882" t="b">
        <v>0</v>
      </c>
      <c r="S882" t="b">
        <v>1</v>
      </c>
      <c r="T882" t="b">
        <v>1</v>
      </c>
      <c r="U882">
        <v>0.7</v>
      </c>
      <c r="V882">
        <v>7.5</v>
      </c>
      <c r="W882">
        <v>5</v>
      </c>
      <c r="X882">
        <v>8</v>
      </c>
      <c r="Y882">
        <v>40.86</v>
      </c>
      <c r="Z882">
        <v>7</v>
      </c>
      <c r="AA882" t="s">
        <v>64</v>
      </c>
    </row>
    <row r="883" spans="1:27" x14ac:dyDescent="0.3">
      <c r="A883" t="s">
        <v>974</v>
      </c>
      <c r="B883">
        <v>19</v>
      </c>
      <c r="C883" t="s">
        <v>28</v>
      </c>
      <c r="D883">
        <v>4.9000000000000004</v>
      </c>
      <c r="E883" t="s">
        <v>76</v>
      </c>
      <c r="F883" t="s">
        <v>110</v>
      </c>
      <c r="G883" t="s">
        <v>31</v>
      </c>
      <c r="H883">
        <v>6.6</v>
      </c>
      <c r="I883" t="s">
        <v>41</v>
      </c>
      <c r="J883" t="s">
        <v>45</v>
      </c>
      <c r="K883" t="s">
        <v>62</v>
      </c>
      <c r="L883">
        <v>1.5</v>
      </c>
      <c r="M883">
        <v>1</v>
      </c>
      <c r="N883" t="s">
        <v>69</v>
      </c>
      <c r="O883" t="s">
        <v>33</v>
      </c>
      <c r="P883" t="b">
        <v>0</v>
      </c>
      <c r="Q883" t="b">
        <v>0</v>
      </c>
      <c r="R883" t="b">
        <v>0</v>
      </c>
      <c r="S883" t="b">
        <v>1</v>
      </c>
      <c r="T883" t="b">
        <v>0</v>
      </c>
      <c r="U883">
        <v>1.1000000000000001</v>
      </c>
      <c r="V883">
        <v>7.2</v>
      </c>
      <c r="W883">
        <v>5</v>
      </c>
      <c r="X883">
        <v>8.8000000000000007</v>
      </c>
      <c r="Y883">
        <v>104.88</v>
      </c>
      <c r="Z883">
        <v>3</v>
      </c>
      <c r="AA883" t="s">
        <v>46</v>
      </c>
    </row>
    <row r="884" spans="1:27" x14ac:dyDescent="0.3">
      <c r="A884" t="s">
        <v>975</v>
      </c>
      <c r="B884">
        <v>25</v>
      </c>
      <c r="C884" t="s">
        <v>53</v>
      </c>
      <c r="D884">
        <v>1.9</v>
      </c>
      <c r="E884" t="s">
        <v>82</v>
      </c>
      <c r="F884" t="s">
        <v>83</v>
      </c>
      <c r="G884" t="s">
        <v>50</v>
      </c>
      <c r="H884">
        <v>8.5</v>
      </c>
      <c r="I884" t="s">
        <v>43</v>
      </c>
      <c r="J884" t="s">
        <v>74</v>
      </c>
      <c r="K884" t="s">
        <v>43</v>
      </c>
      <c r="M884">
        <v>3</v>
      </c>
      <c r="N884" t="s">
        <v>105</v>
      </c>
      <c r="O884" t="s">
        <v>36</v>
      </c>
      <c r="P884" t="b">
        <v>0</v>
      </c>
      <c r="Q884" t="b">
        <v>0</v>
      </c>
      <c r="R884" t="b">
        <v>0</v>
      </c>
      <c r="S884" t="b">
        <v>0</v>
      </c>
      <c r="T884" t="b">
        <v>0</v>
      </c>
      <c r="U884">
        <v>1.2</v>
      </c>
      <c r="V884">
        <v>7.5</v>
      </c>
      <c r="W884">
        <v>1</v>
      </c>
      <c r="X884">
        <v>13.4</v>
      </c>
      <c r="Y884">
        <v>19.61</v>
      </c>
      <c r="Z884">
        <v>1</v>
      </c>
      <c r="AA884" t="s">
        <v>46</v>
      </c>
    </row>
    <row r="885" spans="1:27" x14ac:dyDescent="0.3">
      <c r="A885" t="s">
        <v>976</v>
      </c>
      <c r="B885">
        <v>25</v>
      </c>
      <c r="C885" t="s">
        <v>53</v>
      </c>
      <c r="D885">
        <v>4.9000000000000004</v>
      </c>
      <c r="E885" t="s">
        <v>39</v>
      </c>
      <c r="F885" t="s">
        <v>40</v>
      </c>
      <c r="G885" t="s">
        <v>71</v>
      </c>
      <c r="H885">
        <v>6.9</v>
      </c>
      <c r="I885" t="s">
        <v>51</v>
      </c>
      <c r="J885" t="s">
        <v>74</v>
      </c>
      <c r="K885" t="s">
        <v>43</v>
      </c>
      <c r="M885">
        <v>10</v>
      </c>
      <c r="N885" t="s">
        <v>63</v>
      </c>
      <c r="O885" t="s">
        <v>33</v>
      </c>
      <c r="P885" t="b">
        <v>0</v>
      </c>
      <c r="Q885" t="b">
        <v>0</v>
      </c>
      <c r="R885" t="b">
        <v>0</v>
      </c>
      <c r="S885" t="b">
        <v>0</v>
      </c>
      <c r="T885" t="b">
        <v>0</v>
      </c>
      <c r="U885">
        <v>2.1</v>
      </c>
      <c r="V885">
        <v>6.3</v>
      </c>
      <c r="W885">
        <v>5</v>
      </c>
      <c r="X885">
        <v>7.5</v>
      </c>
      <c r="Y885">
        <v>109.21</v>
      </c>
      <c r="Z885">
        <v>1</v>
      </c>
      <c r="AA885" t="s">
        <v>46</v>
      </c>
    </row>
    <row r="886" spans="1:27" x14ac:dyDescent="0.3">
      <c r="A886" t="s">
        <v>977</v>
      </c>
      <c r="B886">
        <v>21</v>
      </c>
      <c r="C886" t="s">
        <v>28</v>
      </c>
      <c r="D886">
        <v>2.6</v>
      </c>
      <c r="E886" t="s">
        <v>76</v>
      </c>
      <c r="F886" t="s">
        <v>126</v>
      </c>
      <c r="G886" t="s">
        <v>50</v>
      </c>
      <c r="H886">
        <v>7.2</v>
      </c>
      <c r="I886" t="s">
        <v>41</v>
      </c>
      <c r="J886" t="s">
        <v>45</v>
      </c>
      <c r="K886" t="s">
        <v>43</v>
      </c>
      <c r="L886">
        <v>2.2200000000000002</v>
      </c>
      <c r="M886">
        <v>4</v>
      </c>
      <c r="N886" t="s">
        <v>66</v>
      </c>
      <c r="O886" t="s">
        <v>42</v>
      </c>
      <c r="P886" t="b">
        <v>0</v>
      </c>
      <c r="Q886" t="b">
        <v>0</v>
      </c>
      <c r="R886" t="b">
        <v>0</v>
      </c>
      <c r="S886" t="b">
        <v>0</v>
      </c>
      <c r="T886" t="b">
        <v>0</v>
      </c>
      <c r="U886">
        <v>1.4</v>
      </c>
      <c r="V886">
        <v>7.8</v>
      </c>
      <c r="W886">
        <v>1</v>
      </c>
      <c r="X886">
        <v>13.6</v>
      </c>
      <c r="Y886">
        <v>35.729999999999997</v>
      </c>
      <c r="Z886">
        <v>8</v>
      </c>
      <c r="AA886" t="s">
        <v>46</v>
      </c>
    </row>
    <row r="887" spans="1:27" x14ac:dyDescent="0.3">
      <c r="A887" t="s">
        <v>978</v>
      </c>
      <c r="B887">
        <v>17</v>
      </c>
      <c r="C887" t="s">
        <v>28</v>
      </c>
      <c r="D887">
        <v>1</v>
      </c>
      <c r="E887" t="s">
        <v>82</v>
      </c>
      <c r="F887" t="s">
        <v>167</v>
      </c>
      <c r="G887" t="s">
        <v>31</v>
      </c>
      <c r="H887">
        <v>8.1999999999999993</v>
      </c>
      <c r="I887" t="s">
        <v>43</v>
      </c>
      <c r="J887" t="s">
        <v>33</v>
      </c>
      <c r="K887" t="s">
        <v>51</v>
      </c>
      <c r="L887">
        <v>3.18</v>
      </c>
      <c r="N887" t="s">
        <v>121</v>
      </c>
      <c r="O887" t="s">
        <v>42</v>
      </c>
      <c r="P887" t="b">
        <v>0</v>
      </c>
      <c r="Q887" t="b">
        <v>0</v>
      </c>
      <c r="R887" t="b">
        <v>0</v>
      </c>
      <c r="S887" t="b">
        <v>0</v>
      </c>
      <c r="T887" t="b">
        <v>0</v>
      </c>
      <c r="U887">
        <v>0.4</v>
      </c>
      <c r="V887">
        <v>11.3</v>
      </c>
      <c r="W887">
        <v>1</v>
      </c>
      <c r="X887">
        <v>15.7</v>
      </c>
      <c r="Y887">
        <v>42.85</v>
      </c>
      <c r="Z887">
        <v>6</v>
      </c>
      <c r="AA887" t="s">
        <v>46</v>
      </c>
    </row>
    <row r="888" spans="1:27" x14ac:dyDescent="0.3">
      <c r="A888" t="s">
        <v>979</v>
      </c>
      <c r="B888">
        <v>19</v>
      </c>
      <c r="C888" t="s">
        <v>53</v>
      </c>
      <c r="D888">
        <v>3.9</v>
      </c>
      <c r="E888" t="s">
        <v>29</v>
      </c>
      <c r="F888" t="s">
        <v>73</v>
      </c>
      <c r="G888" t="s">
        <v>31</v>
      </c>
      <c r="H888">
        <v>5.9</v>
      </c>
      <c r="I888" t="s">
        <v>51</v>
      </c>
      <c r="J888" t="s">
        <v>74</v>
      </c>
      <c r="K888" t="s">
        <v>34</v>
      </c>
      <c r="L888">
        <v>3.15</v>
      </c>
      <c r="M888">
        <v>7</v>
      </c>
      <c r="N888" t="s">
        <v>105</v>
      </c>
      <c r="O888" t="s">
        <v>57</v>
      </c>
      <c r="P888" t="b">
        <v>0</v>
      </c>
      <c r="Q888" t="b">
        <v>0</v>
      </c>
      <c r="R888" t="b">
        <v>0</v>
      </c>
      <c r="S888" t="b">
        <v>0</v>
      </c>
      <c r="T888" t="b">
        <v>0</v>
      </c>
      <c r="U888">
        <v>0.1</v>
      </c>
      <c r="V888">
        <v>6.3</v>
      </c>
      <c r="W888">
        <v>1</v>
      </c>
      <c r="X888">
        <v>9.4</v>
      </c>
      <c r="Y888">
        <v>29.14</v>
      </c>
      <c r="Z888">
        <v>1</v>
      </c>
      <c r="AA888" t="s">
        <v>46</v>
      </c>
    </row>
    <row r="889" spans="1:27" x14ac:dyDescent="0.3">
      <c r="A889" t="s">
        <v>980</v>
      </c>
      <c r="B889">
        <v>19</v>
      </c>
      <c r="C889" t="s">
        <v>28</v>
      </c>
      <c r="D889">
        <v>6.4</v>
      </c>
      <c r="E889" t="s">
        <v>76</v>
      </c>
      <c r="F889" t="s">
        <v>110</v>
      </c>
      <c r="G889" t="s">
        <v>71</v>
      </c>
      <c r="H889">
        <v>5.6</v>
      </c>
      <c r="I889" t="s">
        <v>41</v>
      </c>
      <c r="J889" t="s">
        <v>36</v>
      </c>
      <c r="K889" t="s">
        <v>62</v>
      </c>
      <c r="L889">
        <v>1.88</v>
      </c>
      <c r="M889">
        <v>10</v>
      </c>
      <c r="N889" t="s">
        <v>105</v>
      </c>
      <c r="O889" t="s">
        <v>45</v>
      </c>
      <c r="P889" t="b">
        <v>0</v>
      </c>
      <c r="Q889" t="b">
        <v>1</v>
      </c>
      <c r="R889" t="b">
        <v>0</v>
      </c>
      <c r="S889" t="b">
        <v>1</v>
      </c>
      <c r="T889" t="b">
        <v>1</v>
      </c>
      <c r="U889">
        <v>1.3</v>
      </c>
      <c r="V889">
        <v>6</v>
      </c>
      <c r="W889">
        <v>4</v>
      </c>
      <c r="X889">
        <v>8</v>
      </c>
      <c r="Y889">
        <v>126.52</v>
      </c>
      <c r="Z889">
        <v>7</v>
      </c>
      <c r="AA889" t="s">
        <v>64</v>
      </c>
    </row>
    <row r="890" spans="1:27" x14ac:dyDescent="0.3">
      <c r="A890" t="s">
        <v>981</v>
      </c>
      <c r="B890">
        <v>15</v>
      </c>
      <c r="C890" t="s">
        <v>53</v>
      </c>
      <c r="D890">
        <v>9.5</v>
      </c>
      <c r="E890" t="s">
        <v>82</v>
      </c>
      <c r="F890" t="s">
        <v>167</v>
      </c>
      <c r="G890" t="s">
        <v>71</v>
      </c>
      <c r="H890">
        <v>4.4000000000000004</v>
      </c>
      <c r="I890" t="s">
        <v>51</v>
      </c>
      <c r="J890" t="s">
        <v>42</v>
      </c>
      <c r="K890" t="s">
        <v>43</v>
      </c>
      <c r="L890">
        <v>1.61</v>
      </c>
      <c r="N890" t="s">
        <v>44</v>
      </c>
      <c r="O890" t="s">
        <v>36</v>
      </c>
      <c r="P890" t="b">
        <v>0</v>
      </c>
      <c r="Q890" t="b">
        <v>0</v>
      </c>
      <c r="R890" t="b">
        <v>0</v>
      </c>
      <c r="S890" t="b">
        <v>1</v>
      </c>
      <c r="T890" t="b">
        <v>1</v>
      </c>
      <c r="U890">
        <v>2.9</v>
      </c>
      <c r="V890">
        <v>4.7</v>
      </c>
      <c r="W890">
        <v>6</v>
      </c>
      <c r="X890">
        <v>2.9</v>
      </c>
      <c r="Y890">
        <v>133.69</v>
      </c>
      <c r="Z890">
        <v>5</v>
      </c>
      <c r="AA890" t="s">
        <v>64</v>
      </c>
    </row>
    <row r="891" spans="1:27" x14ac:dyDescent="0.3">
      <c r="A891" t="s">
        <v>982</v>
      </c>
      <c r="B891">
        <v>20</v>
      </c>
      <c r="C891" t="s">
        <v>152</v>
      </c>
      <c r="D891">
        <v>7.4</v>
      </c>
      <c r="E891" t="s">
        <v>82</v>
      </c>
      <c r="F891" t="s">
        <v>167</v>
      </c>
      <c r="G891" t="s">
        <v>71</v>
      </c>
      <c r="H891">
        <v>5.6</v>
      </c>
      <c r="I891" t="s">
        <v>78</v>
      </c>
      <c r="J891" t="s">
        <v>36</v>
      </c>
      <c r="K891" t="s">
        <v>34</v>
      </c>
      <c r="L891">
        <v>2.5499999999999998</v>
      </c>
      <c r="M891">
        <v>1</v>
      </c>
      <c r="N891" t="s">
        <v>63</v>
      </c>
      <c r="O891" t="s">
        <v>33</v>
      </c>
      <c r="P891" t="b">
        <v>1</v>
      </c>
      <c r="Q891" t="b">
        <v>1</v>
      </c>
      <c r="R891" t="b">
        <v>0</v>
      </c>
      <c r="S891" t="b">
        <v>1</v>
      </c>
      <c r="T891" t="b">
        <v>1</v>
      </c>
      <c r="U891">
        <v>1.1000000000000001</v>
      </c>
      <c r="V891">
        <v>6.8</v>
      </c>
      <c r="W891">
        <v>4</v>
      </c>
      <c r="X891">
        <v>5.2</v>
      </c>
      <c r="Y891">
        <v>101.34</v>
      </c>
      <c r="Z891">
        <v>9</v>
      </c>
      <c r="AA891" t="s">
        <v>58</v>
      </c>
    </row>
    <row r="892" spans="1:27" x14ac:dyDescent="0.3">
      <c r="A892" t="s">
        <v>983</v>
      </c>
      <c r="B892">
        <v>25</v>
      </c>
      <c r="C892" t="s">
        <v>53</v>
      </c>
      <c r="D892">
        <v>6.1</v>
      </c>
      <c r="E892" t="s">
        <v>60</v>
      </c>
      <c r="F892" t="s">
        <v>61</v>
      </c>
      <c r="G892" t="s">
        <v>31</v>
      </c>
      <c r="H892">
        <v>6.4</v>
      </c>
      <c r="I892" t="s">
        <v>41</v>
      </c>
      <c r="J892" t="s">
        <v>42</v>
      </c>
      <c r="K892" t="s">
        <v>84</v>
      </c>
      <c r="M892">
        <v>7</v>
      </c>
      <c r="N892" t="s">
        <v>80</v>
      </c>
      <c r="O892" t="s">
        <v>45</v>
      </c>
      <c r="P892" t="b">
        <v>0</v>
      </c>
      <c r="Q892" t="b">
        <v>0</v>
      </c>
      <c r="R892" t="b">
        <v>0</v>
      </c>
      <c r="S892" t="b">
        <v>1</v>
      </c>
      <c r="T892" t="b">
        <v>0</v>
      </c>
      <c r="U892">
        <v>3.3</v>
      </c>
      <c r="V892">
        <v>5.6</v>
      </c>
      <c r="W892">
        <v>5</v>
      </c>
      <c r="X892">
        <v>8.1</v>
      </c>
      <c r="Y892">
        <v>67.489999999999995</v>
      </c>
      <c r="Z892">
        <v>4</v>
      </c>
      <c r="AA892" t="s">
        <v>46</v>
      </c>
    </row>
    <row r="893" spans="1:27" x14ac:dyDescent="0.3">
      <c r="A893" t="s">
        <v>984</v>
      </c>
      <c r="B893">
        <v>28</v>
      </c>
      <c r="C893" t="s">
        <v>28</v>
      </c>
      <c r="D893">
        <v>5.4</v>
      </c>
      <c r="E893" t="s">
        <v>82</v>
      </c>
      <c r="F893" t="s">
        <v>134</v>
      </c>
      <c r="G893" t="s">
        <v>86</v>
      </c>
      <c r="H893">
        <v>6.4</v>
      </c>
      <c r="I893" t="s">
        <v>51</v>
      </c>
      <c r="J893" t="s">
        <v>42</v>
      </c>
      <c r="K893" t="s">
        <v>43</v>
      </c>
      <c r="M893">
        <v>2</v>
      </c>
      <c r="N893" t="s">
        <v>44</v>
      </c>
      <c r="O893" t="s">
        <v>36</v>
      </c>
      <c r="P893" t="b">
        <v>0</v>
      </c>
      <c r="Q893" t="b">
        <v>0</v>
      </c>
      <c r="R893" t="b">
        <v>0</v>
      </c>
      <c r="S893" t="b">
        <v>0</v>
      </c>
      <c r="T893" t="b">
        <v>0</v>
      </c>
      <c r="U893">
        <v>1.2</v>
      </c>
      <c r="V893">
        <v>8.3000000000000007</v>
      </c>
      <c r="W893">
        <v>6</v>
      </c>
      <c r="X893">
        <v>11.2</v>
      </c>
      <c r="Y893">
        <v>49.34</v>
      </c>
      <c r="Z893">
        <v>18</v>
      </c>
      <c r="AA893" t="s">
        <v>46</v>
      </c>
    </row>
    <row r="894" spans="1:27" x14ac:dyDescent="0.3">
      <c r="A894" t="s">
        <v>985</v>
      </c>
      <c r="B894">
        <v>17</v>
      </c>
      <c r="C894" t="s">
        <v>28</v>
      </c>
      <c r="D894">
        <v>7.2</v>
      </c>
      <c r="E894" t="s">
        <v>82</v>
      </c>
      <c r="F894" t="s">
        <v>167</v>
      </c>
      <c r="G894" t="s">
        <v>31</v>
      </c>
      <c r="H894">
        <v>4.5999999999999996</v>
      </c>
      <c r="I894" t="s">
        <v>32</v>
      </c>
      <c r="J894" t="s">
        <v>42</v>
      </c>
      <c r="K894" t="s">
        <v>51</v>
      </c>
      <c r="L894">
        <v>1.4</v>
      </c>
      <c r="N894" t="s">
        <v>35</v>
      </c>
      <c r="O894" t="s">
        <v>45</v>
      </c>
      <c r="P894" t="b">
        <v>1</v>
      </c>
      <c r="Q894" t="b">
        <v>0</v>
      </c>
      <c r="R894" t="b">
        <v>0</v>
      </c>
      <c r="S894" t="b">
        <v>0</v>
      </c>
      <c r="T894" t="b">
        <v>0</v>
      </c>
      <c r="U894">
        <v>3.1</v>
      </c>
      <c r="V894">
        <v>6.2</v>
      </c>
      <c r="W894">
        <v>3</v>
      </c>
      <c r="X894">
        <v>4.4000000000000004</v>
      </c>
      <c r="Y894">
        <v>59.25</v>
      </c>
      <c r="Z894">
        <v>4</v>
      </c>
      <c r="AA894" t="s">
        <v>64</v>
      </c>
    </row>
    <row r="895" spans="1:27" x14ac:dyDescent="0.3">
      <c r="A895" t="s">
        <v>986</v>
      </c>
      <c r="B895">
        <v>21</v>
      </c>
      <c r="C895" t="s">
        <v>28</v>
      </c>
      <c r="D895">
        <v>1.7</v>
      </c>
      <c r="E895" t="s">
        <v>76</v>
      </c>
      <c r="F895" t="s">
        <v>110</v>
      </c>
      <c r="G895" t="s">
        <v>86</v>
      </c>
      <c r="H895">
        <v>8.3000000000000007</v>
      </c>
      <c r="I895" t="s">
        <v>51</v>
      </c>
      <c r="J895" t="s">
        <v>42</v>
      </c>
      <c r="K895" t="s">
        <v>34</v>
      </c>
      <c r="L895">
        <v>1.44</v>
      </c>
      <c r="M895">
        <v>9</v>
      </c>
      <c r="N895" t="s">
        <v>66</v>
      </c>
      <c r="O895" t="s">
        <v>42</v>
      </c>
      <c r="P895" t="b">
        <v>0</v>
      </c>
      <c r="Q895" t="b">
        <v>0</v>
      </c>
      <c r="R895" t="b">
        <v>0</v>
      </c>
      <c r="S895" t="b">
        <v>0</v>
      </c>
      <c r="T895" t="b">
        <v>0</v>
      </c>
      <c r="U895">
        <v>0.1</v>
      </c>
      <c r="V895">
        <v>8.8000000000000007</v>
      </c>
      <c r="W895">
        <v>1</v>
      </c>
      <c r="X895">
        <v>13.7</v>
      </c>
      <c r="Y895">
        <v>0.8</v>
      </c>
      <c r="Z895">
        <v>9</v>
      </c>
      <c r="AA895" t="s">
        <v>46</v>
      </c>
    </row>
    <row r="896" spans="1:27" x14ac:dyDescent="0.3">
      <c r="A896" t="s">
        <v>987</v>
      </c>
      <c r="B896">
        <v>20</v>
      </c>
      <c r="C896" t="s">
        <v>28</v>
      </c>
      <c r="D896">
        <v>9.5</v>
      </c>
      <c r="E896" t="s">
        <v>48</v>
      </c>
      <c r="F896" t="s">
        <v>68</v>
      </c>
      <c r="G896" t="s">
        <v>31</v>
      </c>
      <c r="H896">
        <v>5.4</v>
      </c>
      <c r="I896" t="s">
        <v>51</v>
      </c>
      <c r="J896" t="s">
        <v>74</v>
      </c>
      <c r="K896" t="s">
        <v>51</v>
      </c>
      <c r="L896">
        <v>2.79</v>
      </c>
      <c r="M896">
        <v>2</v>
      </c>
      <c r="N896" t="s">
        <v>35</v>
      </c>
      <c r="O896" t="s">
        <v>57</v>
      </c>
      <c r="P896" t="b">
        <v>0</v>
      </c>
      <c r="Q896" t="b">
        <v>1</v>
      </c>
      <c r="R896" t="b">
        <v>1</v>
      </c>
      <c r="S896" t="b">
        <v>1</v>
      </c>
      <c r="T896" t="b">
        <v>0</v>
      </c>
      <c r="U896">
        <v>2.2999999999999998</v>
      </c>
      <c r="V896">
        <v>7.5</v>
      </c>
      <c r="W896">
        <v>6</v>
      </c>
      <c r="X896">
        <v>2.5</v>
      </c>
      <c r="Y896">
        <v>72.16</v>
      </c>
      <c r="Z896">
        <v>7</v>
      </c>
      <c r="AA896" t="s">
        <v>37</v>
      </c>
    </row>
    <row r="897" spans="1:27" x14ac:dyDescent="0.3">
      <c r="A897" t="s">
        <v>988</v>
      </c>
      <c r="B897">
        <v>30</v>
      </c>
      <c r="C897" t="s">
        <v>28</v>
      </c>
      <c r="D897">
        <v>14.7</v>
      </c>
      <c r="E897" t="s">
        <v>48</v>
      </c>
      <c r="F897" t="s">
        <v>68</v>
      </c>
      <c r="G897" t="s">
        <v>71</v>
      </c>
      <c r="H897">
        <v>4.2</v>
      </c>
      <c r="I897" t="s">
        <v>51</v>
      </c>
      <c r="J897" t="s">
        <v>33</v>
      </c>
      <c r="K897" t="s">
        <v>129</v>
      </c>
      <c r="M897">
        <v>5</v>
      </c>
      <c r="N897" t="s">
        <v>63</v>
      </c>
      <c r="O897" t="s">
        <v>57</v>
      </c>
      <c r="P897" t="b">
        <v>0</v>
      </c>
      <c r="Q897" t="b">
        <v>1</v>
      </c>
      <c r="R897" t="b">
        <v>1</v>
      </c>
      <c r="S897" t="b">
        <v>0</v>
      </c>
      <c r="T897" t="b">
        <v>1</v>
      </c>
      <c r="U897">
        <v>5</v>
      </c>
      <c r="V897">
        <v>2.4</v>
      </c>
      <c r="W897">
        <v>10</v>
      </c>
      <c r="X897">
        <v>0</v>
      </c>
      <c r="Y897">
        <v>380.97</v>
      </c>
      <c r="Z897">
        <v>19</v>
      </c>
      <c r="AA897" t="s">
        <v>37</v>
      </c>
    </row>
    <row r="898" spans="1:27" x14ac:dyDescent="0.3">
      <c r="A898" t="s">
        <v>989</v>
      </c>
      <c r="B898">
        <v>22</v>
      </c>
      <c r="C898" t="s">
        <v>152</v>
      </c>
      <c r="D898">
        <v>5.8</v>
      </c>
      <c r="E898" t="s">
        <v>39</v>
      </c>
      <c r="F898" t="s">
        <v>120</v>
      </c>
      <c r="G898" t="s">
        <v>71</v>
      </c>
      <c r="H898">
        <v>6.5</v>
      </c>
      <c r="I898" t="s">
        <v>41</v>
      </c>
      <c r="J898" t="s">
        <v>36</v>
      </c>
      <c r="K898" t="s">
        <v>43</v>
      </c>
      <c r="L898">
        <v>1.1299999999999999</v>
      </c>
      <c r="M898">
        <v>9</v>
      </c>
      <c r="N898" t="s">
        <v>56</v>
      </c>
      <c r="O898" t="s">
        <v>33</v>
      </c>
      <c r="P898" t="b">
        <v>0</v>
      </c>
      <c r="Q898" t="b">
        <v>1</v>
      </c>
      <c r="R898" t="b">
        <v>0</v>
      </c>
      <c r="S898" t="b">
        <v>1</v>
      </c>
      <c r="T898" t="b">
        <v>0</v>
      </c>
      <c r="U898">
        <v>1.2</v>
      </c>
      <c r="V898">
        <v>7.7</v>
      </c>
      <c r="W898">
        <v>4</v>
      </c>
      <c r="X898">
        <v>9.6999999999999993</v>
      </c>
      <c r="Y898">
        <v>114.03</v>
      </c>
      <c r="Z898">
        <v>3</v>
      </c>
      <c r="AA898" t="s">
        <v>64</v>
      </c>
    </row>
    <row r="899" spans="1:27" x14ac:dyDescent="0.3">
      <c r="A899" t="s">
        <v>990</v>
      </c>
      <c r="B899">
        <v>24</v>
      </c>
      <c r="C899" t="s">
        <v>28</v>
      </c>
      <c r="D899">
        <v>1.9</v>
      </c>
      <c r="E899" t="s">
        <v>82</v>
      </c>
      <c r="F899" t="s">
        <v>167</v>
      </c>
      <c r="G899" t="s">
        <v>86</v>
      </c>
      <c r="H899">
        <v>7.2</v>
      </c>
      <c r="I899" t="s">
        <v>43</v>
      </c>
      <c r="J899" t="s">
        <v>45</v>
      </c>
      <c r="K899" t="s">
        <v>43</v>
      </c>
      <c r="M899">
        <v>6</v>
      </c>
      <c r="N899" t="s">
        <v>66</v>
      </c>
      <c r="O899" t="s">
        <v>42</v>
      </c>
      <c r="P899" t="b">
        <v>0</v>
      </c>
      <c r="Q899" t="b">
        <v>0</v>
      </c>
      <c r="R899" t="b">
        <v>0</v>
      </c>
      <c r="S899" t="b">
        <v>0</v>
      </c>
      <c r="T899" t="b">
        <v>0</v>
      </c>
      <c r="U899">
        <v>0.1</v>
      </c>
      <c r="V899">
        <v>10.9</v>
      </c>
      <c r="W899">
        <v>2</v>
      </c>
      <c r="X899">
        <v>13.5</v>
      </c>
      <c r="Y899">
        <v>5.62</v>
      </c>
      <c r="Z899">
        <v>12</v>
      </c>
      <c r="AA899" t="s">
        <v>46</v>
      </c>
    </row>
    <row r="900" spans="1:27" x14ac:dyDescent="0.3">
      <c r="A900" t="s">
        <v>991</v>
      </c>
      <c r="B900">
        <v>22</v>
      </c>
      <c r="C900" t="s">
        <v>28</v>
      </c>
      <c r="D900">
        <v>4.3</v>
      </c>
      <c r="E900" t="s">
        <v>29</v>
      </c>
      <c r="F900" t="s">
        <v>104</v>
      </c>
      <c r="G900" t="s">
        <v>50</v>
      </c>
      <c r="H900">
        <v>5.2</v>
      </c>
      <c r="I900" t="s">
        <v>43</v>
      </c>
      <c r="J900" t="s">
        <v>33</v>
      </c>
      <c r="K900" t="s">
        <v>84</v>
      </c>
      <c r="L900">
        <v>2.4700000000000002</v>
      </c>
      <c r="M900">
        <v>9</v>
      </c>
      <c r="N900" t="s">
        <v>66</v>
      </c>
      <c r="O900" t="s">
        <v>57</v>
      </c>
      <c r="P900" t="b">
        <v>0</v>
      </c>
      <c r="Q900" t="b">
        <v>0</v>
      </c>
      <c r="R900" t="b">
        <v>0</v>
      </c>
      <c r="S900" t="b">
        <v>0</v>
      </c>
      <c r="T900" t="b">
        <v>0</v>
      </c>
      <c r="U900">
        <v>1.2</v>
      </c>
      <c r="V900">
        <v>7.9</v>
      </c>
      <c r="W900">
        <v>1</v>
      </c>
      <c r="X900">
        <v>12.5</v>
      </c>
      <c r="Y900">
        <v>33.26</v>
      </c>
      <c r="Z900">
        <v>5</v>
      </c>
      <c r="AA900" t="s">
        <v>46</v>
      </c>
    </row>
    <row r="901" spans="1:27" x14ac:dyDescent="0.3">
      <c r="A901" t="s">
        <v>992</v>
      </c>
      <c r="B901">
        <v>15</v>
      </c>
      <c r="C901" t="s">
        <v>28</v>
      </c>
      <c r="D901">
        <v>6.6</v>
      </c>
      <c r="E901" t="s">
        <v>54</v>
      </c>
      <c r="F901" t="s">
        <v>89</v>
      </c>
      <c r="G901" t="s">
        <v>71</v>
      </c>
      <c r="H901">
        <v>4.0999999999999996</v>
      </c>
      <c r="I901" t="s">
        <v>51</v>
      </c>
      <c r="J901" t="s">
        <v>36</v>
      </c>
      <c r="K901" t="s">
        <v>129</v>
      </c>
      <c r="L901">
        <v>1.3</v>
      </c>
      <c r="N901" t="s">
        <v>35</v>
      </c>
      <c r="O901" t="s">
        <v>33</v>
      </c>
      <c r="P901" t="b">
        <v>0</v>
      </c>
      <c r="Q901" t="b">
        <v>1</v>
      </c>
      <c r="R901" t="b">
        <v>0</v>
      </c>
      <c r="S901" t="b">
        <v>1</v>
      </c>
      <c r="T901" t="b">
        <v>0</v>
      </c>
      <c r="U901">
        <v>3.7</v>
      </c>
      <c r="V901">
        <v>5.9</v>
      </c>
      <c r="W901">
        <v>4</v>
      </c>
      <c r="X901">
        <v>7.6</v>
      </c>
      <c r="Y901">
        <v>92.99</v>
      </c>
      <c r="Z901">
        <v>5</v>
      </c>
      <c r="AA901" t="s">
        <v>64</v>
      </c>
    </row>
    <row r="902" spans="1:27" x14ac:dyDescent="0.3">
      <c r="A902" t="s">
        <v>993</v>
      </c>
      <c r="B902">
        <v>21</v>
      </c>
      <c r="C902" t="s">
        <v>28</v>
      </c>
      <c r="D902">
        <v>6.3</v>
      </c>
      <c r="E902" t="s">
        <v>76</v>
      </c>
      <c r="F902" t="s">
        <v>77</v>
      </c>
      <c r="G902" t="s">
        <v>31</v>
      </c>
      <c r="H902">
        <v>5.0999999999999996</v>
      </c>
      <c r="I902" t="s">
        <v>51</v>
      </c>
      <c r="J902" t="s">
        <v>74</v>
      </c>
      <c r="K902" t="s">
        <v>43</v>
      </c>
      <c r="L902">
        <v>2.0099999999999998</v>
      </c>
      <c r="M902">
        <v>6</v>
      </c>
      <c r="N902" t="s">
        <v>44</v>
      </c>
      <c r="O902" t="s">
        <v>33</v>
      </c>
      <c r="P902" t="b">
        <v>0</v>
      </c>
      <c r="Q902" t="b">
        <v>1</v>
      </c>
      <c r="R902" t="b">
        <v>0</v>
      </c>
      <c r="S902" t="b">
        <v>1</v>
      </c>
      <c r="T902" t="b">
        <v>1</v>
      </c>
      <c r="U902">
        <v>1.6</v>
      </c>
      <c r="V902">
        <v>7</v>
      </c>
      <c r="W902">
        <v>3</v>
      </c>
      <c r="X902">
        <v>5.3</v>
      </c>
      <c r="Y902">
        <v>14.97</v>
      </c>
      <c r="Z902">
        <v>5</v>
      </c>
      <c r="AA902" t="s">
        <v>64</v>
      </c>
    </row>
    <row r="903" spans="1:27" x14ac:dyDescent="0.3">
      <c r="A903" t="s">
        <v>994</v>
      </c>
      <c r="B903">
        <v>17</v>
      </c>
      <c r="C903" t="s">
        <v>28</v>
      </c>
      <c r="D903">
        <v>2.8</v>
      </c>
      <c r="E903" t="s">
        <v>29</v>
      </c>
      <c r="F903" t="s">
        <v>73</v>
      </c>
      <c r="G903" t="s">
        <v>31</v>
      </c>
      <c r="H903">
        <v>7.2</v>
      </c>
      <c r="I903" t="s">
        <v>43</v>
      </c>
      <c r="J903" t="s">
        <v>42</v>
      </c>
      <c r="K903" t="s">
        <v>43</v>
      </c>
      <c r="L903">
        <v>3.36</v>
      </c>
      <c r="N903" t="s">
        <v>69</v>
      </c>
      <c r="O903" t="s">
        <v>33</v>
      </c>
      <c r="P903" t="b">
        <v>0</v>
      </c>
      <c r="Q903" t="b">
        <v>0</v>
      </c>
      <c r="R903" t="b">
        <v>0</v>
      </c>
      <c r="S903" t="b">
        <v>0</v>
      </c>
      <c r="T903" t="b">
        <v>0</v>
      </c>
      <c r="U903">
        <v>0.6</v>
      </c>
      <c r="V903">
        <v>10.199999999999999</v>
      </c>
      <c r="W903">
        <v>2</v>
      </c>
      <c r="X903">
        <v>10.5</v>
      </c>
      <c r="Y903">
        <v>49.53</v>
      </c>
      <c r="Z903">
        <v>5</v>
      </c>
      <c r="AA903" t="s">
        <v>46</v>
      </c>
    </row>
    <row r="904" spans="1:27" x14ac:dyDescent="0.3">
      <c r="A904" t="s">
        <v>995</v>
      </c>
      <c r="B904">
        <v>15</v>
      </c>
      <c r="C904" t="s">
        <v>28</v>
      </c>
      <c r="D904">
        <v>8.1</v>
      </c>
      <c r="E904" t="s">
        <v>39</v>
      </c>
      <c r="F904" t="s">
        <v>40</v>
      </c>
      <c r="G904" t="s">
        <v>50</v>
      </c>
      <c r="H904">
        <v>4.9000000000000004</v>
      </c>
      <c r="I904" t="s">
        <v>32</v>
      </c>
      <c r="J904" t="s">
        <v>45</v>
      </c>
      <c r="K904" t="s">
        <v>62</v>
      </c>
      <c r="L904">
        <v>2.72</v>
      </c>
      <c r="N904" t="s">
        <v>63</v>
      </c>
      <c r="O904" t="s">
        <v>57</v>
      </c>
      <c r="P904" t="b">
        <v>0</v>
      </c>
      <c r="Q904" t="b">
        <v>1</v>
      </c>
      <c r="R904" t="b">
        <v>1</v>
      </c>
      <c r="S904" t="b">
        <v>1</v>
      </c>
      <c r="T904" t="b">
        <v>0</v>
      </c>
      <c r="U904">
        <v>1.2</v>
      </c>
      <c r="V904">
        <v>6.4</v>
      </c>
      <c r="W904">
        <v>4</v>
      </c>
      <c r="X904">
        <v>6.6</v>
      </c>
      <c r="Y904">
        <v>60.41</v>
      </c>
      <c r="Z904">
        <v>3</v>
      </c>
      <c r="AA904" t="s">
        <v>58</v>
      </c>
    </row>
    <row r="905" spans="1:27" x14ac:dyDescent="0.3">
      <c r="A905" t="s">
        <v>996</v>
      </c>
      <c r="B905">
        <v>27</v>
      </c>
      <c r="C905" t="s">
        <v>28</v>
      </c>
      <c r="D905">
        <v>6.6</v>
      </c>
      <c r="E905" t="s">
        <v>29</v>
      </c>
      <c r="F905" t="s">
        <v>104</v>
      </c>
      <c r="G905" t="s">
        <v>71</v>
      </c>
      <c r="H905">
        <v>5.0999999999999996</v>
      </c>
      <c r="I905" t="s">
        <v>51</v>
      </c>
      <c r="J905" t="s">
        <v>33</v>
      </c>
      <c r="K905" t="s">
        <v>51</v>
      </c>
      <c r="M905">
        <v>6</v>
      </c>
      <c r="N905" t="s">
        <v>35</v>
      </c>
      <c r="O905" t="s">
        <v>42</v>
      </c>
      <c r="P905" t="b">
        <v>1</v>
      </c>
      <c r="Q905" t="b">
        <v>0</v>
      </c>
      <c r="R905" t="b">
        <v>0</v>
      </c>
      <c r="S905" t="b">
        <v>1</v>
      </c>
      <c r="T905" t="b">
        <v>0</v>
      </c>
      <c r="U905">
        <v>2.5</v>
      </c>
      <c r="V905">
        <v>6.1</v>
      </c>
      <c r="W905">
        <v>5</v>
      </c>
      <c r="X905">
        <v>3.8</v>
      </c>
      <c r="Y905">
        <v>59.86</v>
      </c>
      <c r="Z905">
        <v>2</v>
      </c>
      <c r="AA905" t="s">
        <v>64</v>
      </c>
    </row>
    <row r="906" spans="1:27" x14ac:dyDescent="0.3">
      <c r="A906" t="s">
        <v>997</v>
      </c>
      <c r="B906">
        <v>21</v>
      </c>
      <c r="C906" t="s">
        <v>53</v>
      </c>
      <c r="D906">
        <v>5.8</v>
      </c>
      <c r="E906" t="s">
        <v>39</v>
      </c>
      <c r="F906" t="s">
        <v>93</v>
      </c>
      <c r="G906" t="s">
        <v>50</v>
      </c>
      <c r="H906">
        <v>6.2</v>
      </c>
      <c r="I906" t="s">
        <v>43</v>
      </c>
      <c r="J906" t="s">
        <v>42</v>
      </c>
      <c r="K906" t="s">
        <v>62</v>
      </c>
      <c r="L906">
        <v>3.39</v>
      </c>
      <c r="M906">
        <v>9</v>
      </c>
      <c r="N906" t="s">
        <v>105</v>
      </c>
      <c r="O906" t="s">
        <v>45</v>
      </c>
      <c r="P906" t="b">
        <v>0</v>
      </c>
      <c r="Q906" t="b">
        <v>1</v>
      </c>
      <c r="R906" t="b">
        <v>0</v>
      </c>
      <c r="S906" t="b">
        <v>1</v>
      </c>
      <c r="T906" t="b">
        <v>1</v>
      </c>
      <c r="U906">
        <v>4.4000000000000004</v>
      </c>
      <c r="V906">
        <v>5.8</v>
      </c>
      <c r="W906">
        <v>3</v>
      </c>
      <c r="X906">
        <v>6.2</v>
      </c>
      <c r="Y906">
        <v>107.95</v>
      </c>
      <c r="Z906">
        <v>10</v>
      </c>
      <c r="AA906" t="s">
        <v>64</v>
      </c>
    </row>
    <row r="907" spans="1:27" x14ac:dyDescent="0.3">
      <c r="A907" t="s">
        <v>998</v>
      </c>
      <c r="B907">
        <v>19</v>
      </c>
      <c r="C907" t="s">
        <v>28</v>
      </c>
      <c r="D907">
        <v>1.9</v>
      </c>
      <c r="E907" t="s">
        <v>48</v>
      </c>
      <c r="F907" t="s">
        <v>68</v>
      </c>
      <c r="G907" t="s">
        <v>50</v>
      </c>
      <c r="H907">
        <v>7.6</v>
      </c>
      <c r="I907" t="s">
        <v>43</v>
      </c>
      <c r="J907" t="s">
        <v>33</v>
      </c>
      <c r="K907" t="s">
        <v>84</v>
      </c>
      <c r="L907">
        <v>1.69</v>
      </c>
      <c r="M907">
        <v>9</v>
      </c>
      <c r="N907" t="s">
        <v>66</v>
      </c>
      <c r="O907" t="s">
        <v>42</v>
      </c>
      <c r="P907" t="b">
        <v>0</v>
      </c>
      <c r="Q907" t="b">
        <v>0</v>
      </c>
      <c r="R907" t="b">
        <v>0</v>
      </c>
      <c r="S907" t="b">
        <v>0</v>
      </c>
      <c r="T907" t="b">
        <v>0</v>
      </c>
      <c r="U907">
        <v>0.5</v>
      </c>
      <c r="V907">
        <v>10.5</v>
      </c>
      <c r="W907">
        <v>2</v>
      </c>
      <c r="X907">
        <v>10.199999999999999</v>
      </c>
      <c r="Y907">
        <v>16.989999999999998</v>
      </c>
      <c r="Z907">
        <v>4</v>
      </c>
      <c r="AA907" t="s">
        <v>46</v>
      </c>
    </row>
    <row r="908" spans="1:27" x14ac:dyDescent="0.3">
      <c r="A908" t="s">
        <v>999</v>
      </c>
      <c r="B908">
        <v>24</v>
      </c>
      <c r="C908" t="s">
        <v>53</v>
      </c>
      <c r="D908">
        <v>4.3</v>
      </c>
      <c r="E908" t="s">
        <v>39</v>
      </c>
      <c r="F908" t="s">
        <v>40</v>
      </c>
      <c r="G908" t="s">
        <v>71</v>
      </c>
      <c r="H908">
        <v>6.9</v>
      </c>
      <c r="I908" t="s">
        <v>43</v>
      </c>
      <c r="J908" t="s">
        <v>74</v>
      </c>
      <c r="K908" t="s">
        <v>84</v>
      </c>
      <c r="M908">
        <v>6</v>
      </c>
      <c r="N908" t="s">
        <v>35</v>
      </c>
      <c r="O908" t="s">
        <v>57</v>
      </c>
      <c r="P908" t="b">
        <v>0</v>
      </c>
      <c r="Q908" t="b">
        <v>0</v>
      </c>
      <c r="R908" t="b">
        <v>0</v>
      </c>
      <c r="S908" t="b">
        <v>0</v>
      </c>
      <c r="T908" t="b">
        <v>0</v>
      </c>
      <c r="U908">
        <v>0.9</v>
      </c>
      <c r="V908">
        <v>6.1</v>
      </c>
      <c r="W908">
        <v>1</v>
      </c>
      <c r="X908">
        <v>9.6999999999999993</v>
      </c>
      <c r="Y908">
        <v>33.21</v>
      </c>
      <c r="Z908">
        <v>13</v>
      </c>
      <c r="AA908" t="s">
        <v>46</v>
      </c>
    </row>
    <row r="909" spans="1:27" x14ac:dyDescent="0.3">
      <c r="A909" t="s">
        <v>1000</v>
      </c>
      <c r="B909">
        <v>20</v>
      </c>
      <c r="C909" t="s">
        <v>28</v>
      </c>
      <c r="D909">
        <v>5.4</v>
      </c>
      <c r="E909" t="s">
        <v>76</v>
      </c>
      <c r="F909" t="s">
        <v>126</v>
      </c>
      <c r="G909" t="s">
        <v>31</v>
      </c>
      <c r="H909">
        <v>6.9</v>
      </c>
      <c r="I909" t="s">
        <v>32</v>
      </c>
      <c r="J909" t="s">
        <v>33</v>
      </c>
      <c r="K909" t="s">
        <v>84</v>
      </c>
      <c r="L909">
        <v>2.08</v>
      </c>
      <c r="M909">
        <v>8</v>
      </c>
      <c r="N909" t="s">
        <v>69</v>
      </c>
      <c r="O909" t="s">
        <v>33</v>
      </c>
      <c r="P909" t="b">
        <v>0</v>
      </c>
      <c r="Q909" t="b">
        <v>0</v>
      </c>
      <c r="R909" t="b">
        <v>0</v>
      </c>
      <c r="S909" t="b">
        <v>1</v>
      </c>
      <c r="T909" t="b">
        <v>0</v>
      </c>
      <c r="U909">
        <v>0.1</v>
      </c>
      <c r="V909">
        <v>8.6</v>
      </c>
      <c r="W909">
        <v>3</v>
      </c>
      <c r="X909">
        <v>8.9</v>
      </c>
      <c r="Y909">
        <v>69.06</v>
      </c>
      <c r="Z909">
        <v>7</v>
      </c>
      <c r="AA909" t="s">
        <v>46</v>
      </c>
    </row>
    <row r="910" spans="1:27" x14ac:dyDescent="0.3">
      <c r="A910" t="s">
        <v>1001</v>
      </c>
      <c r="B910">
        <v>18</v>
      </c>
      <c r="C910" t="s">
        <v>28</v>
      </c>
      <c r="D910">
        <v>12</v>
      </c>
      <c r="E910" t="s">
        <v>29</v>
      </c>
      <c r="F910" t="s">
        <v>118</v>
      </c>
      <c r="G910" t="s">
        <v>50</v>
      </c>
      <c r="H910">
        <v>5.8</v>
      </c>
      <c r="I910" t="s">
        <v>32</v>
      </c>
      <c r="J910" t="s">
        <v>42</v>
      </c>
      <c r="K910" t="s">
        <v>51</v>
      </c>
      <c r="L910">
        <v>3.02</v>
      </c>
      <c r="N910" t="s">
        <v>80</v>
      </c>
      <c r="O910" t="s">
        <v>57</v>
      </c>
      <c r="P910" t="b">
        <v>0</v>
      </c>
      <c r="Q910" t="b">
        <v>1</v>
      </c>
      <c r="R910" t="b">
        <v>1</v>
      </c>
      <c r="S910" t="b">
        <v>1</v>
      </c>
      <c r="T910" t="b">
        <v>0</v>
      </c>
      <c r="U910">
        <v>2.2000000000000002</v>
      </c>
      <c r="V910">
        <v>2.4</v>
      </c>
      <c r="W910">
        <v>7</v>
      </c>
      <c r="X910">
        <v>2.2000000000000002</v>
      </c>
      <c r="Y910">
        <v>405.19</v>
      </c>
      <c r="Z910">
        <v>3</v>
      </c>
      <c r="AA910" t="s">
        <v>37</v>
      </c>
    </row>
    <row r="911" spans="1:27" x14ac:dyDescent="0.3">
      <c r="A911" t="s">
        <v>1002</v>
      </c>
      <c r="B911">
        <v>19</v>
      </c>
      <c r="C911" t="s">
        <v>28</v>
      </c>
      <c r="D911">
        <v>8.8000000000000007</v>
      </c>
      <c r="E911" t="s">
        <v>76</v>
      </c>
      <c r="F911" t="s">
        <v>77</v>
      </c>
      <c r="G911" t="s">
        <v>31</v>
      </c>
      <c r="H911">
        <v>3.5</v>
      </c>
      <c r="I911" t="s">
        <v>78</v>
      </c>
      <c r="J911" t="s">
        <v>33</v>
      </c>
      <c r="K911" t="s">
        <v>34</v>
      </c>
      <c r="L911">
        <v>3.73</v>
      </c>
      <c r="M911">
        <v>10</v>
      </c>
      <c r="N911" t="s">
        <v>44</v>
      </c>
      <c r="O911" t="s">
        <v>33</v>
      </c>
      <c r="P911" t="b">
        <v>1</v>
      </c>
      <c r="Q911" t="b">
        <v>0</v>
      </c>
      <c r="R911" t="b">
        <v>1</v>
      </c>
      <c r="S911" t="b">
        <v>1</v>
      </c>
      <c r="T911" t="b">
        <v>0</v>
      </c>
      <c r="U911">
        <v>2.1</v>
      </c>
      <c r="V911">
        <v>6.5</v>
      </c>
      <c r="W911">
        <v>6</v>
      </c>
      <c r="X911">
        <v>1.6</v>
      </c>
      <c r="Y911">
        <v>456.77</v>
      </c>
      <c r="Z911">
        <v>9</v>
      </c>
      <c r="AA911" t="s">
        <v>37</v>
      </c>
    </row>
    <row r="912" spans="1:27" x14ac:dyDescent="0.3">
      <c r="A912" t="s">
        <v>1003</v>
      </c>
      <c r="B912">
        <v>20</v>
      </c>
      <c r="C912" t="s">
        <v>152</v>
      </c>
      <c r="D912">
        <v>3.9</v>
      </c>
      <c r="E912" t="s">
        <v>54</v>
      </c>
      <c r="F912" t="s">
        <v>89</v>
      </c>
      <c r="G912" t="s">
        <v>50</v>
      </c>
      <c r="H912">
        <v>6.8</v>
      </c>
      <c r="I912" t="s">
        <v>51</v>
      </c>
      <c r="J912" t="s">
        <v>33</v>
      </c>
      <c r="K912" t="s">
        <v>62</v>
      </c>
      <c r="L912">
        <v>3.63</v>
      </c>
      <c r="M912">
        <v>1</v>
      </c>
      <c r="N912" t="s">
        <v>44</v>
      </c>
      <c r="O912" t="s">
        <v>42</v>
      </c>
      <c r="P912" t="b">
        <v>0</v>
      </c>
      <c r="Q912" t="b">
        <v>0</v>
      </c>
      <c r="R912" t="b">
        <v>0</v>
      </c>
      <c r="S912" t="b">
        <v>0</v>
      </c>
      <c r="T912" t="b">
        <v>0</v>
      </c>
      <c r="U912">
        <v>0.9</v>
      </c>
      <c r="V912">
        <v>6.5</v>
      </c>
      <c r="W912">
        <v>2</v>
      </c>
      <c r="X912">
        <v>11.6</v>
      </c>
      <c r="Y912">
        <v>45.92</v>
      </c>
      <c r="Z912">
        <v>8</v>
      </c>
      <c r="AA912" t="s">
        <v>46</v>
      </c>
    </row>
    <row r="913" spans="1:27" x14ac:dyDescent="0.3">
      <c r="A913" t="s">
        <v>1004</v>
      </c>
      <c r="B913">
        <v>21</v>
      </c>
      <c r="C913" t="s">
        <v>28</v>
      </c>
      <c r="D913">
        <v>11.6</v>
      </c>
      <c r="E913" t="s">
        <v>54</v>
      </c>
      <c r="F913" t="s">
        <v>98</v>
      </c>
      <c r="G913" t="s">
        <v>50</v>
      </c>
      <c r="H913">
        <v>3.7</v>
      </c>
      <c r="I913" t="s">
        <v>51</v>
      </c>
      <c r="J913" t="s">
        <v>36</v>
      </c>
      <c r="K913" t="s">
        <v>129</v>
      </c>
      <c r="L913">
        <v>2.96</v>
      </c>
      <c r="M913">
        <v>8</v>
      </c>
      <c r="N913" t="s">
        <v>63</v>
      </c>
      <c r="O913" t="s">
        <v>33</v>
      </c>
      <c r="P913" t="b">
        <v>0</v>
      </c>
      <c r="Q913" t="b">
        <v>1</v>
      </c>
      <c r="R913" t="b">
        <v>0</v>
      </c>
      <c r="S913" t="b">
        <v>1</v>
      </c>
      <c r="T913" t="b">
        <v>0</v>
      </c>
      <c r="U913">
        <v>3.2</v>
      </c>
      <c r="V913">
        <v>4.0999999999999996</v>
      </c>
      <c r="W913">
        <v>8</v>
      </c>
      <c r="X913">
        <v>3.1</v>
      </c>
      <c r="Y913">
        <v>131.29</v>
      </c>
      <c r="Z913">
        <v>9</v>
      </c>
      <c r="AA913" t="s">
        <v>58</v>
      </c>
    </row>
    <row r="914" spans="1:27" x14ac:dyDescent="0.3">
      <c r="A914" t="s">
        <v>1005</v>
      </c>
      <c r="B914">
        <v>28</v>
      </c>
      <c r="C914" t="s">
        <v>28</v>
      </c>
      <c r="D914">
        <v>5.2</v>
      </c>
      <c r="E914" t="s">
        <v>48</v>
      </c>
      <c r="F914" t="s">
        <v>68</v>
      </c>
      <c r="G914" t="s">
        <v>31</v>
      </c>
      <c r="H914">
        <v>5.3</v>
      </c>
      <c r="I914" t="s">
        <v>43</v>
      </c>
      <c r="J914" t="s">
        <v>45</v>
      </c>
      <c r="K914" t="s">
        <v>43</v>
      </c>
      <c r="M914">
        <v>2</v>
      </c>
      <c r="N914" t="s">
        <v>44</v>
      </c>
      <c r="O914" t="s">
        <v>57</v>
      </c>
      <c r="P914" t="b">
        <v>0</v>
      </c>
      <c r="Q914" t="b">
        <v>0</v>
      </c>
      <c r="R914" t="b">
        <v>0</v>
      </c>
      <c r="S914" t="b">
        <v>1</v>
      </c>
      <c r="T914" t="b">
        <v>0</v>
      </c>
      <c r="U914">
        <v>2.7</v>
      </c>
      <c r="V914">
        <v>8.1999999999999993</v>
      </c>
      <c r="W914">
        <v>3</v>
      </c>
      <c r="X914">
        <v>9.8000000000000007</v>
      </c>
      <c r="Y914">
        <v>12.79</v>
      </c>
      <c r="Z914">
        <v>18</v>
      </c>
      <c r="AA914" t="s">
        <v>46</v>
      </c>
    </row>
    <row r="915" spans="1:27" x14ac:dyDescent="0.3">
      <c r="A915" t="s">
        <v>1006</v>
      </c>
      <c r="B915">
        <v>19</v>
      </c>
      <c r="C915" t="s">
        <v>28</v>
      </c>
      <c r="D915">
        <v>4.0999999999999996</v>
      </c>
      <c r="E915" t="s">
        <v>48</v>
      </c>
      <c r="F915" t="s">
        <v>49</v>
      </c>
      <c r="G915" t="s">
        <v>86</v>
      </c>
      <c r="H915">
        <v>5.2</v>
      </c>
      <c r="I915" t="s">
        <v>41</v>
      </c>
      <c r="J915" t="s">
        <v>33</v>
      </c>
      <c r="K915" t="s">
        <v>43</v>
      </c>
      <c r="L915">
        <v>3.98</v>
      </c>
      <c r="M915">
        <v>9</v>
      </c>
      <c r="N915" t="s">
        <v>35</v>
      </c>
      <c r="O915" t="s">
        <v>36</v>
      </c>
      <c r="P915" t="b">
        <v>0</v>
      </c>
      <c r="Q915" t="b">
        <v>0</v>
      </c>
      <c r="R915" t="b">
        <v>0</v>
      </c>
      <c r="S915" t="b">
        <v>0</v>
      </c>
      <c r="T915" t="b">
        <v>0</v>
      </c>
      <c r="U915">
        <v>2.8</v>
      </c>
      <c r="V915">
        <v>6.1</v>
      </c>
      <c r="W915">
        <v>3</v>
      </c>
      <c r="X915">
        <v>7.7</v>
      </c>
      <c r="Y915">
        <v>1.99</v>
      </c>
      <c r="Z915">
        <v>3</v>
      </c>
      <c r="AA915" t="s">
        <v>46</v>
      </c>
    </row>
    <row r="916" spans="1:27" x14ac:dyDescent="0.3">
      <c r="A916" t="s">
        <v>1007</v>
      </c>
      <c r="B916">
        <v>30</v>
      </c>
      <c r="C916" t="s">
        <v>28</v>
      </c>
      <c r="D916">
        <v>9.3000000000000007</v>
      </c>
      <c r="E916" t="s">
        <v>39</v>
      </c>
      <c r="F916" t="s">
        <v>120</v>
      </c>
      <c r="G916" t="s">
        <v>31</v>
      </c>
      <c r="H916">
        <v>4.4000000000000004</v>
      </c>
      <c r="I916" t="s">
        <v>32</v>
      </c>
      <c r="J916" t="s">
        <v>33</v>
      </c>
      <c r="K916" t="s">
        <v>51</v>
      </c>
      <c r="M916">
        <v>6</v>
      </c>
      <c r="N916" t="s">
        <v>35</v>
      </c>
      <c r="O916" t="s">
        <v>33</v>
      </c>
      <c r="P916" t="b">
        <v>1</v>
      </c>
      <c r="Q916" t="b">
        <v>1</v>
      </c>
      <c r="R916" t="b">
        <v>1</v>
      </c>
      <c r="S916" t="b">
        <v>1</v>
      </c>
      <c r="T916" t="b">
        <v>0</v>
      </c>
      <c r="U916">
        <v>4.4000000000000004</v>
      </c>
      <c r="V916">
        <v>4</v>
      </c>
      <c r="W916">
        <v>4</v>
      </c>
      <c r="X916">
        <v>6.9</v>
      </c>
      <c r="Y916">
        <v>458.97</v>
      </c>
      <c r="Z916">
        <v>18</v>
      </c>
      <c r="AA916" t="s">
        <v>37</v>
      </c>
    </row>
    <row r="917" spans="1:27" x14ac:dyDescent="0.3">
      <c r="A917" t="s">
        <v>1008</v>
      </c>
      <c r="B917">
        <v>19</v>
      </c>
      <c r="C917" t="s">
        <v>28</v>
      </c>
      <c r="D917">
        <v>2.5</v>
      </c>
      <c r="E917" t="s">
        <v>60</v>
      </c>
      <c r="F917" t="s">
        <v>96</v>
      </c>
      <c r="G917" t="s">
        <v>31</v>
      </c>
      <c r="H917">
        <v>7.4</v>
      </c>
      <c r="I917" t="s">
        <v>41</v>
      </c>
      <c r="J917" t="s">
        <v>36</v>
      </c>
      <c r="K917" t="s">
        <v>62</v>
      </c>
      <c r="L917">
        <v>1.5</v>
      </c>
      <c r="M917">
        <v>9</v>
      </c>
      <c r="N917" t="s">
        <v>121</v>
      </c>
      <c r="O917" t="s">
        <v>57</v>
      </c>
      <c r="P917" t="b">
        <v>0</v>
      </c>
      <c r="Q917" t="b">
        <v>0</v>
      </c>
      <c r="R917" t="b">
        <v>0</v>
      </c>
      <c r="S917" t="b">
        <v>0</v>
      </c>
      <c r="T917" t="b">
        <v>0</v>
      </c>
      <c r="U917">
        <v>0.3</v>
      </c>
      <c r="V917">
        <v>9.6999999999999993</v>
      </c>
      <c r="W917">
        <v>3</v>
      </c>
      <c r="X917">
        <v>14.4</v>
      </c>
      <c r="Y917">
        <v>45.05</v>
      </c>
      <c r="Z917">
        <v>5</v>
      </c>
      <c r="AA917" t="s">
        <v>46</v>
      </c>
    </row>
    <row r="918" spans="1:27" x14ac:dyDescent="0.3">
      <c r="A918" t="s">
        <v>1009</v>
      </c>
      <c r="B918">
        <v>22</v>
      </c>
      <c r="C918" t="s">
        <v>28</v>
      </c>
      <c r="D918">
        <v>3.6</v>
      </c>
      <c r="E918" t="s">
        <v>60</v>
      </c>
      <c r="F918" t="s">
        <v>96</v>
      </c>
      <c r="G918" t="s">
        <v>50</v>
      </c>
      <c r="H918">
        <v>5.6</v>
      </c>
      <c r="I918" t="s">
        <v>51</v>
      </c>
      <c r="J918" t="s">
        <v>36</v>
      </c>
      <c r="K918" t="s">
        <v>34</v>
      </c>
      <c r="L918">
        <v>1.76</v>
      </c>
      <c r="M918">
        <v>10</v>
      </c>
      <c r="N918" t="s">
        <v>44</v>
      </c>
      <c r="O918" t="s">
        <v>36</v>
      </c>
      <c r="P918" t="b">
        <v>0</v>
      </c>
      <c r="Q918" t="b">
        <v>0</v>
      </c>
      <c r="R918" t="b">
        <v>0</v>
      </c>
      <c r="S918" t="b">
        <v>0</v>
      </c>
      <c r="T918" t="b">
        <v>0</v>
      </c>
      <c r="U918">
        <v>0.3</v>
      </c>
      <c r="V918">
        <v>8.3000000000000007</v>
      </c>
      <c r="W918">
        <v>1</v>
      </c>
      <c r="X918">
        <v>11.6</v>
      </c>
      <c r="Y918">
        <v>1.38</v>
      </c>
      <c r="Z918">
        <v>1</v>
      </c>
      <c r="AA918" t="s">
        <v>46</v>
      </c>
    </row>
    <row r="919" spans="1:27" x14ac:dyDescent="0.3">
      <c r="A919" t="s">
        <v>1010</v>
      </c>
      <c r="B919">
        <v>19</v>
      </c>
      <c r="C919" t="s">
        <v>53</v>
      </c>
      <c r="D919">
        <v>8.9</v>
      </c>
      <c r="E919" t="s">
        <v>82</v>
      </c>
      <c r="F919" t="s">
        <v>83</v>
      </c>
      <c r="G919" t="s">
        <v>71</v>
      </c>
      <c r="H919">
        <v>5.9</v>
      </c>
      <c r="I919" t="s">
        <v>32</v>
      </c>
      <c r="J919" t="s">
        <v>33</v>
      </c>
      <c r="K919" t="s">
        <v>129</v>
      </c>
      <c r="L919">
        <v>2.44</v>
      </c>
      <c r="M919">
        <v>5</v>
      </c>
      <c r="N919" t="s">
        <v>56</v>
      </c>
      <c r="O919" t="s">
        <v>42</v>
      </c>
      <c r="P919" t="b">
        <v>1</v>
      </c>
      <c r="Q919" t="b">
        <v>1</v>
      </c>
      <c r="R919" t="b">
        <v>0</v>
      </c>
      <c r="S919" t="b">
        <v>1</v>
      </c>
      <c r="T919" t="b">
        <v>0</v>
      </c>
      <c r="U919">
        <v>0.8</v>
      </c>
      <c r="V919">
        <v>5.6</v>
      </c>
      <c r="W919">
        <v>5</v>
      </c>
      <c r="X919">
        <v>2.6</v>
      </c>
      <c r="Y919">
        <v>190.37</v>
      </c>
      <c r="Z919">
        <v>7</v>
      </c>
      <c r="AA919" t="s">
        <v>37</v>
      </c>
    </row>
    <row r="920" spans="1:27" x14ac:dyDescent="0.3">
      <c r="A920" t="s">
        <v>1011</v>
      </c>
      <c r="B920">
        <v>20</v>
      </c>
      <c r="C920" t="s">
        <v>28</v>
      </c>
      <c r="D920">
        <v>4.7</v>
      </c>
      <c r="E920" t="s">
        <v>39</v>
      </c>
      <c r="F920" t="s">
        <v>120</v>
      </c>
      <c r="G920" t="s">
        <v>31</v>
      </c>
      <c r="H920">
        <v>5.9</v>
      </c>
      <c r="I920" t="s">
        <v>41</v>
      </c>
      <c r="J920" t="s">
        <v>33</v>
      </c>
      <c r="K920" t="s">
        <v>62</v>
      </c>
      <c r="L920">
        <v>3.63</v>
      </c>
      <c r="M920">
        <v>8</v>
      </c>
      <c r="N920" t="s">
        <v>35</v>
      </c>
      <c r="O920" t="s">
        <v>42</v>
      </c>
      <c r="P920" t="b">
        <v>0</v>
      </c>
      <c r="Q920" t="b">
        <v>0</v>
      </c>
      <c r="R920" t="b">
        <v>0</v>
      </c>
      <c r="S920" t="b">
        <v>1</v>
      </c>
      <c r="T920" t="b">
        <v>0</v>
      </c>
      <c r="U920">
        <v>0.4</v>
      </c>
      <c r="V920">
        <v>8.1999999999999993</v>
      </c>
      <c r="W920">
        <v>4</v>
      </c>
      <c r="X920">
        <v>9.6</v>
      </c>
      <c r="Y920">
        <v>79.06</v>
      </c>
      <c r="Z920">
        <v>9</v>
      </c>
      <c r="AA920" t="s">
        <v>46</v>
      </c>
    </row>
    <row r="921" spans="1:27" x14ac:dyDescent="0.3">
      <c r="A921" t="s">
        <v>1012</v>
      </c>
      <c r="B921">
        <v>22</v>
      </c>
      <c r="C921" t="s">
        <v>53</v>
      </c>
      <c r="D921">
        <v>6.3</v>
      </c>
      <c r="E921" t="s">
        <v>48</v>
      </c>
      <c r="F921" t="s">
        <v>68</v>
      </c>
      <c r="G921" t="s">
        <v>31</v>
      </c>
      <c r="H921">
        <v>6.8</v>
      </c>
      <c r="I921" t="s">
        <v>51</v>
      </c>
      <c r="J921" t="s">
        <v>42</v>
      </c>
      <c r="K921" t="s">
        <v>62</v>
      </c>
      <c r="L921">
        <v>2.0499999999999998</v>
      </c>
      <c r="M921">
        <v>2</v>
      </c>
      <c r="N921" t="s">
        <v>63</v>
      </c>
      <c r="O921" t="s">
        <v>36</v>
      </c>
      <c r="P921" t="b">
        <v>0</v>
      </c>
      <c r="Q921" t="b">
        <v>1</v>
      </c>
      <c r="R921" t="b">
        <v>0</v>
      </c>
      <c r="S921" t="b">
        <v>1</v>
      </c>
      <c r="T921" t="b">
        <v>1</v>
      </c>
      <c r="U921">
        <v>0.4</v>
      </c>
      <c r="V921">
        <v>7.8</v>
      </c>
      <c r="W921">
        <v>5</v>
      </c>
      <c r="X921">
        <v>6.3</v>
      </c>
      <c r="Y921">
        <v>50.08</v>
      </c>
      <c r="Z921">
        <v>4</v>
      </c>
      <c r="AA921" t="s">
        <v>64</v>
      </c>
    </row>
    <row r="922" spans="1:27" x14ac:dyDescent="0.3">
      <c r="A922" t="s">
        <v>1013</v>
      </c>
      <c r="B922">
        <v>20</v>
      </c>
      <c r="C922" t="s">
        <v>53</v>
      </c>
      <c r="D922">
        <v>1.8</v>
      </c>
      <c r="E922" t="s">
        <v>39</v>
      </c>
      <c r="F922" t="s">
        <v>93</v>
      </c>
      <c r="G922" t="s">
        <v>86</v>
      </c>
      <c r="H922">
        <v>8.8000000000000007</v>
      </c>
      <c r="I922" t="s">
        <v>43</v>
      </c>
      <c r="J922" t="s">
        <v>42</v>
      </c>
      <c r="K922" t="s">
        <v>43</v>
      </c>
      <c r="L922">
        <v>3.8</v>
      </c>
      <c r="M922">
        <v>7</v>
      </c>
      <c r="N922" t="s">
        <v>121</v>
      </c>
      <c r="O922" t="s">
        <v>33</v>
      </c>
      <c r="P922" t="b">
        <v>0</v>
      </c>
      <c r="Q922" t="b">
        <v>0</v>
      </c>
      <c r="R922" t="b">
        <v>0</v>
      </c>
      <c r="S922" t="b">
        <v>0</v>
      </c>
      <c r="T922" t="b">
        <v>0</v>
      </c>
      <c r="U922">
        <v>0.2</v>
      </c>
      <c r="V922">
        <v>7.8</v>
      </c>
      <c r="W922">
        <v>1</v>
      </c>
      <c r="X922">
        <v>10.199999999999999</v>
      </c>
      <c r="Y922">
        <v>47.37</v>
      </c>
      <c r="Z922">
        <v>9</v>
      </c>
      <c r="AA922" t="s">
        <v>46</v>
      </c>
    </row>
    <row r="923" spans="1:27" x14ac:dyDescent="0.3">
      <c r="A923" t="s">
        <v>1014</v>
      </c>
      <c r="B923">
        <v>27</v>
      </c>
      <c r="C923" t="s">
        <v>28</v>
      </c>
      <c r="D923">
        <v>12.4</v>
      </c>
      <c r="E923" t="s">
        <v>29</v>
      </c>
      <c r="F923" t="s">
        <v>30</v>
      </c>
      <c r="G923" t="s">
        <v>31</v>
      </c>
      <c r="H923">
        <v>5.0999999999999996</v>
      </c>
      <c r="I923" t="s">
        <v>51</v>
      </c>
      <c r="J923" t="s">
        <v>42</v>
      </c>
      <c r="K923" t="s">
        <v>43</v>
      </c>
      <c r="M923">
        <v>7</v>
      </c>
      <c r="N923" t="s">
        <v>105</v>
      </c>
      <c r="O923" t="s">
        <v>42</v>
      </c>
      <c r="P923" t="b">
        <v>1</v>
      </c>
      <c r="Q923" t="b">
        <v>1</v>
      </c>
      <c r="R923" t="b">
        <v>1</v>
      </c>
      <c r="S923" t="b">
        <v>0</v>
      </c>
      <c r="T923" t="b">
        <v>0</v>
      </c>
      <c r="U923">
        <v>1.4</v>
      </c>
      <c r="V923">
        <v>2.9</v>
      </c>
      <c r="W923">
        <v>8</v>
      </c>
      <c r="X923">
        <v>0</v>
      </c>
      <c r="Y923">
        <v>331.29</v>
      </c>
      <c r="Z923">
        <v>2</v>
      </c>
      <c r="AA923" t="s">
        <v>37</v>
      </c>
    </row>
    <row r="924" spans="1:27" x14ac:dyDescent="0.3">
      <c r="A924" t="s">
        <v>1015</v>
      </c>
      <c r="B924">
        <v>17</v>
      </c>
      <c r="C924" t="s">
        <v>28</v>
      </c>
      <c r="D924">
        <v>4.0999999999999996</v>
      </c>
      <c r="E924" t="s">
        <v>29</v>
      </c>
      <c r="F924" t="s">
        <v>73</v>
      </c>
      <c r="G924" t="s">
        <v>86</v>
      </c>
      <c r="H924">
        <v>6.4</v>
      </c>
      <c r="I924" t="s">
        <v>43</v>
      </c>
      <c r="J924" t="s">
        <v>33</v>
      </c>
      <c r="K924" t="s">
        <v>62</v>
      </c>
      <c r="L924">
        <v>1.1200000000000001</v>
      </c>
      <c r="N924" t="s">
        <v>35</v>
      </c>
      <c r="O924" t="s">
        <v>57</v>
      </c>
      <c r="P924" t="b">
        <v>0</v>
      </c>
      <c r="Q924" t="b">
        <v>0</v>
      </c>
      <c r="R924" t="b">
        <v>0</v>
      </c>
      <c r="S924" t="b">
        <v>0</v>
      </c>
      <c r="T924" t="b">
        <v>0</v>
      </c>
      <c r="U924">
        <v>0.7</v>
      </c>
      <c r="V924">
        <v>6.8</v>
      </c>
      <c r="W924">
        <v>2</v>
      </c>
      <c r="X924">
        <v>11.2</v>
      </c>
      <c r="Y924">
        <v>12.42</v>
      </c>
      <c r="Z924">
        <v>1</v>
      </c>
      <c r="AA924" t="s">
        <v>46</v>
      </c>
    </row>
    <row r="925" spans="1:27" x14ac:dyDescent="0.3">
      <c r="A925" t="s">
        <v>1016</v>
      </c>
      <c r="B925">
        <v>18</v>
      </c>
      <c r="C925" t="s">
        <v>28</v>
      </c>
      <c r="D925">
        <v>8.1</v>
      </c>
      <c r="E925" t="s">
        <v>54</v>
      </c>
      <c r="F925" t="s">
        <v>89</v>
      </c>
      <c r="G925" t="s">
        <v>86</v>
      </c>
      <c r="H925">
        <v>4.5</v>
      </c>
      <c r="I925" t="s">
        <v>51</v>
      </c>
      <c r="J925" t="s">
        <v>74</v>
      </c>
      <c r="K925" t="s">
        <v>34</v>
      </c>
      <c r="L925">
        <v>3.42</v>
      </c>
      <c r="N925" t="s">
        <v>35</v>
      </c>
      <c r="O925" t="s">
        <v>45</v>
      </c>
      <c r="P925" t="b">
        <v>1</v>
      </c>
      <c r="Q925" t="b">
        <v>1</v>
      </c>
      <c r="R925" t="b">
        <v>0</v>
      </c>
      <c r="S925" t="b">
        <v>1</v>
      </c>
      <c r="T925" t="b">
        <v>0</v>
      </c>
      <c r="U925">
        <v>2.6</v>
      </c>
      <c r="V925">
        <v>5</v>
      </c>
      <c r="W925">
        <v>6</v>
      </c>
      <c r="X925">
        <v>8.1999999999999993</v>
      </c>
      <c r="Y925">
        <v>82.51</v>
      </c>
      <c r="Z925">
        <v>7</v>
      </c>
      <c r="AA925" t="s">
        <v>58</v>
      </c>
    </row>
    <row r="926" spans="1:27" x14ac:dyDescent="0.3">
      <c r="A926" t="s">
        <v>1017</v>
      </c>
      <c r="B926">
        <v>20</v>
      </c>
      <c r="C926" t="s">
        <v>28</v>
      </c>
      <c r="D926">
        <v>11.2</v>
      </c>
      <c r="E926" t="s">
        <v>82</v>
      </c>
      <c r="F926" t="s">
        <v>83</v>
      </c>
      <c r="G926" t="s">
        <v>86</v>
      </c>
      <c r="H926">
        <v>5</v>
      </c>
      <c r="I926" t="s">
        <v>51</v>
      </c>
      <c r="J926" t="s">
        <v>74</v>
      </c>
      <c r="K926" t="s">
        <v>34</v>
      </c>
      <c r="L926">
        <v>1.1200000000000001</v>
      </c>
      <c r="M926">
        <v>2</v>
      </c>
      <c r="N926" t="s">
        <v>35</v>
      </c>
      <c r="O926" t="s">
        <v>45</v>
      </c>
      <c r="P926" t="b">
        <v>1</v>
      </c>
      <c r="Q926" t="b">
        <v>1</v>
      </c>
      <c r="R926" t="b">
        <v>0</v>
      </c>
      <c r="S926" t="b">
        <v>1</v>
      </c>
      <c r="T926" t="b">
        <v>1</v>
      </c>
      <c r="U926">
        <v>5.5</v>
      </c>
      <c r="V926">
        <v>5.7</v>
      </c>
      <c r="W926">
        <v>6</v>
      </c>
      <c r="X926">
        <v>2.2999999999999998</v>
      </c>
      <c r="Y926">
        <v>339.42</v>
      </c>
      <c r="Z926">
        <v>9</v>
      </c>
      <c r="AA926" t="s">
        <v>37</v>
      </c>
    </row>
    <row r="927" spans="1:27" x14ac:dyDescent="0.3">
      <c r="A927" t="s">
        <v>1018</v>
      </c>
      <c r="B927">
        <v>26</v>
      </c>
      <c r="C927" t="s">
        <v>28</v>
      </c>
      <c r="D927">
        <v>11.3</v>
      </c>
      <c r="E927" t="s">
        <v>39</v>
      </c>
      <c r="F927" t="s">
        <v>40</v>
      </c>
      <c r="G927" t="s">
        <v>50</v>
      </c>
      <c r="H927">
        <v>3.2</v>
      </c>
      <c r="I927" t="s">
        <v>32</v>
      </c>
      <c r="J927" t="s">
        <v>33</v>
      </c>
      <c r="K927" t="s">
        <v>51</v>
      </c>
      <c r="M927">
        <v>7</v>
      </c>
      <c r="N927" t="s">
        <v>80</v>
      </c>
      <c r="O927" t="s">
        <v>33</v>
      </c>
      <c r="P927" t="b">
        <v>1</v>
      </c>
      <c r="Q927" t="b">
        <v>0</v>
      </c>
      <c r="R927" t="b">
        <v>1</v>
      </c>
      <c r="S927" t="b">
        <v>1</v>
      </c>
      <c r="T927" t="b">
        <v>1</v>
      </c>
      <c r="U927">
        <v>2.1</v>
      </c>
      <c r="V927">
        <v>6.2</v>
      </c>
      <c r="W927">
        <v>7</v>
      </c>
      <c r="X927">
        <v>1.2</v>
      </c>
      <c r="Y927">
        <v>334.36</v>
      </c>
      <c r="Z927">
        <v>3</v>
      </c>
      <c r="AA927" t="s">
        <v>37</v>
      </c>
    </row>
    <row r="928" spans="1:27" x14ac:dyDescent="0.3">
      <c r="A928" t="s">
        <v>1019</v>
      </c>
      <c r="B928">
        <v>20</v>
      </c>
      <c r="C928" t="s">
        <v>28</v>
      </c>
      <c r="D928">
        <v>4.7</v>
      </c>
      <c r="E928" t="s">
        <v>82</v>
      </c>
      <c r="F928" t="s">
        <v>83</v>
      </c>
      <c r="G928" t="s">
        <v>86</v>
      </c>
      <c r="H928">
        <v>5.7</v>
      </c>
      <c r="I928" t="s">
        <v>43</v>
      </c>
      <c r="J928" t="s">
        <v>36</v>
      </c>
      <c r="K928" t="s">
        <v>84</v>
      </c>
      <c r="L928">
        <v>2.63</v>
      </c>
      <c r="M928">
        <v>8</v>
      </c>
      <c r="N928" t="s">
        <v>66</v>
      </c>
      <c r="O928" t="s">
        <v>45</v>
      </c>
      <c r="P928" t="b">
        <v>0</v>
      </c>
      <c r="Q928" t="b">
        <v>0</v>
      </c>
      <c r="R928" t="b">
        <v>0</v>
      </c>
      <c r="S928" t="b">
        <v>1</v>
      </c>
      <c r="T928" t="b">
        <v>0</v>
      </c>
      <c r="U928">
        <v>1.8</v>
      </c>
      <c r="V928">
        <v>7.3</v>
      </c>
      <c r="W928">
        <v>1</v>
      </c>
      <c r="X928">
        <v>7.7</v>
      </c>
      <c r="Y928">
        <v>74.39</v>
      </c>
      <c r="Z928">
        <v>9</v>
      </c>
      <c r="AA928" t="s">
        <v>46</v>
      </c>
    </row>
    <row r="929" spans="1:27" x14ac:dyDescent="0.3">
      <c r="A929" t="s">
        <v>1020</v>
      </c>
      <c r="B929">
        <v>17</v>
      </c>
      <c r="C929" t="s">
        <v>28</v>
      </c>
      <c r="D929">
        <v>5.6</v>
      </c>
      <c r="E929" t="s">
        <v>82</v>
      </c>
      <c r="F929" t="s">
        <v>83</v>
      </c>
      <c r="G929" t="s">
        <v>71</v>
      </c>
      <c r="H929">
        <v>6.2</v>
      </c>
      <c r="I929" t="s">
        <v>32</v>
      </c>
      <c r="J929" t="s">
        <v>42</v>
      </c>
      <c r="K929" t="s">
        <v>62</v>
      </c>
      <c r="L929">
        <v>3.11</v>
      </c>
      <c r="N929" t="s">
        <v>44</v>
      </c>
      <c r="O929" t="s">
        <v>33</v>
      </c>
      <c r="P929" t="b">
        <v>0</v>
      </c>
      <c r="Q929" t="b">
        <v>1</v>
      </c>
      <c r="R929" t="b">
        <v>0</v>
      </c>
      <c r="S929" t="b">
        <v>1</v>
      </c>
      <c r="T929" t="b">
        <v>0</v>
      </c>
      <c r="U929">
        <v>2.4</v>
      </c>
      <c r="V929">
        <v>8.6</v>
      </c>
      <c r="W929">
        <v>3</v>
      </c>
      <c r="X929">
        <v>5.6</v>
      </c>
      <c r="Y929">
        <v>36.119999999999997</v>
      </c>
      <c r="Z929">
        <v>3</v>
      </c>
      <c r="AA929" t="s">
        <v>64</v>
      </c>
    </row>
    <row r="930" spans="1:27" x14ac:dyDescent="0.3">
      <c r="A930" t="s">
        <v>1021</v>
      </c>
      <c r="B930">
        <v>20</v>
      </c>
      <c r="C930" t="s">
        <v>28</v>
      </c>
      <c r="D930">
        <v>5.6</v>
      </c>
      <c r="E930" t="s">
        <v>39</v>
      </c>
      <c r="F930" t="s">
        <v>93</v>
      </c>
      <c r="G930" t="s">
        <v>31</v>
      </c>
      <c r="H930">
        <v>5.4</v>
      </c>
      <c r="I930" t="s">
        <v>43</v>
      </c>
      <c r="J930" t="s">
        <v>33</v>
      </c>
      <c r="K930" t="s">
        <v>34</v>
      </c>
      <c r="L930">
        <v>3.24</v>
      </c>
      <c r="M930">
        <v>3</v>
      </c>
      <c r="N930" t="s">
        <v>105</v>
      </c>
      <c r="O930" t="s">
        <v>42</v>
      </c>
      <c r="P930" t="b">
        <v>0</v>
      </c>
      <c r="Q930" t="b">
        <v>0</v>
      </c>
      <c r="R930" t="b">
        <v>0</v>
      </c>
      <c r="S930" t="b">
        <v>1</v>
      </c>
      <c r="T930" t="b">
        <v>1</v>
      </c>
      <c r="U930">
        <v>0.7</v>
      </c>
      <c r="V930">
        <v>8.4</v>
      </c>
      <c r="W930">
        <v>3</v>
      </c>
      <c r="X930">
        <v>5</v>
      </c>
      <c r="Y930">
        <v>68.45</v>
      </c>
      <c r="Z930">
        <v>1</v>
      </c>
      <c r="AA930" t="s">
        <v>46</v>
      </c>
    </row>
    <row r="931" spans="1:27" x14ac:dyDescent="0.3">
      <c r="A931" t="s">
        <v>1022</v>
      </c>
      <c r="B931">
        <v>28</v>
      </c>
      <c r="C931" t="s">
        <v>28</v>
      </c>
      <c r="D931">
        <v>7.7</v>
      </c>
      <c r="E931" t="s">
        <v>48</v>
      </c>
      <c r="F931" t="s">
        <v>214</v>
      </c>
      <c r="G931" t="s">
        <v>31</v>
      </c>
      <c r="H931">
        <v>3.1</v>
      </c>
      <c r="I931" t="s">
        <v>43</v>
      </c>
      <c r="J931" t="s">
        <v>36</v>
      </c>
      <c r="K931" t="s">
        <v>51</v>
      </c>
      <c r="M931">
        <v>3</v>
      </c>
      <c r="N931" t="s">
        <v>44</v>
      </c>
      <c r="O931" t="s">
        <v>36</v>
      </c>
      <c r="P931" t="b">
        <v>1</v>
      </c>
      <c r="Q931" t="b">
        <v>0</v>
      </c>
      <c r="R931" t="b">
        <v>0</v>
      </c>
      <c r="S931" t="b">
        <v>1</v>
      </c>
      <c r="T931" t="b">
        <v>1</v>
      </c>
      <c r="U931">
        <v>1.8</v>
      </c>
      <c r="V931">
        <v>7.2</v>
      </c>
      <c r="W931">
        <v>5</v>
      </c>
      <c r="X931">
        <v>7.8</v>
      </c>
      <c r="Y931">
        <v>129.71</v>
      </c>
      <c r="Z931">
        <v>5</v>
      </c>
      <c r="AA931" t="s">
        <v>64</v>
      </c>
    </row>
    <row r="932" spans="1:27" x14ac:dyDescent="0.3">
      <c r="A932" t="s">
        <v>1023</v>
      </c>
      <c r="B932">
        <v>15</v>
      </c>
      <c r="C932" t="s">
        <v>28</v>
      </c>
      <c r="D932">
        <v>5</v>
      </c>
      <c r="E932" t="s">
        <v>54</v>
      </c>
      <c r="F932" t="s">
        <v>89</v>
      </c>
      <c r="G932" t="s">
        <v>50</v>
      </c>
      <c r="H932">
        <v>5.6</v>
      </c>
      <c r="I932" t="s">
        <v>41</v>
      </c>
      <c r="J932" t="s">
        <v>74</v>
      </c>
      <c r="K932" t="s">
        <v>62</v>
      </c>
      <c r="L932">
        <v>3.43</v>
      </c>
      <c r="N932" t="s">
        <v>35</v>
      </c>
      <c r="O932" t="s">
        <v>57</v>
      </c>
      <c r="P932" t="b">
        <v>0</v>
      </c>
      <c r="Q932" t="b">
        <v>0</v>
      </c>
      <c r="R932" t="b">
        <v>0</v>
      </c>
      <c r="S932" t="b">
        <v>1</v>
      </c>
      <c r="T932" t="b">
        <v>0</v>
      </c>
      <c r="U932">
        <v>1.5</v>
      </c>
      <c r="V932">
        <v>7.7</v>
      </c>
      <c r="W932">
        <v>4</v>
      </c>
      <c r="X932">
        <v>11.1</v>
      </c>
      <c r="Y932">
        <v>36.799999999999997</v>
      </c>
      <c r="Z932">
        <v>2</v>
      </c>
      <c r="AA932" t="s">
        <v>46</v>
      </c>
    </row>
    <row r="933" spans="1:27" x14ac:dyDescent="0.3">
      <c r="A933" t="s">
        <v>1024</v>
      </c>
      <c r="B933">
        <v>20</v>
      </c>
      <c r="C933" t="s">
        <v>152</v>
      </c>
      <c r="D933">
        <v>10.199999999999999</v>
      </c>
      <c r="E933" t="s">
        <v>82</v>
      </c>
      <c r="F933" t="s">
        <v>167</v>
      </c>
      <c r="G933" t="s">
        <v>71</v>
      </c>
      <c r="H933">
        <v>4.8</v>
      </c>
      <c r="I933" t="s">
        <v>32</v>
      </c>
      <c r="J933" t="s">
        <v>36</v>
      </c>
      <c r="K933" t="s">
        <v>34</v>
      </c>
      <c r="L933">
        <v>3.81</v>
      </c>
      <c r="M933">
        <v>8</v>
      </c>
      <c r="N933" t="s">
        <v>69</v>
      </c>
      <c r="O933" t="s">
        <v>57</v>
      </c>
      <c r="P933" t="b">
        <v>1</v>
      </c>
      <c r="Q933" t="b">
        <v>1</v>
      </c>
      <c r="R933" t="b">
        <v>0</v>
      </c>
      <c r="S933" t="b">
        <v>0</v>
      </c>
      <c r="T933" t="b">
        <v>0</v>
      </c>
      <c r="U933">
        <v>1.7</v>
      </c>
      <c r="V933">
        <v>3.9</v>
      </c>
      <c r="W933">
        <v>5</v>
      </c>
      <c r="X933">
        <v>5.7</v>
      </c>
      <c r="Y933">
        <v>312.2</v>
      </c>
      <c r="Z933">
        <v>8</v>
      </c>
      <c r="AA933" t="s">
        <v>37</v>
      </c>
    </row>
    <row r="934" spans="1:27" x14ac:dyDescent="0.3">
      <c r="A934" t="s">
        <v>1025</v>
      </c>
      <c r="B934">
        <v>15</v>
      </c>
      <c r="C934" t="s">
        <v>28</v>
      </c>
      <c r="D934">
        <v>11.4</v>
      </c>
      <c r="E934" t="s">
        <v>54</v>
      </c>
      <c r="F934" t="s">
        <v>89</v>
      </c>
      <c r="G934" t="s">
        <v>86</v>
      </c>
      <c r="H934">
        <v>3.9</v>
      </c>
      <c r="I934" t="s">
        <v>32</v>
      </c>
      <c r="J934" t="s">
        <v>36</v>
      </c>
      <c r="K934" t="s">
        <v>62</v>
      </c>
      <c r="L934">
        <v>2.48</v>
      </c>
      <c r="N934" t="s">
        <v>44</v>
      </c>
      <c r="O934" t="s">
        <v>57</v>
      </c>
      <c r="P934" t="b">
        <v>1</v>
      </c>
      <c r="Q934" t="b">
        <v>1</v>
      </c>
      <c r="R934" t="b">
        <v>0</v>
      </c>
      <c r="S934" t="b">
        <v>0</v>
      </c>
      <c r="T934" t="b">
        <v>0</v>
      </c>
      <c r="U934">
        <v>8.6999999999999993</v>
      </c>
      <c r="V934">
        <v>5.9</v>
      </c>
      <c r="W934">
        <v>9</v>
      </c>
      <c r="X934">
        <v>2.9</v>
      </c>
      <c r="Y934">
        <v>367.71</v>
      </c>
      <c r="Z934">
        <v>2</v>
      </c>
      <c r="AA934" t="s">
        <v>37</v>
      </c>
    </row>
    <row r="935" spans="1:27" x14ac:dyDescent="0.3">
      <c r="A935" t="s">
        <v>1026</v>
      </c>
      <c r="B935">
        <v>28</v>
      </c>
      <c r="C935" t="s">
        <v>53</v>
      </c>
      <c r="D935">
        <v>10.1</v>
      </c>
      <c r="E935" t="s">
        <v>54</v>
      </c>
      <c r="F935" t="s">
        <v>98</v>
      </c>
      <c r="G935" t="s">
        <v>71</v>
      </c>
      <c r="H935">
        <v>3.2</v>
      </c>
      <c r="I935" t="s">
        <v>43</v>
      </c>
      <c r="J935" t="s">
        <v>42</v>
      </c>
      <c r="K935" t="s">
        <v>129</v>
      </c>
      <c r="M935">
        <v>7</v>
      </c>
      <c r="N935" t="s">
        <v>80</v>
      </c>
      <c r="O935" t="s">
        <v>45</v>
      </c>
      <c r="P935" t="b">
        <v>0</v>
      </c>
      <c r="Q935" t="b">
        <v>0</v>
      </c>
      <c r="R935" t="b">
        <v>1</v>
      </c>
      <c r="S935" t="b">
        <v>1</v>
      </c>
      <c r="T935" t="b">
        <v>0</v>
      </c>
      <c r="U935">
        <v>2.7</v>
      </c>
      <c r="V935">
        <v>4.4000000000000004</v>
      </c>
      <c r="W935">
        <v>9</v>
      </c>
      <c r="X935">
        <v>2.8</v>
      </c>
      <c r="Y935">
        <v>154.85</v>
      </c>
      <c r="Z935">
        <v>15</v>
      </c>
      <c r="AA935" t="s">
        <v>58</v>
      </c>
    </row>
    <row r="936" spans="1:27" x14ac:dyDescent="0.3">
      <c r="A936" t="s">
        <v>1027</v>
      </c>
      <c r="B936">
        <v>20</v>
      </c>
      <c r="C936" t="s">
        <v>53</v>
      </c>
      <c r="D936">
        <v>6.1</v>
      </c>
      <c r="E936" t="s">
        <v>60</v>
      </c>
      <c r="F936" t="s">
        <v>96</v>
      </c>
      <c r="G936" t="s">
        <v>71</v>
      </c>
      <c r="H936">
        <v>6.3</v>
      </c>
      <c r="I936" t="s">
        <v>41</v>
      </c>
      <c r="J936" t="s">
        <v>42</v>
      </c>
      <c r="K936" t="s">
        <v>43</v>
      </c>
      <c r="L936">
        <v>3.58</v>
      </c>
      <c r="M936">
        <v>6</v>
      </c>
      <c r="N936" t="s">
        <v>35</v>
      </c>
      <c r="O936" t="s">
        <v>57</v>
      </c>
      <c r="P936" t="b">
        <v>0</v>
      </c>
      <c r="Q936" t="b">
        <v>1</v>
      </c>
      <c r="R936" t="b">
        <v>0</v>
      </c>
      <c r="S936" t="b">
        <v>1</v>
      </c>
      <c r="T936" t="b">
        <v>1</v>
      </c>
      <c r="U936">
        <v>0.2</v>
      </c>
      <c r="V936">
        <v>8.4</v>
      </c>
      <c r="W936">
        <v>3</v>
      </c>
      <c r="X936">
        <v>7.8</v>
      </c>
      <c r="Y936">
        <v>135.6</v>
      </c>
      <c r="Z936">
        <v>2</v>
      </c>
      <c r="AA936" t="s">
        <v>64</v>
      </c>
    </row>
    <row r="937" spans="1:27" x14ac:dyDescent="0.3">
      <c r="A937" t="s">
        <v>1028</v>
      </c>
      <c r="B937">
        <v>20</v>
      </c>
      <c r="C937" t="s">
        <v>28</v>
      </c>
      <c r="D937">
        <v>9.8000000000000007</v>
      </c>
      <c r="E937" t="s">
        <v>82</v>
      </c>
      <c r="F937" t="s">
        <v>167</v>
      </c>
      <c r="G937" t="s">
        <v>71</v>
      </c>
      <c r="H937">
        <v>6</v>
      </c>
      <c r="I937" t="s">
        <v>41</v>
      </c>
      <c r="J937" t="s">
        <v>74</v>
      </c>
      <c r="K937" t="s">
        <v>51</v>
      </c>
      <c r="L937">
        <v>2.02</v>
      </c>
      <c r="M937">
        <v>6</v>
      </c>
      <c r="N937" t="s">
        <v>35</v>
      </c>
      <c r="O937" t="s">
        <v>42</v>
      </c>
      <c r="P937" t="b">
        <v>1</v>
      </c>
      <c r="Q937" t="b">
        <v>0</v>
      </c>
      <c r="R937" t="b">
        <v>1</v>
      </c>
      <c r="S937" t="b">
        <v>1</v>
      </c>
      <c r="T937" t="b">
        <v>1</v>
      </c>
      <c r="U937">
        <v>1.7</v>
      </c>
      <c r="V937">
        <v>5.2</v>
      </c>
      <c r="W937">
        <v>6</v>
      </c>
      <c r="X937">
        <v>2</v>
      </c>
      <c r="Y937">
        <v>444.67</v>
      </c>
      <c r="Z937">
        <v>6</v>
      </c>
      <c r="AA937" t="s">
        <v>37</v>
      </c>
    </row>
    <row r="938" spans="1:27" x14ac:dyDescent="0.3">
      <c r="A938" t="s">
        <v>1029</v>
      </c>
      <c r="B938">
        <v>27</v>
      </c>
      <c r="C938" t="s">
        <v>28</v>
      </c>
      <c r="D938">
        <v>4.9000000000000004</v>
      </c>
      <c r="E938" t="s">
        <v>48</v>
      </c>
      <c r="F938" t="s">
        <v>128</v>
      </c>
      <c r="G938" t="s">
        <v>71</v>
      </c>
      <c r="H938">
        <v>6.1</v>
      </c>
      <c r="I938" t="s">
        <v>43</v>
      </c>
      <c r="J938" t="s">
        <v>33</v>
      </c>
      <c r="K938" t="s">
        <v>62</v>
      </c>
      <c r="M938">
        <v>8</v>
      </c>
      <c r="N938" t="s">
        <v>105</v>
      </c>
      <c r="O938" t="s">
        <v>36</v>
      </c>
      <c r="P938" t="b">
        <v>0</v>
      </c>
      <c r="Q938" t="b">
        <v>0</v>
      </c>
      <c r="R938" t="b">
        <v>0</v>
      </c>
      <c r="S938" t="b">
        <v>0</v>
      </c>
      <c r="T938" t="b">
        <v>0</v>
      </c>
      <c r="U938">
        <v>2.2000000000000002</v>
      </c>
      <c r="V938">
        <v>6.7</v>
      </c>
      <c r="W938">
        <v>2</v>
      </c>
      <c r="X938">
        <v>6.4</v>
      </c>
      <c r="Y938">
        <v>36.17</v>
      </c>
      <c r="Z938">
        <v>14</v>
      </c>
      <c r="AA938" t="s">
        <v>46</v>
      </c>
    </row>
    <row r="939" spans="1:27" x14ac:dyDescent="0.3">
      <c r="A939" t="s">
        <v>1030</v>
      </c>
      <c r="B939">
        <v>22</v>
      </c>
      <c r="C939" t="s">
        <v>53</v>
      </c>
      <c r="D939">
        <v>3.4</v>
      </c>
      <c r="E939" t="s">
        <v>48</v>
      </c>
      <c r="F939" t="s">
        <v>214</v>
      </c>
      <c r="G939" t="s">
        <v>86</v>
      </c>
      <c r="H939">
        <v>7.3</v>
      </c>
      <c r="I939" t="s">
        <v>43</v>
      </c>
      <c r="J939" t="s">
        <v>42</v>
      </c>
      <c r="K939" t="s">
        <v>84</v>
      </c>
      <c r="L939">
        <v>2.91</v>
      </c>
      <c r="M939">
        <v>1</v>
      </c>
      <c r="N939" t="s">
        <v>66</v>
      </c>
      <c r="O939" t="s">
        <v>36</v>
      </c>
      <c r="P939" t="b">
        <v>0</v>
      </c>
      <c r="Q939" t="b">
        <v>0</v>
      </c>
      <c r="R939" t="b">
        <v>0</v>
      </c>
      <c r="S939" t="b">
        <v>0</v>
      </c>
      <c r="T939" t="b">
        <v>0</v>
      </c>
      <c r="U939">
        <v>0.2</v>
      </c>
      <c r="V939">
        <v>9.3000000000000007</v>
      </c>
      <c r="W939">
        <v>3</v>
      </c>
      <c r="X939">
        <v>14.1</v>
      </c>
      <c r="Y939">
        <v>47.32</v>
      </c>
      <c r="Z939">
        <v>12</v>
      </c>
      <c r="AA939" t="s">
        <v>46</v>
      </c>
    </row>
    <row r="940" spans="1:27" x14ac:dyDescent="0.3">
      <c r="A940" t="s">
        <v>1031</v>
      </c>
      <c r="B940">
        <v>22</v>
      </c>
      <c r="C940" t="s">
        <v>28</v>
      </c>
      <c r="D940">
        <v>8.6</v>
      </c>
      <c r="E940" t="s">
        <v>60</v>
      </c>
      <c r="F940" t="s">
        <v>61</v>
      </c>
      <c r="G940" t="s">
        <v>86</v>
      </c>
      <c r="H940">
        <v>3.8</v>
      </c>
      <c r="I940" t="s">
        <v>32</v>
      </c>
      <c r="J940" t="s">
        <v>45</v>
      </c>
      <c r="K940" t="s">
        <v>34</v>
      </c>
      <c r="L940">
        <v>1.31</v>
      </c>
      <c r="M940">
        <v>6</v>
      </c>
      <c r="N940" t="s">
        <v>44</v>
      </c>
      <c r="O940" t="s">
        <v>57</v>
      </c>
      <c r="P940" t="b">
        <v>1</v>
      </c>
      <c r="Q940" t="b">
        <v>0</v>
      </c>
      <c r="R940" t="b">
        <v>0</v>
      </c>
      <c r="S940" t="b">
        <v>1</v>
      </c>
      <c r="T940" t="b">
        <v>0</v>
      </c>
      <c r="U940">
        <v>0.1</v>
      </c>
      <c r="V940">
        <v>4.2</v>
      </c>
      <c r="W940">
        <v>6</v>
      </c>
      <c r="X940">
        <v>4.3</v>
      </c>
      <c r="Y940">
        <v>455.29</v>
      </c>
      <c r="Z940">
        <v>1</v>
      </c>
      <c r="AA940" t="s">
        <v>58</v>
      </c>
    </row>
    <row r="941" spans="1:27" x14ac:dyDescent="0.3">
      <c r="A941" t="s">
        <v>1032</v>
      </c>
      <c r="B941">
        <v>25</v>
      </c>
      <c r="C941" t="s">
        <v>28</v>
      </c>
      <c r="D941">
        <v>11.8</v>
      </c>
      <c r="E941" t="s">
        <v>54</v>
      </c>
      <c r="F941" t="s">
        <v>55</v>
      </c>
      <c r="G941" t="s">
        <v>31</v>
      </c>
      <c r="H941">
        <v>3.5</v>
      </c>
      <c r="I941" t="s">
        <v>51</v>
      </c>
      <c r="J941" t="s">
        <v>36</v>
      </c>
      <c r="K941" t="s">
        <v>129</v>
      </c>
      <c r="M941">
        <v>4</v>
      </c>
      <c r="N941" t="s">
        <v>35</v>
      </c>
      <c r="O941" t="s">
        <v>42</v>
      </c>
      <c r="P941" t="b">
        <v>1</v>
      </c>
      <c r="Q941" t="b">
        <v>1</v>
      </c>
      <c r="R941" t="b">
        <v>1</v>
      </c>
      <c r="S941" t="b">
        <v>1</v>
      </c>
      <c r="T941" t="b">
        <v>1</v>
      </c>
      <c r="U941">
        <v>7.6</v>
      </c>
      <c r="V941">
        <v>2</v>
      </c>
      <c r="W941">
        <v>8</v>
      </c>
      <c r="X941">
        <v>0</v>
      </c>
      <c r="Y941">
        <v>227.37</v>
      </c>
      <c r="Z941">
        <v>14</v>
      </c>
      <c r="AA941" t="s">
        <v>37</v>
      </c>
    </row>
    <row r="942" spans="1:27" x14ac:dyDescent="0.3">
      <c r="A942" t="s">
        <v>1033</v>
      </c>
      <c r="B942">
        <v>24</v>
      </c>
      <c r="C942" t="s">
        <v>53</v>
      </c>
      <c r="D942">
        <v>5.4</v>
      </c>
      <c r="E942" t="s">
        <v>29</v>
      </c>
      <c r="F942" t="s">
        <v>118</v>
      </c>
      <c r="G942" t="s">
        <v>86</v>
      </c>
      <c r="H942">
        <v>5.7</v>
      </c>
      <c r="I942" t="s">
        <v>41</v>
      </c>
      <c r="J942" t="s">
        <v>42</v>
      </c>
      <c r="K942" t="s">
        <v>62</v>
      </c>
      <c r="M942">
        <v>9</v>
      </c>
      <c r="N942" t="s">
        <v>44</v>
      </c>
      <c r="O942" t="s">
        <v>36</v>
      </c>
      <c r="P942" t="b">
        <v>0</v>
      </c>
      <c r="Q942" t="b">
        <v>0</v>
      </c>
      <c r="R942" t="b">
        <v>0</v>
      </c>
      <c r="S942" t="b">
        <v>1</v>
      </c>
      <c r="T942" t="b">
        <v>0</v>
      </c>
      <c r="U942">
        <v>0.1</v>
      </c>
      <c r="V942">
        <v>6.2</v>
      </c>
      <c r="W942">
        <v>4</v>
      </c>
      <c r="X942">
        <v>10.9</v>
      </c>
      <c r="Y942">
        <v>88.2</v>
      </c>
      <c r="Z942">
        <v>13</v>
      </c>
      <c r="AA942" t="s">
        <v>46</v>
      </c>
    </row>
    <row r="943" spans="1:27" x14ac:dyDescent="0.3">
      <c r="A943" t="s">
        <v>1034</v>
      </c>
      <c r="B943">
        <v>18</v>
      </c>
      <c r="C943" t="s">
        <v>28</v>
      </c>
      <c r="D943">
        <v>3.8</v>
      </c>
      <c r="E943" t="s">
        <v>39</v>
      </c>
      <c r="F943" t="s">
        <v>93</v>
      </c>
      <c r="G943" t="s">
        <v>31</v>
      </c>
      <c r="H943">
        <v>6.8</v>
      </c>
      <c r="I943" t="s">
        <v>43</v>
      </c>
      <c r="J943" t="s">
        <v>33</v>
      </c>
      <c r="K943" t="s">
        <v>62</v>
      </c>
      <c r="L943">
        <v>3.48</v>
      </c>
      <c r="N943" t="s">
        <v>66</v>
      </c>
      <c r="O943" t="s">
        <v>33</v>
      </c>
      <c r="P943" t="b">
        <v>0</v>
      </c>
      <c r="Q943" t="b">
        <v>0</v>
      </c>
      <c r="R943" t="b">
        <v>0</v>
      </c>
      <c r="S943" t="b">
        <v>0</v>
      </c>
      <c r="T943" t="b">
        <v>0</v>
      </c>
      <c r="U943">
        <v>0.9</v>
      </c>
      <c r="V943">
        <v>8.8000000000000007</v>
      </c>
      <c r="W943">
        <v>1</v>
      </c>
      <c r="X943">
        <v>12.8</v>
      </c>
      <c r="Y943">
        <v>46.64</v>
      </c>
      <c r="Z943">
        <v>3</v>
      </c>
      <c r="AA943" t="s">
        <v>46</v>
      </c>
    </row>
    <row r="944" spans="1:27" x14ac:dyDescent="0.3">
      <c r="A944" t="s">
        <v>1035</v>
      </c>
      <c r="B944">
        <v>16</v>
      </c>
      <c r="C944" t="s">
        <v>28</v>
      </c>
      <c r="D944">
        <v>8.6999999999999993</v>
      </c>
      <c r="E944" t="s">
        <v>76</v>
      </c>
      <c r="F944" t="s">
        <v>126</v>
      </c>
      <c r="G944" t="s">
        <v>31</v>
      </c>
      <c r="H944">
        <v>4.3</v>
      </c>
      <c r="I944" t="s">
        <v>41</v>
      </c>
      <c r="J944" t="s">
        <v>74</v>
      </c>
      <c r="K944" t="s">
        <v>34</v>
      </c>
      <c r="L944">
        <v>1.65</v>
      </c>
      <c r="N944" t="s">
        <v>80</v>
      </c>
      <c r="O944" t="s">
        <v>33</v>
      </c>
      <c r="P944" t="b">
        <v>1</v>
      </c>
      <c r="Q944" t="b">
        <v>0</v>
      </c>
      <c r="R944" t="b">
        <v>0</v>
      </c>
      <c r="S944" t="b">
        <v>1</v>
      </c>
      <c r="T944" t="b">
        <v>0</v>
      </c>
      <c r="U944">
        <v>2.1</v>
      </c>
      <c r="V944">
        <v>4.5999999999999996</v>
      </c>
      <c r="W944">
        <v>7</v>
      </c>
      <c r="X944">
        <v>5.0999999999999996</v>
      </c>
      <c r="Y944">
        <v>466.73</v>
      </c>
      <c r="Z944">
        <v>5</v>
      </c>
      <c r="AA944" t="s">
        <v>58</v>
      </c>
    </row>
    <row r="945" spans="1:27" x14ac:dyDescent="0.3">
      <c r="A945" t="s">
        <v>1036</v>
      </c>
      <c r="B945">
        <v>19</v>
      </c>
      <c r="C945" t="s">
        <v>28</v>
      </c>
      <c r="D945">
        <v>11.3</v>
      </c>
      <c r="E945" t="s">
        <v>60</v>
      </c>
      <c r="F945" t="s">
        <v>200</v>
      </c>
      <c r="G945" t="s">
        <v>31</v>
      </c>
      <c r="H945">
        <v>4.5</v>
      </c>
      <c r="I945" t="s">
        <v>32</v>
      </c>
      <c r="J945" t="s">
        <v>33</v>
      </c>
      <c r="K945" t="s">
        <v>62</v>
      </c>
      <c r="L945">
        <v>2.06</v>
      </c>
      <c r="M945">
        <v>7</v>
      </c>
      <c r="N945" t="s">
        <v>35</v>
      </c>
      <c r="O945" t="s">
        <v>33</v>
      </c>
      <c r="P945" t="b">
        <v>1</v>
      </c>
      <c r="Q945" t="b">
        <v>0</v>
      </c>
      <c r="R945" t="b">
        <v>1</v>
      </c>
      <c r="S945" t="b">
        <v>1</v>
      </c>
      <c r="T945" t="b">
        <v>0</v>
      </c>
      <c r="U945">
        <v>6.8</v>
      </c>
      <c r="V945">
        <v>3.4</v>
      </c>
      <c r="W945">
        <v>6</v>
      </c>
      <c r="X945">
        <v>1.1000000000000001</v>
      </c>
      <c r="Y945">
        <v>446.72</v>
      </c>
      <c r="Z945">
        <v>3</v>
      </c>
      <c r="AA945" t="s">
        <v>37</v>
      </c>
    </row>
    <row r="946" spans="1:27" x14ac:dyDescent="0.3">
      <c r="A946" t="s">
        <v>1037</v>
      </c>
      <c r="B946">
        <v>25</v>
      </c>
      <c r="C946" t="s">
        <v>53</v>
      </c>
      <c r="D946">
        <v>3.7</v>
      </c>
      <c r="E946" t="s">
        <v>48</v>
      </c>
      <c r="F946" t="s">
        <v>214</v>
      </c>
      <c r="G946" t="s">
        <v>86</v>
      </c>
      <c r="H946">
        <v>6.8</v>
      </c>
      <c r="I946" t="s">
        <v>43</v>
      </c>
      <c r="J946" t="s">
        <v>45</v>
      </c>
      <c r="K946" t="s">
        <v>62</v>
      </c>
      <c r="M946">
        <v>5</v>
      </c>
      <c r="N946" t="s">
        <v>35</v>
      </c>
      <c r="O946" t="s">
        <v>33</v>
      </c>
      <c r="P946" t="b">
        <v>0</v>
      </c>
      <c r="Q946" t="b">
        <v>0</v>
      </c>
      <c r="R946" t="b">
        <v>0</v>
      </c>
      <c r="S946" t="b">
        <v>0</v>
      </c>
      <c r="T946" t="b">
        <v>0</v>
      </c>
      <c r="U946">
        <v>0.4</v>
      </c>
      <c r="V946">
        <v>8.1999999999999993</v>
      </c>
      <c r="W946">
        <v>2</v>
      </c>
      <c r="X946">
        <v>9.1999999999999993</v>
      </c>
      <c r="Y946">
        <v>27.83</v>
      </c>
      <c r="Z946">
        <v>10</v>
      </c>
      <c r="AA946" t="s">
        <v>46</v>
      </c>
    </row>
    <row r="947" spans="1:27" x14ac:dyDescent="0.3">
      <c r="A947" t="s">
        <v>1038</v>
      </c>
      <c r="B947">
        <v>23</v>
      </c>
      <c r="C947" t="s">
        <v>28</v>
      </c>
      <c r="D947">
        <v>2.5</v>
      </c>
      <c r="E947" t="s">
        <v>48</v>
      </c>
      <c r="F947" t="s">
        <v>128</v>
      </c>
      <c r="G947" t="s">
        <v>71</v>
      </c>
      <c r="H947">
        <v>8.1999999999999993</v>
      </c>
      <c r="I947" t="s">
        <v>43</v>
      </c>
      <c r="J947" t="s">
        <v>33</v>
      </c>
      <c r="K947" t="s">
        <v>43</v>
      </c>
      <c r="M947">
        <v>8</v>
      </c>
      <c r="N947" t="s">
        <v>66</v>
      </c>
      <c r="O947" t="s">
        <v>45</v>
      </c>
      <c r="P947" t="b">
        <v>0</v>
      </c>
      <c r="Q947" t="b">
        <v>0</v>
      </c>
      <c r="R947" t="b">
        <v>0</v>
      </c>
      <c r="S947" t="b">
        <v>0</v>
      </c>
      <c r="T947" t="b">
        <v>0</v>
      </c>
      <c r="U947">
        <v>0.7</v>
      </c>
      <c r="V947">
        <v>10.199999999999999</v>
      </c>
      <c r="W947">
        <v>1</v>
      </c>
      <c r="X947">
        <v>11.1</v>
      </c>
      <c r="Y947">
        <v>16.97</v>
      </c>
      <c r="Z947">
        <v>4</v>
      </c>
      <c r="AA947" t="s">
        <v>46</v>
      </c>
    </row>
    <row r="948" spans="1:27" x14ac:dyDescent="0.3">
      <c r="A948" t="s">
        <v>1039</v>
      </c>
      <c r="B948">
        <v>33</v>
      </c>
      <c r="C948" t="s">
        <v>28</v>
      </c>
      <c r="D948">
        <v>8.9</v>
      </c>
      <c r="E948" t="s">
        <v>39</v>
      </c>
      <c r="F948" t="s">
        <v>40</v>
      </c>
      <c r="G948" t="s">
        <v>50</v>
      </c>
      <c r="H948">
        <v>5.5</v>
      </c>
      <c r="I948" t="s">
        <v>51</v>
      </c>
      <c r="J948" t="s">
        <v>74</v>
      </c>
      <c r="K948" t="s">
        <v>34</v>
      </c>
      <c r="M948">
        <v>6</v>
      </c>
      <c r="N948" t="s">
        <v>44</v>
      </c>
      <c r="O948" t="s">
        <v>36</v>
      </c>
      <c r="P948" t="b">
        <v>1</v>
      </c>
      <c r="Q948" t="b">
        <v>0</v>
      </c>
      <c r="R948" t="b">
        <v>0</v>
      </c>
      <c r="S948" t="b">
        <v>1</v>
      </c>
      <c r="T948" t="b">
        <v>1</v>
      </c>
      <c r="U948">
        <v>5.3</v>
      </c>
      <c r="V948">
        <v>7.5</v>
      </c>
      <c r="W948">
        <v>4</v>
      </c>
      <c r="X948">
        <v>3.6</v>
      </c>
      <c r="Y948">
        <v>129.13</v>
      </c>
      <c r="Z948">
        <v>1</v>
      </c>
      <c r="AA948" t="s">
        <v>58</v>
      </c>
    </row>
    <row r="949" spans="1:27" x14ac:dyDescent="0.3">
      <c r="A949" t="s">
        <v>1040</v>
      </c>
      <c r="B949">
        <v>29</v>
      </c>
      <c r="C949" t="s">
        <v>28</v>
      </c>
      <c r="D949">
        <v>3.3</v>
      </c>
      <c r="E949" t="s">
        <v>82</v>
      </c>
      <c r="F949" t="s">
        <v>167</v>
      </c>
      <c r="G949" t="s">
        <v>86</v>
      </c>
      <c r="H949">
        <v>8.5</v>
      </c>
      <c r="I949" t="s">
        <v>43</v>
      </c>
      <c r="J949" t="s">
        <v>74</v>
      </c>
      <c r="K949" t="s">
        <v>84</v>
      </c>
      <c r="M949">
        <v>1</v>
      </c>
      <c r="N949" t="s">
        <v>69</v>
      </c>
      <c r="O949" t="s">
        <v>45</v>
      </c>
      <c r="P949" t="b">
        <v>0</v>
      </c>
      <c r="Q949" t="b">
        <v>0</v>
      </c>
      <c r="R949" t="b">
        <v>0</v>
      </c>
      <c r="S949" t="b">
        <v>0</v>
      </c>
      <c r="T949" t="b">
        <v>0</v>
      </c>
      <c r="U949">
        <v>0.2</v>
      </c>
      <c r="V949">
        <v>7.3</v>
      </c>
      <c r="W949">
        <v>3</v>
      </c>
      <c r="X949">
        <v>13.4</v>
      </c>
      <c r="Y949">
        <v>24</v>
      </c>
      <c r="Z949">
        <v>17</v>
      </c>
      <c r="AA949" t="s">
        <v>46</v>
      </c>
    </row>
    <row r="950" spans="1:27" x14ac:dyDescent="0.3">
      <c r="A950" t="s">
        <v>1041</v>
      </c>
      <c r="B950">
        <v>19</v>
      </c>
      <c r="C950" t="s">
        <v>28</v>
      </c>
      <c r="D950">
        <v>7.7</v>
      </c>
      <c r="E950" t="s">
        <v>29</v>
      </c>
      <c r="F950" t="s">
        <v>118</v>
      </c>
      <c r="G950" t="s">
        <v>50</v>
      </c>
      <c r="H950">
        <v>3.9</v>
      </c>
      <c r="I950" t="s">
        <v>51</v>
      </c>
      <c r="J950" t="s">
        <v>33</v>
      </c>
      <c r="K950" t="s">
        <v>34</v>
      </c>
      <c r="L950">
        <v>2.5299999999999998</v>
      </c>
      <c r="M950">
        <v>1</v>
      </c>
      <c r="N950" t="s">
        <v>44</v>
      </c>
      <c r="O950" t="s">
        <v>42</v>
      </c>
      <c r="P950" t="b">
        <v>1</v>
      </c>
      <c r="Q950" t="b">
        <v>1</v>
      </c>
      <c r="R950" t="b">
        <v>0</v>
      </c>
      <c r="S950" t="b">
        <v>0</v>
      </c>
      <c r="T950" t="b">
        <v>0</v>
      </c>
      <c r="U950">
        <v>2.7</v>
      </c>
      <c r="V950">
        <v>7.9</v>
      </c>
      <c r="W950">
        <v>6</v>
      </c>
      <c r="X950">
        <v>6.4</v>
      </c>
      <c r="Y950">
        <v>67.61</v>
      </c>
      <c r="Z950">
        <v>6</v>
      </c>
      <c r="AA950" t="s">
        <v>58</v>
      </c>
    </row>
    <row r="951" spans="1:27" x14ac:dyDescent="0.3">
      <c r="A951" t="s">
        <v>1042</v>
      </c>
      <c r="B951">
        <v>19</v>
      </c>
      <c r="C951" t="s">
        <v>28</v>
      </c>
      <c r="D951">
        <v>1.1000000000000001</v>
      </c>
      <c r="E951" t="s">
        <v>29</v>
      </c>
      <c r="F951" t="s">
        <v>104</v>
      </c>
      <c r="G951" t="s">
        <v>86</v>
      </c>
      <c r="H951">
        <v>7.7</v>
      </c>
      <c r="I951" t="s">
        <v>43</v>
      </c>
      <c r="J951" t="s">
        <v>45</v>
      </c>
      <c r="K951" t="s">
        <v>84</v>
      </c>
      <c r="L951">
        <v>1.78</v>
      </c>
      <c r="M951">
        <v>4</v>
      </c>
      <c r="N951" t="s">
        <v>35</v>
      </c>
      <c r="O951" t="s">
        <v>45</v>
      </c>
      <c r="P951" t="b">
        <v>0</v>
      </c>
      <c r="Q951" t="b">
        <v>0</v>
      </c>
      <c r="R951" t="b">
        <v>0</v>
      </c>
      <c r="S951" t="b">
        <v>0</v>
      </c>
      <c r="T951" t="b">
        <v>0</v>
      </c>
      <c r="U951">
        <v>0.2</v>
      </c>
      <c r="V951">
        <v>7.6</v>
      </c>
      <c r="W951">
        <v>1</v>
      </c>
      <c r="X951">
        <v>12.4</v>
      </c>
      <c r="Y951">
        <v>5.41</v>
      </c>
      <c r="Z951">
        <v>2</v>
      </c>
      <c r="AA951" t="s">
        <v>46</v>
      </c>
    </row>
    <row r="952" spans="1:27" x14ac:dyDescent="0.3">
      <c r="A952" t="s">
        <v>1043</v>
      </c>
      <c r="B952">
        <v>24</v>
      </c>
      <c r="C952" t="s">
        <v>53</v>
      </c>
      <c r="D952">
        <v>7.2</v>
      </c>
      <c r="E952" t="s">
        <v>39</v>
      </c>
      <c r="F952" t="s">
        <v>40</v>
      </c>
      <c r="G952" t="s">
        <v>86</v>
      </c>
      <c r="H952">
        <v>3.5</v>
      </c>
      <c r="I952" t="s">
        <v>51</v>
      </c>
      <c r="J952" t="s">
        <v>33</v>
      </c>
      <c r="K952" t="s">
        <v>51</v>
      </c>
      <c r="M952">
        <v>7</v>
      </c>
      <c r="N952" t="s">
        <v>44</v>
      </c>
      <c r="O952" t="s">
        <v>36</v>
      </c>
      <c r="P952" t="b">
        <v>1</v>
      </c>
      <c r="Q952" t="b">
        <v>0</v>
      </c>
      <c r="R952" t="b">
        <v>0</v>
      </c>
      <c r="S952" t="b">
        <v>1</v>
      </c>
      <c r="T952" t="b">
        <v>1</v>
      </c>
      <c r="U952">
        <v>2.6</v>
      </c>
      <c r="V952">
        <v>7.2</v>
      </c>
      <c r="W952">
        <v>4</v>
      </c>
      <c r="X952">
        <v>8.3000000000000007</v>
      </c>
      <c r="Y952">
        <v>141.29</v>
      </c>
      <c r="Z952">
        <v>3</v>
      </c>
      <c r="AA952" t="s">
        <v>64</v>
      </c>
    </row>
    <row r="953" spans="1:27" x14ac:dyDescent="0.3">
      <c r="A953" t="s">
        <v>1044</v>
      </c>
      <c r="B953">
        <v>21</v>
      </c>
      <c r="C953" t="s">
        <v>28</v>
      </c>
      <c r="D953">
        <v>8.3000000000000007</v>
      </c>
      <c r="E953" t="s">
        <v>48</v>
      </c>
      <c r="F953" t="s">
        <v>214</v>
      </c>
      <c r="G953" t="s">
        <v>50</v>
      </c>
      <c r="H953">
        <v>3.7</v>
      </c>
      <c r="I953" t="s">
        <v>51</v>
      </c>
      <c r="J953" t="s">
        <v>36</v>
      </c>
      <c r="K953" t="s">
        <v>129</v>
      </c>
      <c r="L953">
        <v>1.1200000000000001</v>
      </c>
      <c r="M953">
        <v>1</v>
      </c>
      <c r="N953" t="s">
        <v>44</v>
      </c>
      <c r="O953" t="s">
        <v>45</v>
      </c>
      <c r="P953" t="b">
        <v>0</v>
      </c>
      <c r="Q953" t="b">
        <v>0</v>
      </c>
      <c r="R953" t="b">
        <v>1</v>
      </c>
      <c r="S953" t="b">
        <v>1</v>
      </c>
      <c r="T953" t="b">
        <v>0</v>
      </c>
      <c r="U953">
        <v>0.7</v>
      </c>
      <c r="V953">
        <v>6.8</v>
      </c>
      <c r="W953">
        <v>7</v>
      </c>
      <c r="X953">
        <v>2.7</v>
      </c>
      <c r="Y953">
        <v>17.93</v>
      </c>
      <c r="Z953">
        <v>5</v>
      </c>
      <c r="AA953" t="s">
        <v>64</v>
      </c>
    </row>
    <row r="954" spans="1:27" x14ac:dyDescent="0.3">
      <c r="A954" t="s">
        <v>1045</v>
      </c>
      <c r="B954">
        <v>20</v>
      </c>
      <c r="C954" t="s">
        <v>28</v>
      </c>
      <c r="D954">
        <v>2.8</v>
      </c>
      <c r="E954" t="s">
        <v>48</v>
      </c>
      <c r="F954" t="s">
        <v>68</v>
      </c>
      <c r="G954" t="s">
        <v>71</v>
      </c>
      <c r="H954">
        <v>8.1999999999999993</v>
      </c>
      <c r="I954" t="s">
        <v>41</v>
      </c>
      <c r="J954" t="s">
        <v>42</v>
      </c>
      <c r="K954" t="s">
        <v>43</v>
      </c>
      <c r="L954">
        <v>1.64</v>
      </c>
      <c r="M954">
        <v>1</v>
      </c>
      <c r="N954" t="s">
        <v>66</v>
      </c>
      <c r="O954" t="s">
        <v>36</v>
      </c>
      <c r="P954" t="b">
        <v>0</v>
      </c>
      <c r="Q954" t="b">
        <v>0</v>
      </c>
      <c r="R954" t="b">
        <v>0</v>
      </c>
      <c r="S954" t="b">
        <v>0</v>
      </c>
      <c r="T954" t="b">
        <v>0</v>
      </c>
      <c r="U954">
        <v>2.2999999999999998</v>
      </c>
      <c r="V954">
        <v>6.9</v>
      </c>
      <c r="W954">
        <v>1</v>
      </c>
      <c r="X954">
        <v>11.5</v>
      </c>
      <c r="Y954">
        <v>18.690000000000001</v>
      </c>
      <c r="Z954">
        <v>9</v>
      </c>
      <c r="AA954" t="s">
        <v>46</v>
      </c>
    </row>
    <row r="955" spans="1:27" x14ac:dyDescent="0.3">
      <c r="A955" t="s">
        <v>1046</v>
      </c>
      <c r="B955">
        <v>22</v>
      </c>
      <c r="C955" t="s">
        <v>53</v>
      </c>
      <c r="D955">
        <v>5.5</v>
      </c>
      <c r="E955" t="s">
        <v>54</v>
      </c>
      <c r="F955" t="s">
        <v>98</v>
      </c>
      <c r="G955" t="s">
        <v>50</v>
      </c>
      <c r="H955">
        <v>5</v>
      </c>
      <c r="I955" t="s">
        <v>51</v>
      </c>
      <c r="J955" t="s">
        <v>45</v>
      </c>
      <c r="K955" t="s">
        <v>43</v>
      </c>
      <c r="L955">
        <v>3.13</v>
      </c>
      <c r="M955">
        <v>2</v>
      </c>
      <c r="N955" t="s">
        <v>63</v>
      </c>
      <c r="O955" t="s">
        <v>57</v>
      </c>
      <c r="P955" t="b">
        <v>0</v>
      </c>
      <c r="Q955" t="b">
        <v>0</v>
      </c>
      <c r="R955" t="b">
        <v>0</v>
      </c>
      <c r="S955" t="b">
        <v>1</v>
      </c>
      <c r="T955" t="b">
        <v>0</v>
      </c>
      <c r="U955">
        <v>1.5</v>
      </c>
      <c r="V955">
        <v>9.3000000000000007</v>
      </c>
      <c r="W955">
        <v>3</v>
      </c>
      <c r="X955">
        <v>11.8</v>
      </c>
      <c r="Y955">
        <v>33.67</v>
      </c>
      <c r="Z955">
        <v>10</v>
      </c>
      <c r="AA955" t="s">
        <v>46</v>
      </c>
    </row>
    <row r="956" spans="1:27" x14ac:dyDescent="0.3">
      <c r="A956" t="s">
        <v>1047</v>
      </c>
      <c r="B956">
        <v>26</v>
      </c>
      <c r="C956" t="s">
        <v>28</v>
      </c>
      <c r="D956">
        <v>5.7</v>
      </c>
      <c r="E956" t="s">
        <v>54</v>
      </c>
      <c r="F956" t="s">
        <v>89</v>
      </c>
      <c r="G956" t="s">
        <v>50</v>
      </c>
      <c r="H956">
        <v>5.4</v>
      </c>
      <c r="I956" t="s">
        <v>51</v>
      </c>
      <c r="J956" t="s">
        <v>36</v>
      </c>
      <c r="K956" t="s">
        <v>43</v>
      </c>
      <c r="M956">
        <v>8</v>
      </c>
      <c r="N956" t="s">
        <v>44</v>
      </c>
      <c r="O956" t="s">
        <v>57</v>
      </c>
      <c r="P956" t="b">
        <v>0</v>
      </c>
      <c r="Q956" t="b">
        <v>1</v>
      </c>
      <c r="R956" t="b">
        <v>0</v>
      </c>
      <c r="S956" t="b">
        <v>0</v>
      </c>
      <c r="T956" t="b">
        <v>1</v>
      </c>
      <c r="U956">
        <v>1.4</v>
      </c>
      <c r="V956">
        <v>7.6</v>
      </c>
      <c r="W956">
        <v>3</v>
      </c>
      <c r="X956">
        <v>10.4</v>
      </c>
      <c r="Y956">
        <v>96.14</v>
      </c>
      <c r="Z956">
        <v>5</v>
      </c>
      <c r="AA956" t="s">
        <v>64</v>
      </c>
    </row>
    <row r="957" spans="1:27" x14ac:dyDescent="0.3">
      <c r="A957" t="s">
        <v>1048</v>
      </c>
      <c r="B957">
        <v>23</v>
      </c>
      <c r="C957" t="s">
        <v>152</v>
      </c>
      <c r="D957">
        <v>6</v>
      </c>
      <c r="E957" t="s">
        <v>60</v>
      </c>
      <c r="F957" t="s">
        <v>200</v>
      </c>
      <c r="G957" t="s">
        <v>31</v>
      </c>
      <c r="H957">
        <v>6.2</v>
      </c>
      <c r="I957" t="s">
        <v>41</v>
      </c>
      <c r="J957" t="s">
        <v>74</v>
      </c>
      <c r="K957" t="s">
        <v>34</v>
      </c>
      <c r="M957">
        <v>2</v>
      </c>
      <c r="N957" t="s">
        <v>56</v>
      </c>
      <c r="O957" t="s">
        <v>33</v>
      </c>
      <c r="P957" t="b">
        <v>0</v>
      </c>
      <c r="Q957" t="b">
        <v>0</v>
      </c>
      <c r="R957" t="b">
        <v>0</v>
      </c>
      <c r="S957" t="b">
        <v>1</v>
      </c>
      <c r="T957" t="b">
        <v>1</v>
      </c>
      <c r="U957">
        <v>1.4</v>
      </c>
      <c r="V957">
        <v>6.8</v>
      </c>
      <c r="W957">
        <v>4</v>
      </c>
      <c r="X957">
        <v>5.9</v>
      </c>
      <c r="Y957">
        <v>28.31</v>
      </c>
      <c r="Z957">
        <v>11</v>
      </c>
      <c r="AA957" t="s">
        <v>46</v>
      </c>
    </row>
    <row r="958" spans="1:27" x14ac:dyDescent="0.3">
      <c r="A958" t="s">
        <v>1049</v>
      </c>
      <c r="B958">
        <v>21</v>
      </c>
      <c r="C958" t="s">
        <v>28</v>
      </c>
      <c r="D958">
        <v>5.9</v>
      </c>
      <c r="E958" t="s">
        <v>76</v>
      </c>
      <c r="F958" t="s">
        <v>77</v>
      </c>
      <c r="G958" t="s">
        <v>86</v>
      </c>
      <c r="H958">
        <v>6.2</v>
      </c>
      <c r="I958" t="s">
        <v>78</v>
      </c>
      <c r="J958" t="s">
        <v>33</v>
      </c>
      <c r="K958" t="s">
        <v>34</v>
      </c>
      <c r="L958">
        <v>2.35</v>
      </c>
      <c r="M958">
        <v>5</v>
      </c>
      <c r="N958" t="s">
        <v>63</v>
      </c>
      <c r="O958" t="s">
        <v>42</v>
      </c>
      <c r="P958" t="b">
        <v>0</v>
      </c>
      <c r="Q958" t="b">
        <v>1</v>
      </c>
      <c r="R958" t="b">
        <v>0</v>
      </c>
      <c r="S958" t="b">
        <v>1</v>
      </c>
      <c r="T958" t="b">
        <v>1</v>
      </c>
      <c r="U958">
        <v>0.5</v>
      </c>
      <c r="V958">
        <v>7.9</v>
      </c>
      <c r="W958">
        <v>3</v>
      </c>
      <c r="X958">
        <v>5.8</v>
      </c>
      <c r="Y958">
        <v>142.99</v>
      </c>
      <c r="Z958">
        <v>3</v>
      </c>
      <c r="AA958" t="s">
        <v>64</v>
      </c>
    </row>
    <row r="959" spans="1:27" x14ac:dyDescent="0.3">
      <c r="A959" t="s">
        <v>1050</v>
      </c>
      <c r="B959">
        <v>20</v>
      </c>
      <c r="C959" t="s">
        <v>28</v>
      </c>
      <c r="D959">
        <v>7.7</v>
      </c>
      <c r="E959" t="s">
        <v>54</v>
      </c>
      <c r="F959" t="s">
        <v>89</v>
      </c>
      <c r="G959" t="s">
        <v>86</v>
      </c>
      <c r="H959">
        <v>5.2</v>
      </c>
      <c r="I959" t="s">
        <v>32</v>
      </c>
      <c r="J959" t="s">
        <v>36</v>
      </c>
      <c r="K959" t="s">
        <v>34</v>
      </c>
      <c r="L959">
        <v>3.71</v>
      </c>
      <c r="M959">
        <v>2</v>
      </c>
      <c r="N959" t="s">
        <v>44</v>
      </c>
      <c r="O959" t="s">
        <v>36</v>
      </c>
      <c r="P959" t="b">
        <v>1</v>
      </c>
      <c r="Q959" t="b">
        <v>0</v>
      </c>
      <c r="R959" t="b">
        <v>1</v>
      </c>
      <c r="S959" t="b">
        <v>1</v>
      </c>
      <c r="T959" t="b">
        <v>0</v>
      </c>
      <c r="U959">
        <v>0.4</v>
      </c>
      <c r="V959">
        <v>6.2</v>
      </c>
      <c r="W959">
        <v>6</v>
      </c>
      <c r="X959">
        <v>7.7</v>
      </c>
      <c r="Y959">
        <v>37.020000000000003</v>
      </c>
      <c r="Z959">
        <v>5</v>
      </c>
      <c r="AA959" t="s">
        <v>58</v>
      </c>
    </row>
    <row r="960" spans="1:27" x14ac:dyDescent="0.3">
      <c r="A960" t="s">
        <v>1051</v>
      </c>
      <c r="B960">
        <v>25</v>
      </c>
      <c r="C960" t="s">
        <v>28</v>
      </c>
      <c r="D960">
        <v>4.9000000000000004</v>
      </c>
      <c r="E960" t="s">
        <v>60</v>
      </c>
      <c r="F960" t="s">
        <v>200</v>
      </c>
      <c r="G960" t="s">
        <v>31</v>
      </c>
      <c r="H960">
        <v>6.6</v>
      </c>
      <c r="I960" t="s">
        <v>41</v>
      </c>
      <c r="J960" t="s">
        <v>45</v>
      </c>
      <c r="K960" t="s">
        <v>62</v>
      </c>
      <c r="M960">
        <v>2</v>
      </c>
      <c r="N960" t="s">
        <v>35</v>
      </c>
      <c r="O960" t="s">
        <v>33</v>
      </c>
      <c r="P960" t="b">
        <v>0</v>
      </c>
      <c r="Q960" t="b">
        <v>0</v>
      </c>
      <c r="R960" t="b">
        <v>0</v>
      </c>
      <c r="S960" t="b">
        <v>1</v>
      </c>
      <c r="T960" t="b">
        <v>0</v>
      </c>
      <c r="U960">
        <v>1.2</v>
      </c>
      <c r="V960">
        <v>6.1</v>
      </c>
      <c r="W960">
        <v>3</v>
      </c>
      <c r="X960">
        <v>10.7</v>
      </c>
      <c r="Y960">
        <v>21.48</v>
      </c>
      <c r="Z960">
        <v>9</v>
      </c>
      <c r="AA960" t="s">
        <v>46</v>
      </c>
    </row>
    <row r="961" spans="1:27" x14ac:dyDescent="0.3">
      <c r="A961" t="s">
        <v>1052</v>
      </c>
      <c r="B961">
        <v>16</v>
      </c>
      <c r="C961" t="s">
        <v>28</v>
      </c>
      <c r="D961">
        <v>7.6</v>
      </c>
      <c r="E961" t="s">
        <v>48</v>
      </c>
      <c r="F961" t="s">
        <v>49</v>
      </c>
      <c r="G961" t="s">
        <v>50</v>
      </c>
      <c r="H961">
        <v>4</v>
      </c>
      <c r="I961" t="s">
        <v>51</v>
      </c>
      <c r="J961" t="s">
        <v>33</v>
      </c>
      <c r="K961" t="s">
        <v>51</v>
      </c>
      <c r="L961">
        <v>1.6</v>
      </c>
      <c r="N961" t="s">
        <v>35</v>
      </c>
      <c r="O961" t="s">
        <v>57</v>
      </c>
      <c r="P961" t="b">
        <v>0</v>
      </c>
      <c r="Q961" t="b">
        <v>1</v>
      </c>
      <c r="R961" t="b">
        <v>1</v>
      </c>
      <c r="S961" t="b">
        <v>1</v>
      </c>
      <c r="T961" t="b">
        <v>0</v>
      </c>
      <c r="U961">
        <v>2.5</v>
      </c>
      <c r="V961">
        <v>6.6</v>
      </c>
      <c r="W961">
        <v>4</v>
      </c>
      <c r="X961">
        <v>5</v>
      </c>
      <c r="Y961">
        <v>138.82</v>
      </c>
      <c r="Z961">
        <v>1</v>
      </c>
      <c r="AA961" t="s">
        <v>58</v>
      </c>
    </row>
    <row r="962" spans="1:27" x14ac:dyDescent="0.3">
      <c r="A962" t="s">
        <v>1053</v>
      </c>
      <c r="B962">
        <v>15</v>
      </c>
      <c r="C962" t="s">
        <v>53</v>
      </c>
      <c r="D962">
        <v>5.2</v>
      </c>
      <c r="E962" t="s">
        <v>39</v>
      </c>
      <c r="F962" t="s">
        <v>120</v>
      </c>
      <c r="G962" t="s">
        <v>31</v>
      </c>
      <c r="H962">
        <v>5.0999999999999996</v>
      </c>
      <c r="I962" t="s">
        <v>43</v>
      </c>
      <c r="J962" t="s">
        <v>45</v>
      </c>
      <c r="K962" t="s">
        <v>62</v>
      </c>
      <c r="L962">
        <v>3.82</v>
      </c>
      <c r="N962" t="s">
        <v>66</v>
      </c>
      <c r="O962" t="s">
        <v>57</v>
      </c>
      <c r="P962" t="b">
        <v>0</v>
      </c>
      <c r="Q962" t="b">
        <v>0</v>
      </c>
      <c r="R962" t="b">
        <v>0</v>
      </c>
      <c r="S962" t="b">
        <v>1</v>
      </c>
      <c r="T962" t="b">
        <v>0</v>
      </c>
      <c r="U962">
        <v>1.1000000000000001</v>
      </c>
      <c r="V962">
        <v>6.4</v>
      </c>
      <c r="W962">
        <v>4</v>
      </c>
      <c r="X962">
        <v>9.8000000000000007</v>
      </c>
      <c r="Y962">
        <v>77.03</v>
      </c>
      <c r="Z962">
        <v>3</v>
      </c>
      <c r="AA962" t="s">
        <v>46</v>
      </c>
    </row>
    <row r="963" spans="1:27" x14ac:dyDescent="0.3">
      <c r="A963" t="s">
        <v>1054</v>
      </c>
      <c r="B963">
        <v>20</v>
      </c>
      <c r="C963" t="s">
        <v>53</v>
      </c>
      <c r="D963">
        <v>6.8</v>
      </c>
      <c r="E963" t="s">
        <v>29</v>
      </c>
      <c r="F963" t="s">
        <v>104</v>
      </c>
      <c r="G963" t="s">
        <v>86</v>
      </c>
      <c r="H963">
        <v>5.3</v>
      </c>
      <c r="I963" t="s">
        <v>32</v>
      </c>
      <c r="J963" t="s">
        <v>33</v>
      </c>
      <c r="K963" t="s">
        <v>51</v>
      </c>
      <c r="L963">
        <v>2.5499999999999998</v>
      </c>
      <c r="M963">
        <v>1</v>
      </c>
      <c r="N963" t="s">
        <v>80</v>
      </c>
      <c r="O963" t="s">
        <v>36</v>
      </c>
      <c r="P963" t="b">
        <v>1</v>
      </c>
      <c r="Q963" t="b">
        <v>1</v>
      </c>
      <c r="R963" t="b">
        <v>0</v>
      </c>
      <c r="S963" t="b">
        <v>1</v>
      </c>
      <c r="T963" t="b">
        <v>0</v>
      </c>
      <c r="U963">
        <v>2.5</v>
      </c>
      <c r="V963">
        <v>5.4</v>
      </c>
      <c r="W963">
        <v>5</v>
      </c>
      <c r="X963">
        <v>5.8</v>
      </c>
      <c r="Y963">
        <v>77.66</v>
      </c>
      <c r="Z963">
        <v>8</v>
      </c>
      <c r="AA963" t="s">
        <v>58</v>
      </c>
    </row>
    <row r="964" spans="1:27" x14ac:dyDescent="0.3">
      <c r="A964" t="s">
        <v>1055</v>
      </c>
      <c r="B964">
        <v>18</v>
      </c>
      <c r="C964" t="s">
        <v>53</v>
      </c>
      <c r="D964">
        <v>10.8</v>
      </c>
      <c r="E964" t="s">
        <v>48</v>
      </c>
      <c r="F964" t="s">
        <v>49</v>
      </c>
      <c r="G964" t="s">
        <v>86</v>
      </c>
      <c r="H964">
        <v>5</v>
      </c>
      <c r="I964" t="s">
        <v>32</v>
      </c>
      <c r="J964" t="s">
        <v>42</v>
      </c>
      <c r="K964" t="s">
        <v>62</v>
      </c>
      <c r="L964">
        <v>3.21</v>
      </c>
      <c r="N964" t="s">
        <v>44</v>
      </c>
      <c r="O964" t="s">
        <v>42</v>
      </c>
      <c r="P964" t="b">
        <v>1</v>
      </c>
      <c r="Q964" t="b">
        <v>0</v>
      </c>
      <c r="R964" t="b">
        <v>0</v>
      </c>
      <c r="S964" t="b">
        <v>1</v>
      </c>
      <c r="T964" t="b">
        <v>1</v>
      </c>
      <c r="U964">
        <v>4.5</v>
      </c>
      <c r="V964">
        <v>4</v>
      </c>
      <c r="W964">
        <v>6</v>
      </c>
      <c r="X964">
        <v>0.3</v>
      </c>
      <c r="Y964">
        <v>110.92</v>
      </c>
      <c r="Z964">
        <v>1</v>
      </c>
      <c r="AA964" t="s">
        <v>58</v>
      </c>
    </row>
    <row r="965" spans="1:27" x14ac:dyDescent="0.3">
      <c r="A965" t="s">
        <v>1056</v>
      </c>
      <c r="B965">
        <v>24</v>
      </c>
      <c r="C965" t="s">
        <v>28</v>
      </c>
      <c r="D965">
        <v>3.6</v>
      </c>
      <c r="E965" t="s">
        <v>39</v>
      </c>
      <c r="F965" t="s">
        <v>40</v>
      </c>
      <c r="G965" t="s">
        <v>86</v>
      </c>
      <c r="H965">
        <v>5.6</v>
      </c>
      <c r="I965" t="s">
        <v>41</v>
      </c>
      <c r="J965" t="s">
        <v>45</v>
      </c>
      <c r="K965" t="s">
        <v>62</v>
      </c>
      <c r="M965">
        <v>9</v>
      </c>
      <c r="N965" t="s">
        <v>80</v>
      </c>
      <c r="O965" t="s">
        <v>45</v>
      </c>
      <c r="P965" t="b">
        <v>0</v>
      </c>
      <c r="Q965" t="b">
        <v>0</v>
      </c>
      <c r="R965" t="b">
        <v>0</v>
      </c>
      <c r="S965" t="b">
        <v>0</v>
      </c>
      <c r="T965" t="b">
        <v>0</v>
      </c>
      <c r="U965">
        <v>0.7</v>
      </c>
      <c r="V965">
        <v>8.1999999999999993</v>
      </c>
      <c r="W965">
        <v>4</v>
      </c>
      <c r="X965">
        <v>9.8000000000000007</v>
      </c>
      <c r="Y965">
        <v>46.98</v>
      </c>
      <c r="Z965">
        <v>6</v>
      </c>
      <c r="AA965" t="s">
        <v>46</v>
      </c>
    </row>
    <row r="966" spans="1:27" x14ac:dyDescent="0.3">
      <c r="A966" t="s">
        <v>1057</v>
      </c>
      <c r="B966">
        <v>19</v>
      </c>
      <c r="C966" t="s">
        <v>28</v>
      </c>
      <c r="D966">
        <v>9.3000000000000007</v>
      </c>
      <c r="E966" t="s">
        <v>60</v>
      </c>
      <c r="F966" t="s">
        <v>96</v>
      </c>
      <c r="G966" t="s">
        <v>86</v>
      </c>
      <c r="H966">
        <v>5.0999999999999996</v>
      </c>
      <c r="I966" t="s">
        <v>51</v>
      </c>
      <c r="J966" t="s">
        <v>42</v>
      </c>
      <c r="K966" t="s">
        <v>51</v>
      </c>
      <c r="L966">
        <v>1.78</v>
      </c>
      <c r="M966">
        <v>4</v>
      </c>
      <c r="N966" t="s">
        <v>80</v>
      </c>
      <c r="O966" t="s">
        <v>36</v>
      </c>
      <c r="P966" t="b">
        <v>0</v>
      </c>
      <c r="Q966" t="b">
        <v>1</v>
      </c>
      <c r="R966" t="b">
        <v>1</v>
      </c>
      <c r="S966" t="b">
        <v>0</v>
      </c>
      <c r="T966" t="b">
        <v>1</v>
      </c>
      <c r="U966">
        <v>0.1</v>
      </c>
      <c r="V966">
        <v>3.9</v>
      </c>
      <c r="W966">
        <v>4</v>
      </c>
      <c r="X966">
        <v>5.4</v>
      </c>
      <c r="Y966">
        <v>50.18</v>
      </c>
      <c r="Z966">
        <v>8</v>
      </c>
      <c r="AA966" t="s">
        <v>37</v>
      </c>
    </row>
    <row r="967" spans="1:27" x14ac:dyDescent="0.3">
      <c r="A967" t="s">
        <v>1058</v>
      </c>
      <c r="B967">
        <v>18</v>
      </c>
      <c r="C967" t="s">
        <v>152</v>
      </c>
      <c r="D967">
        <v>7.6</v>
      </c>
      <c r="E967" t="s">
        <v>48</v>
      </c>
      <c r="F967" t="s">
        <v>128</v>
      </c>
      <c r="G967" t="s">
        <v>31</v>
      </c>
      <c r="H967">
        <v>4.8</v>
      </c>
      <c r="I967" t="s">
        <v>32</v>
      </c>
      <c r="J967" t="s">
        <v>36</v>
      </c>
      <c r="K967" t="s">
        <v>84</v>
      </c>
      <c r="L967">
        <v>1.05</v>
      </c>
      <c r="N967" t="s">
        <v>35</v>
      </c>
      <c r="O967" t="s">
        <v>57</v>
      </c>
      <c r="P967" t="b">
        <v>1</v>
      </c>
      <c r="Q967" t="b">
        <v>1</v>
      </c>
      <c r="R967" t="b">
        <v>0</v>
      </c>
      <c r="S967" t="b">
        <v>1</v>
      </c>
      <c r="T967" t="b">
        <v>1</v>
      </c>
      <c r="U967">
        <v>3.6</v>
      </c>
      <c r="V967">
        <v>6.1</v>
      </c>
      <c r="W967">
        <v>3</v>
      </c>
      <c r="X967">
        <v>8.1</v>
      </c>
      <c r="Y967">
        <v>37.08</v>
      </c>
      <c r="Z967">
        <v>4</v>
      </c>
      <c r="AA967" t="s">
        <v>58</v>
      </c>
    </row>
    <row r="968" spans="1:27" x14ac:dyDescent="0.3">
      <c r="A968" t="s">
        <v>1059</v>
      </c>
      <c r="B968">
        <v>19</v>
      </c>
      <c r="C968" t="s">
        <v>28</v>
      </c>
      <c r="D968">
        <v>7</v>
      </c>
      <c r="E968" t="s">
        <v>82</v>
      </c>
      <c r="F968" t="s">
        <v>83</v>
      </c>
      <c r="G968" t="s">
        <v>86</v>
      </c>
      <c r="H968">
        <v>4</v>
      </c>
      <c r="I968" t="s">
        <v>32</v>
      </c>
      <c r="J968" t="s">
        <v>45</v>
      </c>
      <c r="K968" t="s">
        <v>51</v>
      </c>
      <c r="L968">
        <v>3.3</v>
      </c>
      <c r="M968">
        <v>3</v>
      </c>
      <c r="N968" t="s">
        <v>105</v>
      </c>
      <c r="O968" t="s">
        <v>57</v>
      </c>
      <c r="P968" t="b">
        <v>1</v>
      </c>
      <c r="Q968" t="b">
        <v>1</v>
      </c>
      <c r="R968" t="b">
        <v>0</v>
      </c>
      <c r="S968" t="b">
        <v>0</v>
      </c>
      <c r="T968" t="b">
        <v>0</v>
      </c>
      <c r="U968">
        <v>0.2</v>
      </c>
      <c r="V968">
        <v>7.3</v>
      </c>
      <c r="W968">
        <v>5</v>
      </c>
      <c r="X968">
        <v>7.4</v>
      </c>
      <c r="Y968">
        <v>54.91</v>
      </c>
      <c r="Z968">
        <v>1</v>
      </c>
      <c r="AA968" t="s">
        <v>58</v>
      </c>
    </row>
    <row r="969" spans="1:27" x14ac:dyDescent="0.3">
      <c r="A969" t="s">
        <v>1060</v>
      </c>
      <c r="B969">
        <v>23</v>
      </c>
      <c r="C969" t="s">
        <v>53</v>
      </c>
      <c r="D969">
        <v>1</v>
      </c>
      <c r="E969" t="s">
        <v>60</v>
      </c>
      <c r="F969" t="s">
        <v>61</v>
      </c>
      <c r="G969" t="s">
        <v>31</v>
      </c>
      <c r="H969">
        <v>7.9</v>
      </c>
      <c r="I969" t="s">
        <v>43</v>
      </c>
      <c r="J969" t="s">
        <v>45</v>
      </c>
      <c r="K969" t="s">
        <v>84</v>
      </c>
      <c r="M969">
        <v>8</v>
      </c>
      <c r="N969" t="s">
        <v>66</v>
      </c>
      <c r="O969" t="s">
        <v>36</v>
      </c>
      <c r="P969" t="b">
        <v>0</v>
      </c>
      <c r="Q969" t="b">
        <v>0</v>
      </c>
      <c r="R969" t="b">
        <v>0</v>
      </c>
      <c r="S969" t="b">
        <v>0</v>
      </c>
      <c r="T969" t="b">
        <v>0</v>
      </c>
      <c r="U969">
        <v>0.1</v>
      </c>
      <c r="V969">
        <v>10.9</v>
      </c>
      <c r="W969">
        <v>1</v>
      </c>
      <c r="X969">
        <v>15.2</v>
      </c>
      <c r="Y969">
        <v>8.43</v>
      </c>
      <c r="Z969">
        <v>1</v>
      </c>
      <c r="AA969" t="s">
        <v>46</v>
      </c>
    </row>
    <row r="970" spans="1:27" x14ac:dyDescent="0.3">
      <c r="A970" t="s">
        <v>1061</v>
      </c>
      <c r="B970">
        <v>16</v>
      </c>
      <c r="C970" t="s">
        <v>53</v>
      </c>
      <c r="D970">
        <v>2.8</v>
      </c>
      <c r="E970" t="s">
        <v>60</v>
      </c>
      <c r="F970" t="s">
        <v>96</v>
      </c>
      <c r="G970" t="s">
        <v>31</v>
      </c>
      <c r="H970">
        <v>8.6</v>
      </c>
      <c r="I970" t="s">
        <v>43</v>
      </c>
      <c r="J970" t="s">
        <v>74</v>
      </c>
      <c r="K970" t="s">
        <v>43</v>
      </c>
      <c r="L970">
        <v>1.4</v>
      </c>
      <c r="N970" t="s">
        <v>121</v>
      </c>
      <c r="O970" t="s">
        <v>36</v>
      </c>
      <c r="P970" t="b">
        <v>0</v>
      </c>
      <c r="Q970" t="b">
        <v>0</v>
      </c>
      <c r="R970" t="b">
        <v>0</v>
      </c>
      <c r="S970" t="b">
        <v>0</v>
      </c>
      <c r="T970" t="b">
        <v>0</v>
      </c>
      <c r="U970">
        <v>0.3</v>
      </c>
      <c r="V970">
        <v>8.4</v>
      </c>
      <c r="W970">
        <v>2</v>
      </c>
      <c r="X970">
        <v>8.8000000000000007</v>
      </c>
      <c r="Y970">
        <v>17.43</v>
      </c>
      <c r="Z970">
        <v>3</v>
      </c>
      <c r="AA970" t="s">
        <v>46</v>
      </c>
    </row>
    <row r="971" spans="1:27" x14ac:dyDescent="0.3">
      <c r="A971" t="s">
        <v>1062</v>
      </c>
      <c r="B971">
        <v>17</v>
      </c>
      <c r="C971" t="s">
        <v>28</v>
      </c>
      <c r="D971">
        <v>4.0999999999999996</v>
      </c>
      <c r="E971" t="s">
        <v>29</v>
      </c>
      <c r="F971" t="s">
        <v>73</v>
      </c>
      <c r="G971" t="s">
        <v>31</v>
      </c>
      <c r="H971">
        <v>5.5</v>
      </c>
      <c r="I971" t="s">
        <v>51</v>
      </c>
      <c r="J971" t="s">
        <v>42</v>
      </c>
      <c r="K971" t="s">
        <v>43</v>
      </c>
      <c r="L971">
        <v>1.1299999999999999</v>
      </c>
      <c r="N971" t="s">
        <v>66</v>
      </c>
      <c r="O971" t="s">
        <v>36</v>
      </c>
      <c r="P971" t="b">
        <v>0</v>
      </c>
      <c r="Q971" t="b">
        <v>0</v>
      </c>
      <c r="R971" t="b">
        <v>0</v>
      </c>
      <c r="S971" t="b">
        <v>0</v>
      </c>
      <c r="T971" t="b">
        <v>0</v>
      </c>
      <c r="U971">
        <v>0.7</v>
      </c>
      <c r="V971">
        <v>6.4</v>
      </c>
      <c r="W971">
        <v>2</v>
      </c>
      <c r="X971">
        <v>12.4</v>
      </c>
      <c r="Y971">
        <v>32.97</v>
      </c>
      <c r="Z971">
        <v>5</v>
      </c>
      <c r="AA971" t="s">
        <v>46</v>
      </c>
    </row>
    <row r="972" spans="1:27" x14ac:dyDescent="0.3">
      <c r="A972" t="s">
        <v>1063</v>
      </c>
      <c r="B972">
        <v>20</v>
      </c>
      <c r="C972" t="s">
        <v>53</v>
      </c>
      <c r="D972">
        <v>6.3</v>
      </c>
      <c r="E972" t="s">
        <v>82</v>
      </c>
      <c r="F972" t="s">
        <v>167</v>
      </c>
      <c r="G972" t="s">
        <v>50</v>
      </c>
      <c r="H972">
        <v>6.5</v>
      </c>
      <c r="I972" t="s">
        <v>41</v>
      </c>
      <c r="J972" t="s">
        <v>33</v>
      </c>
      <c r="K972" t="s">
        <v>43</v>
      </c>
      <c r="L972">
        <v>1.24</v>
      </c>
      <c r="M972">
        <v>6</v>
      </c>
      <c r="N972" t="s">
        <v>66</v>
      </c>
      <c r="O972" t="s">
        <v>45</v>
      </c>
      <c r="P972" t="b">
        <v>0</v>
      </c>
      <c r="Q972" t="b">
        <v>0</v>
      </c>
      <c r="R972" t="b">
        <v>0</v>
      </c>
      <c r="S972" t="b">
        <v>1</v>
      </c>
      <c r="T972" t="b">
        <v>0</v>
      </c>
      <c r="U972">
        <v>2</v>
      </c>
      <c r="V972">
        <v>7.4</v>
      </c>
      <c r="W972">
        <v>4</v>
      </c>
      <c r="X972">
        <v>8.6</v>
      </c>
      <c r="Y972">
        <v>70.66</v>
      </c>
      <c r="Z972">
        <v>1</v>
      </c>
      <c r="AA972" t="s">
        <v>46</v>
      </c>
    </row>
    <row r="973" spans="1:27" x14ac:dyDescent="0.3">
      <c r="A973" t="s">
        <v>1064</v>
      </c>
      <c r="B973">
        <v>16</v>
      </c>
      <c r="C973" t="s">
        <v>53</v>
      </c>
      <c r="D973">
        <v>8.5</v>
      </c>
      <c r="E973" t="s">
        <v>82</v>
      </c>
      <c r="F973" t="s">
        <v>83</v>
      </c>
      <c r="G973" t="s">
        <v>71</v>
      </c>
      <c r="H973">
        <v>3.6</v>
      </c>
      <c r="I973" t="s">
        <v>51</v>
      </c>
      <c r="J973" t="s">
        <v>36</v>
      </c>
      <c r="K973" t="s">
        <v>51</v>
      </c>
      <c r="L973">
        <v>2.36</v>
      </c>
      <c r="N973" t="s">
        <v>35</v>
      </c>
      <c r="O973" t="s">
        <v>42</v>
      </c>
      <c r="P973" t="b">
        <v>0</v>
      </c>
      <c r="Q973" t="b">
        <v>0</v>
      </c>
      <c r="R973" t="b">
        <v>0</v>
      </c>
      <c r="S973" t="b">
        <v>1</v>
      </c>
      <c r="T973" t="b">
        <v>1</v>
      </c>
      <c r="U973">
        <v>2.1</v>
      </c>
      <c r="V973">
        <v>5.8</v>
      </c>
      <c r="W973">
        <v>5</v>
      </c>
      <c r="X973">
        <v>2.2000000000000002</v>
      </c>
      <c r="Y973">
        <v>231.04</v>
      </c>
      <c r="Z973">
        <v>1</v>
      </c>
      <c r="AA973" t="s">
        <v>64</v>
      </c>
    </row>
    <row r="974" spans="1:27" x14ac:dyDescent="0.3">
      <c r="A974" t="s">
        <v>1065</v>
      </c>
      <c r="B974">
        <v>16</v>
      </c>
      <c r="C974" t="s">
        <v>28</v>
      </c>
      <c r="D974">
        <v>7.4</v>
      </c>
      <c r="E974" t="s">
        <v>60</v>
      </c>
      <c r="F974" t="s">
        <v>61</v>
      </c>
      <c r="G974" t="s">
        <v>50</v>
      </c>
      <c r="H974">
        <v>5.3</v>
      </c>
      <c r="I974" t="s">
        <v>51</v>
      </c>
      <c r="J974" t="s">
        <v>45</v>
      </c>
      <c r="K974" t="s">
        <v>129</v>
      </c>
      <c r="L974">
        <v>2.66</v>
      </c>
      <c r="N974" t="s">
        <v>69</v>
      </c>
      <c r="O974" t="s">
        <v>45</v>
      </c>
      <c r="P974" t="b">
        <v>1</v>
      </c>
      <c r="Q974" t="b">
        <v>1</v>
      </c>
      <c r="R974" t="b">
        <v>0</v>
      </c>
      <c r="S974" t="b">
        <v>1</v>
      </c>
      <c r="T974" t="b">
        <v>1</v>
      </c>
      <c r="U974">
        <v>1.9</v>
      </c>
      <c r="V974">
        <v>4.8</v>
      </c>
      <c r="W974">
        <v>5</v>
      </c>
      <c r="X974">
        <v>7.3</v>
      </c>
      <c r="Y974">
        <v>54.82</v>
      </c>
      <c r="Z974">
        <v>6</v>
      </c>
      <c r="AA974" t="s">
        <v>58</v>
      </c>
    </row>
    <row r="975" spans="1:27" x14ac:dyDescent="0.3">
      <c r="A975" t="s">
        <v>1066</v>
      </c>
      <c r="B975">
        <v>23</v>
      </c>
      <c r="C975" t="s">
        <v>28</v>
      </c>
      <c r="D975">
        <v>11</v>
      </c>
      <c r="E975" t="s">
        <v>48</v>
      </c>
      <c r="F975" t="s">
        <v>49</v>
      </c>
      <c r="G975" t="s">
        <v>71</v>
      </c>
      <c r="H975">
        <v>4.9000000000000004</v>
      </c>
      <c r="I975" t="s">
        <v>41</v>
      </c>
      <c r="J975" t="s">
        <v>74</v>
      </c>
      <c r="K975" t="s">
        <v>129</v>
      </c>
      <c r="M975">
        <v>5</v>
      </c>
      <c r="N975" t="s">
        <v>66</v>
      </c>
      <c r="O975" t="s">
        <v>57</v>
      </c>
      <c r="P975" t="b">
        <v>0</v>
      </c>
      <c r="Q975" t="b">
        <v>1</v>
      </c>
      <c r="R975" t="b">
        <v>1</v>
      </c>
      <c r="S975" t="b">
        <v>0</v>
      </c>
      <c r="T975" t="b">
        <v>1</v>
      </c>
      <c r="U975">
        <v>3.2</v>
      </c>
      <c r="V975">
        <v>5.7</v>
      </c>
      <c r="W975">
        <v>6</v>
      </c>
      <c r="X975">
        <v>0</v>
      </c>
      <c r="Y975">
        <v>388.42</v>
      </c>
      <c r="Z975">
        <v>9</v>
      </c>
      <c r="AA975" t="s">
        <v>37</v>
      </c>
    </row>
    <row r="976" spans="1:27" x14ac:dyDescent="0.3">
      <c r="A976" t="s">
        <v>1067</v>
      </c>
      <c r="B976">
        <v>20</v>
      </c>
      <c r="C976" t="s">
        <v>28</v>
      </c>
      <c r="D976">
        <v>7.8</v>
      </c>
      <c r="E976" t="s">
        <v>48</v>
      </c>
      <c r="F976" t="s">
        <v>68</v>
      </c>
      <c r="G976" t="s">
        <v>50</v>
      </c>
      <c r="H976">
        <v>4.8</v>
      </c>
      <c r="I976" t="s">
        <v>32</v>
      </c>
      <c r="J976" t="s">
        <v>36</v>
      </c>
      <c r="K976" t="s">
        <v>34</v>
      </c>
      <c r="L976">
        <v>2.91</v>
      </c>
      <c r="M976">
        <v>7</v>
      </c>
      <c r="N976" t="s">
        <v>105</v>
      </c>
      <c r="O976" t="s">
        <v>45</v>
      </c>
      <c r="P976" t="b">
        <v>1</v>
      </c>
      <c r="Q976" t="b">
        <v>0</v>
      </c>
      <c r="R976" t="b">
        <v>0</v>
      </c>
      <c r="S976" t="b">
        <v>1</v>
      </c>
      <c r="T976" t="b">
        <v>0</v>
      </c>
      <c r="U976">
        <v>1.5</v>
      </c>
      <c r="V976">
        <v>5.2</v>
      </c>
      <c r="W976">
        <v>3</v>
      </c>
      <c r="X976">
        <v>7</v>
      </c>
      <c r="Y976">
        <v>146.41</v>
      </c>
      <c r="Z976">
        <v>5</v>
      </c>
      <c r="AA976" t="s">
        <v>64</v>
      </c>
    </row>
    <row r="977" spans="1:27" x14ac:dyDescent="0.3">
      <c r="A977" t="s">
        <v>1068</v>
      </c>
      <c r="B977">
        <v>17</v>
      </c>
      <c r="C977" t="s">
        <v>53</v>
      </c>
      <c r="D977">
        <v>8.3000000000000007</v>
      </c>
      <c r="E977" t="s">
        <v>76</v>
      </c>
      <c r="F977" t="s">
        <v>126</v>
      </c>
      <c r="G977" t="s">
        <v>71</v>
      </c>
      <c r="H977">
        <v>4.9000000000000004</v>
      </c>
      <c r="I977" t="s">
        <v>41</v>
      </c>
      <c r="J977" t="s">
        <v>33</v>
      </c>
      <c r="K977" t="s">
        <v>51</v>
      </c>
      <c r="L977">
        <v>2.73</v>
      </c>
      <c r="N977" t="s">
        <v>35</v>
      </c>
      <c r="O977" t="s">
        <v>36</v>
      </c>
      <c r="P977" t="b">
        <v>0</v>
      </c>
      <c r="Q977" t="b">
        <v>0</v>
      </c>
      <c r="R977" t="b">
        <v>1</v>
      </c>
      <c r="S977" t="b">
        <v>1</v>
      </c>
      <c r="T977" t="b">
        <v>1</v>
      </c>
      <c r="U977">
        <v>0.8</v>
      </c>
      <c r="V977">
        <v>4.8</v>
      </c>
      <c r="W977">
        <v>7</v>
      </c>
      <c r="X977">
        <v>7.6</v>
      </c>
      <c r="Y977">
        <v>59.04</v>
      </c>
      <c r="Z977">
        <v>2</v>
      </c>
      <c r="AA977" t="s">
        <v>64</v>
      </c>
    </row>
    <row r="978" spans="1:27" x14ac:dyDescent="0.3">
      <c r="A978" t="s">
        <v>1069</v>
      </c>
      <c r="B978">
        <v>27</v>
      </c>
      <c r="C978" t="s">
        <v>53</v>
      </c>
      <c r="D978">
        <v>4.2</v>
      </c>
      <c r="E978" t="s">
        <v>54</v>
      </c>
      <c r="F978" t="s">
        <v>89</v>
      </c>
      <c r="G978" t="s">
        <v>86</v>
      </c>
      <c r="H978">
        <v>5.9</v>
      </c>
      <c r="I978" t="s">
        <v>41</v>
      </c>
      <c r="J978" t="s">
        <v>74</v>
      </c>
      <c r="K978" t="s">
        <v>62</v>
      </c>
      <c r="M978">
        <v>8</v>
      </c>
      <c r="N978" t="s">
        <v>66</v>
      </c>
      <c r="O978" t="s">
        <v>33</v>
      </c>
      <c r="P978" t="b">
        <v>0</v>
      </c>
      <c r="Q978" t="b">
        <v>0</v>
      </c>
      <c r="R978" t="b">
        <v>0</v>
      </c>
      <c r="S978" t="b">
        <v>0</v>
      </c>
      <c r="T978" t="b">
        <v>0</v>
      </c>
      <c r="U978">
        <v>1.4</v>
      </c>
      <c r="V978">
        <v>8.6999999999999993</v>
      </c>
      <c r="W978">
        <v>4</v>
      </c>
      <c r="X978">
        <v>8.9</v>
      </c>
      <c r="Y978">
        <v>30.61</v>
      </c>
      <c r="Z978">
        <v>6</v>
      </c>
      <c r="AA978" t="s">
        <v>46</v>
      </c>
    </row>
    <row r="979" spans="1:27" x14ac:dyDescent="0.3">
      <c r="A979" t="s">
        <v>1070</v>
      </c>
      <c r="B979">
        <v>21</v>
      </c>
      <c r="C979" t="s">
        <v>53</v>
      </c>
      <c r="D979">
        <v>7.4</v>
      </c>
      <c r="E979" t="s">
        <v>48</v>
      </c>
      <c r="F979" t="s">
        <v>49</v>
      </c>
      <c r="G979" t="s">
        <v>31</v>
      </c>
      <c r="H979">
        <v>5.5</v>
      </c>
      <c r="I979" t="s">
        <v>32</v>
      </c>
      <c r="J979" t="s">
        <v>42</v>
      </c>
      <c r="K979" t="s">
        <v>34</v>
      </c>
      <c r="L979">
        <v>1.88</v>
      </c>
      <c r="M979">
        <v>3</v>
      </c>
      <c r="N979" t="s">
        <v>35</v>
      </c>
      <c r="O979" t="s">
        <v>36</v>
      </c>
      <c r="P979" t="b">
        <v>1</v>
      </c>
      <c r="Q979" t="b">
        <v>1</v>
      </c>
      <c r="R979" t="b">
        <v>0</v>
      </c>
      <c r="S979" t="b">
        <v>1</v>
      </c>
      <c r="T979" t="b">
        <v>0</v>
      </c>
      <c r="U979">
        <v>1.5</v>
      </c>
      <c r="V979">
        <v>7.4</v>
      </c>
      <c r="W979">
        <v>5</v>
      </c>
      <c r="X979">
        <v>4.8</v>
      </c>
      <c r="Y979">
        <v>113.01</v>
      </c>
      <c r="Z979">
        <v>6</v>
      </c>
      <c r="AA979" t="s">
        <v>58</v>
      </c>
    </row>
    <row r="980" spans="1:27" x14ac:dyDescent="0.3">
      <c r="A980" t="s">
        <v>1071</v>
      </c>
      <c r="B980">
        <v>19</v>
      </c>
      <c r="C980" t="s">
        <v>28</v>
      </c>
      <c r="D980">
        <v>8.4</v>
      </c>
      <c r="E980" t="s">
        <v>48</v>
      </c>
      <c r="F980" t="s">
        <v>49</v>
      </c>
      <c r="G980" t="s">
        <v>31</v>
      </c>
      <c r="H980">
        <v>5.9</v>
      </c>
      <c r="I980" t="s">
        <v>43</v>
      </c>
      <c r="J980" t="s">
        <v>45</v>
      </c>
      <c r="K980" t="s">
        <v>51</v>
      </c>
      <c r="L980">
        <v>2.33</v>
      </c>
      <c r="M980">
        <v>9</v>
      </c>
      <c r="N980" t="s">
        <v>56</v>
      </c>
      <c r="O980" t="s">
        <v>36</v>
      </c>
      <c r="P980" t="b">
        <v>1</v>
      </c>
      <c r="Q980" t="b">
        <v>0</v>
      </c>
      <c r="R980" t="b">
        <v>1</v>
      </c>
      <c r="S980" t="b">
        <v>1</v>
      </c>
      <c r="T980" t="b">
        <v>0</v>
      </c>
      <c r="U980">
        <v>1.7</v>
      </c>
      <c r="V980">
        <v>5.3</v>
      </c>
      <c r="W980">
        <v>6</v>
      </c>
      <c r="X980">
        <v>3.8</v>
      </c>
      <c r="Y980">
        <v>44.54</v>
      </c>
      <c r="Z980">
        <v>9</v>
      </c>
      <c r="AA980" t="s">
        <v>58</v>
      </c>
    </row>
    <row r="981" spans="1:27" x14ac:dyDescent="0.3">
      <c r="A981" t="s">
        <v>1072</v>
      </c>
      <c r="B981">
        <v>22</v>
      </c>
      <c r="C981" t="s">
        <v>53</v>
      </c>
      <c r="D981">
        <v>8.6999999999999993</v>
      </c>
      <c r="E981" t="s">
        <v>29</v>
      </c>
      <c r="F981" t="s">
        <v>118</v>
      </c>
      <c r="G981" t="s">
        <v>71</v>
      </c>
      <c r="H981">
        <v>4.4000000000000004</v>
      </c>
      <c r="I981" t="s">
        <v>51</v>
      </c>
      <c r="J981" t="s">
        <v>36</v>
      </c>
      <c r="K981" t="s">
        <v>34</v>
      </c>
      <c r="L981">
        <v>2.48</v>
      </c>
      <c r="M981">
        <v>4</v>
      </c>
      <c r="N981" t="s">
        <v>121</v>
      </c>
      <c r="O981" t="s">
        <v>33</v>
      </c>
      <c r="P981" t="b">
        <v>1</v>
      </c>
      <c r="Q981" t="b">
        <v>1</v>
      </c>
      <c r="R981" t="b">
        <v>0</v>
      </c>
      <c r="S981" t="b">
        <v>1</v>
      </c>
      <c r="T981" t="b">
        <v>1</v>
      </c>
      <c r="U981">
        <v>3.1</v>
      </c>
      <c r="V981">
        <v>6.9</v>
      </c>
      <c r="W981">
        <v>5</v>
      </c>
      <c r="X981">
        <v>2.4</v>
      </c>
      <c r="Y981">
        <v>107.16</v>
      </c>
      <c r="Z981">
        <v>12</v>
      </c>
      <c r="AA981" t="s">
        <v>37</v>
      </c>
    </row>
    <row r="982" spans="1:27" x14ac:dyDescent="0.3">
      <c r="A982" t="s">
        <v>1073</v>
      </c>
      <c r="B982">
        <v>25</v>
      </c>
      <c r="C982" t="s">
        <v>28</v>
      </c>
      <c r="D982">
        <v>9.4</v>
      </c>
      <c r="E982" t="s">
        <v>48</v>
      </c>
      <c r="F982" t="s">
        <v>49</v>
      </c>
      <c r="G982" t="s">
        <v>50</v>
      </c>
      <c r="H982">
        <v>4.5</v>
      </c>
      <c r="I982" t="s">
        <v>51</v>
      </c>
      <c r="J982" t="s">
        <v>42</v>
      </c>
      <c r="K982" t="s">
        <v>62</v>
      </c>
      <c r="M982">
        <v>9</v>
      </c>
      <c r="N982" t="s">
        <v>105</v>
      </c>
      <c r="O982" t="s">
        <v>57</v>
      </c>
      <c r="P982" t="b">
        <v>1</v>
      </c>
      <c r="Q982" t="b">
        <v>1</v>
      </c>
      <c r="R982" t="b">
        <v>0</v>
      </c>
      <c r="S982" t="b">
        <v>1</v>
      </c>
      <c r="T982" t="b">
        <v>1</v>
      </c>
      <c r="U982">
        <v>2.7</v>
      </c>
      <c r="V982">
        <v>6.8</v>
      </c>
      <c r="W982">
        <v>5</v>
      </c>
      <c r="X982">
        <v>2.4</v>
      </c>
      <c r="Y982">
        <v>361.61</v>
      </c>
      <c r="Z982">
        <v>15</v>
      </c>
      <c r="AA982" t="s">
        <v>37</v>
      </c>
    </row>
    <row r="983" spans="1:27" x14ac:dyDescent="0.3">
      <c r="A983" t="s">
        <v>1074</v>
      </c>
      <c r="B983">
        <v>22</v>
      </c>
      <c r="C983" t="s">
        <v>53</v>
      </c>
      <c r="D983">
        <v>13.6</v>
      </c>
      <c r="E983" t="s">
        <v>82</v>
      </c>
      <c r="F983" t="s">
        <v>167</v>
      </c>
      <c r="G983" t="s">
        <v>50</v>
      </c>
      <c r="H983">
        <v>5.8</v>
      </c>
      <c r="I983" t="s">
        <v>51</v>
      </c>
      <c r="J983" t="s">
        <v>42</v>
      </c>
      <c r="K983" t="s">
        <v>129</v>
      </c>
      <c r="L983">
        <v>2.92</v>
      </c>
      <c r="M983">
        <v>5</v>
      </c>
      <c r="N983" t="s">
        <v>44</v>
      </c>
      <c r="O983" t="s">
        <v>45</v>
      </c>
      <c r="P983" t="b">
        <v>1</v>
      </c>
      <c r="Q983" t="b">
        <v>1</v>
      </c>
      <c r="R983" t="b">
        <v>0</v>
      </c>
      <c r="S983" t="b">
        <v>1</v>
      </c>
      <c r="T983" t="b">
        <v>0</v>
      </c>
      <c r="U983">
        <v>1.4</v>
      </c>
      <c r="V983">
        <v>2.4</v>
      </c>
      <c r="W983">
        <v>8</v>
      </c>
      <c r="X983">
        <v>0</v>
      </c>
      <c r="Y983">
        <v>438.83</v>
      </c>
      <c r="Z983">
        <v>2</v>
      </c>
      <c r="AA983" t="s">
        <v>37</v>
      </c>
    </row>
    <row r="984" spans="1:27" x14ac:dyDescent="0.3">
      <c r="A984" t="s">
        <v>1075</v>
      </c>
      <c r="B984">
        <v>18</v>
      </c>
      <c r="C984" t="s">
        <v>28</v>
      </c>
      <c r="D984">
        <v>7.1</v>
      </c>
      <c r="E984" t="s">
        <v>82</v>
      </c>
      <c r="F984" t="s">
        <v>134</v>
      </c>
      <c r="G984" t="s">
        <v>50</v>
      </c>
      <c r="H984">
        <v>4.0999999999999996</v>
      </c>
      <c r="I984" t="s">
        <v>78</v>
      </c>
      <c r="J984" t="s">
        <v>33</v>
      </c>
      <c r="K984" t="s">
        <v>129</v>
      </c>
      <c r="L984">
        <v>2.0699999999999998</v>
      </c>
      <c r="N984" t="s">
        <v>56</v>
      </c>
      <c r="O984" t="s">
        <v>36</v>
      </c>
      <c r="P984" t="b">
        <v>0</v>
      </c>
      <c r="Q984" t="b">
        <v>0</v>
      </c>
      <c r="R984" t="b">
        <v>0</v>
      </c>
      <c r="S984" t="b">
        <v>1</v>
      </c>
      <c r="T984" t="b">
        <v>0</v>
      </c>
      <c r="U984">
        <v>1</v>
      </c>
      <c r="V984">
        <v>8.1</v>
      </c>
      <c r="W984">
        <v>5</v>
      </c>
      <c r="X984">
        <v>4.2</v>
      </c>
      <c r="Y984">
        <v>105.16</v>
      </c>
      <c r="Z984">
        <v>4</v>
      </c>
      <c r="AA984" t="s">
        <v>46</v>
      </c>
    </row>
    <row r="985" spans="1:27" x14ac:dyDescent="0.3">
      <c r="A985" t="s">
        <v>1076</v>
      </c>
      <c r="B985">
        <v>23</v>
      </c>
      <c r="C985" t="s">
        <v>28</v>
      </c>
      <c r="D985">
        <v>5.9</v>
      </c>
      <c r="E985" t="s">
        <v>39</v>
      </c>
      <c r="F985" t="s">
        <v>40</v>
      </c>
      <c r="G985" t="s">
        <v>31</v>
      </c>
      <c r="H985">
        <v>5</v>
      </c>
      <c r="I985" t="s">
        <v>43</v>
      </c>
      <c r="J985" t="s">
        <v>45</v>
      </c>
      <c r="K985" t="s">
        <v>43</v>
      </c>
      <c r="M985">
        <v>2</v>
      </c>
      <c r="N985" t="s">
        <v>80</v>
      </c>
      <c r="O985" t="s">
        <v>36</v>
      </c>
      <c r="P985" t="b">
        <v>0</v>
      </c>
      <c r="Q985" t="b">
        <v>0</v>
      </c>
      <c r="R985" t="b">
        <v>0</v>
      </c>
      <c r="S985" t="b">
        <v>0</v>
      </c>
      <c r="T985" t="b">
        <v>1</v>
      </c>
      <c r="U985">
        <v>1.1000000000000001</v>
      </c>
      <c r="V985">
        <v>8.3000000000000007</v>
      </c>
      <c r="W985">
        <v>5</v>
      </c>
      <c r="X985">
        <v>6.3</v>
      </c>
      <c r="Y985">
        <v>124.93</v>
      </c>
      <c r="Z985">
        <v>1</v>
      </c>
      <c r="AA985" t="s">
        <v>46</v>
      </c>
    </row>
    <row r="986" spans="1:27" x14ac:dyDescent="0.3">
      <c r="A986" t="s">
        <v>1077</v>
      </c>
      <c r="B986">
        <v>30</v>
      </c>
      <c r="C986" t="s">
        <v>28</v>
      </c>
      <c r="D986">
        <v>4.4000000000000004</v>
      </c>
      <c r="E986" t="s">
        <v>60</v>
      </c>
      <c r="F986" t="s">
        <v>61</v>
      </c>
      <c r="G986" t="s">
        <v>71</v>
      </c>
      <c r="H986">
        <v>6.5</v>
      </c>
      <c r="I986" t="s">
        <v>41</v>
      </c>
      <c r="J986" t="s">
        <v>45</v>
      </c>
      <c r="K986" t="s">
        <v>129</v>
      </c>
      <c r="M986">
        <v>8</v>
      </c>
      <c r="N986" t="s">
        <v>121</v>
      </c>
      <c r="O986" t="s">
        <v>36</v>
      </c>
      <c r="P986" t="b">
        <v>0</v>
      </c>
      <c r="Q986" t="b">
        <v>0</v>
      </c>
      <c r="R986" t="b">
        <v>0</v>
      </c>
      <c r="S986" t="b">
        <v>0</v>
      </c>
      <c r="T986" t="b">
        <v>0</v>
      </c>
      <c r="U986">
        <v>0.9</v>
      </c>
      <c r="V986">
        <v>8.5</v>
      </c>
      <c r="W986">
        <v>4</v>
      </c>
      <c r="X986">
        <v>13</v>
      </c>
      <c r="Y986">
        <v>20.100000000000001</v>
      </c>
      <c r="Z986">
        <v>8</v>
      </c>
      <c r="AA986" t="s">
        <v>46</v>
      </c>
    </row>
    <row r="987" spans="1:27" x14ac:dyDescent="0.3">
      <c r="A987" t="s">
        <v>1078</v>
      </c>
      <c r="B987">
        <v>17</v>
      </c>
      <c r="C987" t="s">
        <v>28</v>
      </c>
      <c r="D987">
        <v>7.3</v>
      </c>
      <c r="E987" t="s">
        <v>60</v>
      </c>
      <c r="F987" t="s">
        <v>96</v>
      </c>
      <c r="G987" t="s">
        <v>86</v>
      </c>
      <c r="H987">
        <v>4</v>
      </c>
      <c r="I987" t="s">
        <v>41</v>
      </c>
      <c r="J987" t="s">
        <v>74</v>
      </c>
      <c r="K987" t="s">
        <v>51</v>
      </c>
      <c r="L987">
        <v>2.9</v>
      </c>
      <c r="N987" t="s">
        <v>35</v>
      </c>
      <c r="O987" t="s">
        <v>57</v>
      </c>
      <c r="P987" t="b">
        <v>0</v>
      </c>
      <c r="Q987" t="b">
        <v>1</v>
      </c>
      <c r="R987" t="b">
        <v>0</v>
      </c>
      <c r="S987" t="b">
        <v>0</v>
      </c>
      <c r="T987" t="b">
        <v>0</v>
      </c>
      <c r="U987">
        <v>1.6</v>
      </c>
      <c r="V987">
        <v>6.8</v>
      </c>
      <c r="W987">
        <v>3</v>
      </c>
      <c r="X987">
        <v>4.5</v>
      </c>
      <c r="Y987">
        <v>67.44</v>
      </c>
      <c r="Z987">
        <v>7</v>
      </c>
      <c r="AA987" t="s">
        <v>64</v>
      </c>
    </row>
    <row r="988" spans="1:27" x14ac:dyDescent="0.3">
      <c r="A988" t="s">
        <v>1079</v>
      </c>
      <c r="B988">
        <v>18</v>
      </c>
      <c r="C988" t="s">
        <v>53</v>
      </c>
      <c r="D988">
        <v>3.5</v>
      </c>
      <c r="E988" t="s">
        <v>48</v>
      </c>
      <c r="F988" t="s">
        <v>214</v>
      </c>
      <c r="G988" t="s">
        <v>86</v>
      </c>
      <c r="H988">
        <v>6.1</v>
      </c>
      <c r="I988" t="s">
        <v>41</v>
      </c>
      <c r="J988" t="s">
        <v>45</v>
      </c>
      <c r="K988" t="s">
        <v>62</v>
      </c>
      <c r="L988">
        <v>3.68</v>
      </c>
      <c r="N988" t="s">
        <v>63</v>
      </c>
      <c r="O988" t="s">
        <v>33</v>
      </c>
      <c r="P988" t="b">
        <v>0</v>
      </c>
      <c r="Q988" t="b">
        <v>0</v>
      </c>
      <c r="R988" t="b">
        <v>0</v>
      </c>
      <c r="S988" t="b">
        <v>0</v>
      </c>
      <c r="T988" t="b">
        <v>0</v>
      </c>
      <c r="U988">
        <v>0.1</v>
      </c>
      <c r="V988">
        <v>6.9</v>
      </c>
      <c r="W988">
        <v>1</v>
      </c>
      <c r="X988">
        <v>8.5</v>
      </c>
      <c r="Y988">
        <v>1.35</v>
      </c>
      <c r="Z988">
        <v>6</v>
      </c>
      <c r="AA988" t="s">
        <v>46</v>
      </c>
    </row>
    <row r="989" spans="1:27" x14ac:dyDescent="0.3">
      <c r="A989" t="s">
        <v>1080</v>
      </c>
      <c r="B989">
        <v>19</v>
      </c>
      <c r="C989" t="s">
        <v>28</v>
      </c>
      <c r="D989">
        <v>4.7</v>
      </c>
      <c r="E989" t="s">
        <v>39</v>
      </c>
      <c r="F989" t="s">
        <v>40</v>
      </c>
      <c r="G989" t="s">
        <v>71</v>
      </c>
      <c r="H989">
        <v>6.7</v>
      </c>
      <c r="I989" t="s">
        <v>41</v>
      </c>
      <c r="J989" t="s">
        <v>45</v>
      </c>
      <c r="K989" t="s">
        <v>84</v>
      </c>
      <c r="L989">
        <v>2.02</v>
      </c>
      <c r="M989">
        <v>10</v>
      </c>
      <c r="N989" t="s">
        <v>80</v>
      </c>
      <c r="O989" t="s">
        <v>45</v>
      </c>
      <c r="P989" t="b">
        <v>0</v>
      </c>
      <c r="Q989" t="b">
        <v>0</v>
      </c>
      <c r="R989" t="b">
        <v>0</v>
      </c>
      <c r="S989" t="b">
        <v>0</v>
      </c>
      <c r="T989" t="b">
        <v>0</v>
      </c>
      <c r="U989">
        <v>2.9</v>
      </c>
      <c r="V989">
        <v>6.5</v>
      </c>
      <c r="W989">
        <v>2</v>
      </c>
      <c r="X989">
        <v>9</v>
      </c>
      <c r="Y989">
        <v>59.91</v>
      </c>
      <c r="Z989">
        <v>9</v>
      </c>
      <c r="AA989" t="s">
        <v>46</v>
      </c>
    </row>
    <row r="990" spans="1:27" x14ac:dyDescent="0.3">
      <c r="A990" t="s">
        <v>1081</v>
      </c>
      <c r="B990">
        <v>20</v>
      </c>
      <c r="C990" t="s">
        <v>28</v>
      </c>
      <c r="D990">
        <v>4.4000000000000004</v>
      </c>
      <c r="E990" t="s">
        <v>76</v>
      </c>
      <c r="F990" t="s">
        <v>77</v>
      </c>
      <c r="G990" t="s">
        <v>31</v>
      </c>
      <c r="H990">
        <v>5.4</v>
      </c>
      <c r="I990" t="s">
        <v>32</v>
      </c>
      <c r="J990" t="s">
        <v>33</v>
      </c>
      <c r="K990" t="s">
        <v>43</v>
      </c>
      <c r="L990">
        <v>2.2599999999999998</v>
      </c>
      <c r="M990">
        <v>5</v>
      </c>
      <c r="N990" t="s">
        <v>69</v>
      </c>
      <c r="O990" t="s">
        <v>33</v>
      </c>
      <c r="P990" t="b">
        <v>0</v>
      </c>
      <c r="Q990" t="b">
        <v>0</v>
      </c>
      <c r="R990" t="b">
        <v>0</v>
      </c>
      <c r="S990" t="b">
        <v>0</v>
      </c>
      <c r="T990" t="b">
        <v>0</v>
      </c>
      <c r="U990">
        <v>1</v>
      </c>
      <c r="V990">
        <v>9.6999999999999993</v>
      </c>
      <c r="W990">
        <v>3</v>
      </c>
      <c r="X990">
        <v>12.1</v>
      </c>
      <c r="Y990">
        <v>8.08</v>
      </c>
      <c r="Z990">
        <v>7</v>
      </c>
      <c r="AA990" t="s">
        <v>46</v>
      </c>
    </row>
    <row r="991" spans="1:27" x14ac:dyDescent="0.3">
      <c r="A991" t="s">
        <v>1082</v>
      </c>
      <c r="B991">
        <v>16</v>
      </c>
      <c r="C991" t="s">
        <v>28</v>
      </c>
      <c r="D991">
        <v>1.5</v>
      </c>
      <c r="E991" t="s">
        <v>39</v>
      </c>
      <c r="F991" t="s">
        <v>93</v>
      </c>
      <c r="G991" t="s">
        <v>86</v>
      </c>
      <c r="H991">
        <v>9</v>
      </c>
      <c r="I991" t="s">
        <v>43</v>
      </c>
      <c r="J991" t="s">
        <v>45</v>
      </c>
      <c r="K991" t="s">
        <v>43</v>
      </c>
      <c r="L991">
        <v>2.91</v>
      </c>
      <c r="N991" t="s">
        <v>121</v>
      </c>
      <c r="O991" t="s">
        <v>57</v>
      </c>
      <c r="P991" t="b">
        <v>0</v>
      </c>
      <c r="Q991" t="b">
        <v>0</v>
      </c>
      <c r="R991" t="b">
        <v>0</v>
      </c>
      <c r="S991" t="b">
        <v>0</v>
      </c>
      <c r="T991" t="b">
        <v>0</v>
      </c>
      <c r="U991">
        <v>0.1</v>
      </c>
      <c r="V991">
        <v>9</v>
      </c>
      <c r="W991">
        <v>1</v>
      </c>
      <c r="X991">
        <v>12.2</v>
      </c>
      <c r="Y991">
        <v>45.29</v>
      </c>
      <c r="Z991">
        <v>2</v>
      </c>
      <c r="AA991" t="s">
        <v>46</v>
      </c>
    </row>
    <row r="992" spans="1:27" x14ac:dyDescent="0.3">
      <c r="A992" t="s">
        <v>1083</v>
      </c>
      <c r="B992">
        <v>19</v>
      </c>
      <c r="C992" t="s">
        <v>53</v>
      </c>
      <c r="D992">
        <v>7</v>
      </c>
      <c r="E992" t="s">
        <v>48</v>
      </c>
      <c r="F992" t="s">
        <v>128</v>
      </c>
      <c r="G992" t="s">
        <v>31</v>
      </c>
      <c r="H992">
        <v>3.2</v>
      </c>
      <c r="I992" t="s">
        <v>41</v>
      </c>
      <c r="J992" t="s">
        <v>45</v>
      </c>
      <c r="K992" t="s">
        <v>51</v>
      </c>
      <c r="L992">
        <v>3</v>
      </c>
      <c r="M992">
        <v>1</v>
      </c>
      <c r="N992" t="s">
        <v>35</v>
      </c>
      <c r="O992" t="s">
        <v>57</v>
      </c>
      <c r="P992" t="b">
        <v>0</v>
      </c>
      <c r="Q992" t="b">
        <v>1</v>
      </c>
      <c r="R992" t="b">
        <v>0</v>
      </c>
      <c r="S992" t="b">
        <v>0</v>
      </c>
      <c r="T992" t="b">
        <v>1</v>
      </c>
      <c r="U992">
        <v>1.4</v>
      </c>
      <c r="V992">
        <v>7.7</v>
      </c>
      <c r="W992">
        <v>5</v>
      </c>
      <c r="X992">
        <v>5.8</v>
      </c>
      <c r="Y992">
        <v>121.06</v>
      </c>
      <c r="Z992">
        <v>2</v>
      </c>
      <c r="AA992" t="s">
        <v>64</v>
      </c>
    </row>
    <row r="993" spans="1:27" x14ac:dyDescent="0.3">
      <c r="A993" t="s">
        <v>1084</v>
      </c>
      <c r="B993">
        <v>24</v>
      </c>
      <c r="C993" t="s">
        <v>53</v>
      </c>
      <c r="D993">
        <v>3.6</v>
      </c>
      <c r="E993" t="s">
        <v>54</v>
      </c>
      <c r="F993" t="s">
        <v>98</v>
      </c>
      <c r="G993" t="s">
        <v>50</v>
      </c>
      <c r="H993">
        <v>6.8</v>
      </c>
      <c r="I993" t="s">
        <v>41</v>
      </c>
      <c r="J993" t="s">
        <v>36</v>
      </c>
      <c r="K993" t="s">
        <v>34</v>
      </c>
      <c r="M993">
        <v>8</v>
      </c>
      <c r="N993" t="s">
        <v>69</v>
      </c>
      <c r="O993" t="s">
        <v>42</v>
      </c>
      <c r="P993" t="b">
        <v>0</v>
      </c>
      <c r="Q993" t="b">
        <v>0</v>
      </c>
      <c r="R993" t="b">
        <v>0</v>
      </c>
      <c r="S993" t="b">
        <v>0</v>
      </c>
      <c r="T993" t="b">
        <v>0</v>
      </c>
      <c r="U993">
        <v>1.5</v>
      </c>
      <c r="V993">
        <v>7.7</v>
      </c>
      <c r="W993">
        <v>1</v>
      </c>
      <c r="X993">
        <v>9.5</v>
      </c>
      <c r="Y993">
        <v>31.45</v>
      </c>
      <c r="Z993">
        <v>1</v>
      </c>
      <c r="AA993" t="s">
        <v>46</v>
      </c>
    </row>
    <row r="994" spans="1:27" x14ac:dyDescent="0.3">
      <c r="A994" t="s">
        <v>1085</v>
      </c>
      <c r="B994">
        <v>18</v>
      </c>
      <c r="C994" t="s">
        <v>28</v>
      </c>
      <c r="D994">
        <v>6.1</v>
      </c>
      <c r="E994" t="s">
        <v>76</v>
      </c>
      <c r="F994" t="s">
        <v>126</v>
      </c>
      <c r="G994" t="s">
        <v>31</v>
      </c>
      <c r="H994">
        <v>5.5</v>
      </c>
      <c r="I994" t="s">
        <v>41</v>
      </c>
      <c r="J994" t="s">
        <v>42</v>
      </c>
      <c r="K994" t="s">
        <v>34</v>
      </c>
      <c r="L994">
        <v>1.1100000000000001</v>
      </c>
      <c r="N994" t="s">
        <v>44</v>
      </c>
      <c r="O994" t="s">
        <v>45</v>
      </c>
      <c r="P994" t="b">
        <v>0</v>
      </c>
      <c r="Q994" t="b">
        <v>0</v>
      </c>
      <c r="R994" t="b">
        <v>0</v>
      </c>
      <c r="S994" t="b">
        <v>1</v>
      </c>
      <c r="T994" t="b">
        <v>0</v>
      </c>
      <c r="U994">
        <v>1.8</v>
      </c>
      <c r="V994">
        <v>8.3000000000000007</v>
      </c>
      <c r="W994">
        <v>3</v>
      </c>
      <c r="X994">
        <v>8.1999999999999993</v>
      </c>
      <c r="Y994">
        <v>143.47999999999999</v>
      </c>
      <c r="Z994">
        <v>8</v>
      </c>
      <c r="AA994" t="s">
        <v>46</v>
      </c>
    </row>
    <row r="995" spans="1:27" x14ac:dyDescent="0.3">
      <c r="A995" t="s">
        <v>1086</v>
      </c>
      <c r="B995">
        <v>32</v>
      </c>
      <c r="C995" t="s">
        <v>53</v>
      </c>
      <c r="D995">
        <v>4.9000000000000004</v>
      </c>
      <c r="E995" t="s">
        <v>54</v>
      </c>
      <c r="F995" t="s">
        <v>55</v>
      </c>
      <c r="G995" t="s">
        <v>71</v>
      </c>
      <c r="H995">
        <v>5.7</v>
      </c>
      <c r="I995" t="s">
        <v>51</v>
      </c>
      <c r="J995" t="s">
        <v>74</v>
      </c>
      <c r="K995" t="s">
        <v>51</v>
      </c>
      <c r="M995">
        <v>4</v>
      </c>
      <c r="N995" t="s">
        <v>69</v>
      </c>
      <c r="O995" t="s">
        <v>36</v>
      </c>
      <c r="P995" t="b">
        <v>0</v>
      </c>
      <c r="Q995" t="b">
        <v>0</v>
      </c>
      <c r="R995" t="b">
        <v>0</v>
      </c>
      <c r="S995" t="b">
        <v>0</v>
      </c>
      <c r="T995" t="b">
        <v>0</v>
      </c>
      <c r="U995">
        <v>1.4</v>
      </c>
      <c r="V995">
        <v>6.4</v>
      </c>
      <c r="W995">
        <v>5</v>
      </c>
      <c r="X995">
        <v>9.6</v>
      </c>
      <c r="Y995">
        <v>18.84</v>
      </c>
      <c r="Z995">
        <v>18</v>
      </c>
      <c r="AA995" t="s">
        <v>46</v>
      </c>
    </row>
    <row r="996" spans="1:27" x14ac:dyDescent="0.3">
      <c r="A996" t="s">
        <v>1087</v>
      </c>
      <c r="B996">
        <v>20</v>
      </c>
      <c r="C996" t="s">
        <v>53</v>
      </c>
      <c r="D996">
        <v>9.3000000000000007</v>
      </c>
      <c r="E996" t="s">
        <v>60</v>
      </c>
      <c r="F996" t="s">
        <v>61</v>
      </c>
      <c r="G996" t="s">
        <v>71</v>
      </c>
      <c r="H996">
        <v>5.8</v>
      </c>
      <c r="I996" t="s">
        <v>41</v>
      </c>
      <c r="J996" t="s">
        <v>42</v>
      </c>
      <c r="K996" t="s">
        <v>51</v>
      </c>
      <c r="L996">
        <v>2.5299999999999998</v>
      </c>
      <c r="M996">
        <v>8</v>
      </c>
      <c r="N996" t="s">
        <v>63</v>
      </c>
      <c r="O996" t="s">
        <v>36</v>
      </c>
      <c r="P996" t="b">
        <v>0</v>
      </c>
      <c r="Q996" t="b">
        <v>1</v>
      </c>
      <c r="R996" t="b">
        <v>1</v>
      </c>
      <c r="S996" t="b">
        <v>0</v>
      </c>
      <c r="T996" t="b">
        <v>0</v>
      </c>
      <c r="U996">
        <v>0.4</v>
      </c>
      <c r="V996">
        <v>4.4000000000000004</v>
      </c>
      <c r="W996">
        <v>6</v>
      </c>
      <c r="X996">
        <v>6.1</v>
      </c>
      <c r="Y996">
        <v>220.04</v>
      </c>
      <c r="Z996">
        <v>10</v>
      </c>
      <c r="AA996" t="s">
        <v>37</v>
      </c>
    </row>
    <row r="997" spans="1:27" x14ac:dyDescent="0.3">
      <c r="A997" t="s">
        <v>1088</v>
      </c>
      <c r="B997">
        <v>15</v>
      </c>
      <c r="C997" t="s">
        <v>53</v>
      </c>
      <c r="D997">
        <v>8.6</v>
      </c>
      <c r="E997" t="s">
        <v>82</v>
      </c>
      <c r="F997" t="s">
        <v>134</v>
      </c>
      <c r="G997" t="s">
        <v>31</v>
      </c>
      <c r="H997">
        <v>4.0999999999999996</v>
      </c>
      <c r="I997" t="s">
        <v>32</v>
      </c>
      <c r="J997" t="s">
        <v>74</v>
      </c>
      <c r="K997" t="s">
        <v>62</v>
      </c>
      <c r="L997">
        <v>2.96</v>
      </c>
      <c r="N997" t="s">
        <v>80</v>
      </c>
      <c r="O997" t="s">
        <v>33</v>
      </c>
      <c r="P997" t="b">
        <v>1</v>
      </c>
      <c r="Q997" t="b">
        <v>0</v>
      </c>
      <c r="R997" t="b">
        <v>1</v>
      </c>
      <c r="S997" t="b">
        <v>1</v>
      </c>
      <c r="T997" t="b">
        <v>1</v>
      </c>
      <c r="U997">
        <v>1.9</v>
      </c>
      <c r="V997">
        <v>7.5</v>
      </c>
      <c r="W997">
        <v>6</v>
      </c>
      <c r="X997">
        <v>2.4</v>
      </c>
      <c r="Y997">
        <v>426.54</v>
      </c>
      <c r="Z997">
        <v>3</v>
      </c>
      <c r="AA997" t="s">
        <v>37</v>
      </c>
    </row>
    <row r="998" spans="1:27" x14ac:dyDescent="0.3">
      <c r="A998" t="s">
        <v>1089</v>
      </c>
      <c r="B998">
        <v>18</v>
      </c>
      <c r="C998" t="s">
        <v>28</v>
      </c>
      <c r="D998">
        <v>5.4</v>
      </c>
      <c r="E998" t="s">
        <v>76</v>
      </c>
      <c r="F998" t="s">
        <v>126</v>
      </c>
      <c r="G998" t="s">
        <v>50</v>
      </c>
      <c r="H998">
        <v>6.5</v>
      </c>
      <c r="I998" t="s">
        <v>41</v>
      </c>
      <c r="J998" t="s">
        <v>36</v>
      </c>
      <c r="K998" t="s">
        <v>84</v>
      </c>
      <c r="L998">
        <v>3.42</v>
      </c>
      <c r="N998" t="s">
        <v>63</v>
      </c>
      <c r="O998" t="s">
        <v>45</v>
      </c>
      <c r="P998" t="b">
        <v>0</v>
      </c>
      <c r="Q998" t="b">
        <v>0</v>
      </c>
      <c r="R998" t="b">
        <v>0</v>
      </c>
      <c r="S998" t="b">
        <v>1</v>
      </c>
      <c r="T998" t="b">
        <v>0</v>
      </c>
      <c r="U998">
        <v>2.1</v>
      </c>
      <c r="V998">
        <v>7.7</v>
      </c>
      <c r="W998">
        <v>1</v>
      </c>
      <c r="X998">
        <v>10.9</v>
      </c>
      <c r="Y998">
        <v>83.71</v>
      </c>
      <c r="Z998">
        <v>7</v>
      </c>
      <c r="AA998" t="s">
        <v>46</v>
      </c>
    </row>
    <row r="999" spans="1:27" x14ac:dyDescent="0.3">
      <c r="A999" t="s">
        <v>1090</v>
      </c>
      <c r="B999">
        <v>23</v>
      </c>
      <c r="C999" t="s">
        <v>28</v>
      </c>
      <c r="D999">
        <v>7.3</v>
      </c>
      <c r="E999" t="s">
        <v>54</v>
      </c>
      <c r="F999" t="s">
        <v>55</v>
      </c>
      <c r="G999" t="s">
        <v>31</v>
      </c>
      <c r="H999">
        <v>3.9</v>
      </c>
      <c r="I999" t="s">
        <v>78</v>
      </c>
      <c r="J999" t="s">
        <v>42</v>
      </c>
      <c r="K999" t="s">
        <v>51</v>
      </c>
      <c r="M999">
        <v>3</v>
      </c>
      <c r="N999" t="s">
        <v>56</v>
      </c>
      <c r="O999" t="s">
        <v>57</v>
      </c>
      <c r="P999" t="b">
        <v>1</v>
      </c>
      <c r="Q999" t="b">
        <v>1</v>
      </c>
      <c r="R999" t="b">
        <v>0</v>
      </c>
      <c r="S999" t="b">
        <v>0</v>
      </c>
      <c r="T999" t="b">
        <v>1</v>
      </c>
      <c r="U999">
        <v>0.5</v>
      </c>
      <c r="V999">
        <v>8.1</v>
      </c>
      <c r="W999">
        <v>5</v>
      </c>
      <c r="X999">
        <v>6.7</v>
      </c>
      <c r="Y999">
        <v>88.6</v>
      </c>
      <c r="Z999">
        <v>5</v>
      </c>
      <c r="AA999" t="s">
        <v>58</v>
      </c>
    </row>
    <row r="1000" spans="1:27" x14ac:dyDescent="0.3">
      <c r="A1000" t="s">
        <v>1091</v>
      </c>
      <c r="B1000">
        <v>18</v>
      </c>
      <c r="C1000" t="s">
        <v>28</v>
      </c>
      <c r="D1000">
        <v>3.1</v>
      </c>
      <c r="E1000" t="s">
        <v>82</v>
      </c>
      <c r="F1000" t="s">
        <v>83</v>
      </c>
      <c r="G1000" t="s">
        <v>71</v>
      </c>
      <c r="H1000">
        <v>8.1999999999999993</v>
      </c>
      <c r="I1000" t="s">
        <v>41</v>
      </c>
      <c r="J1000" t="s">
        <v>33</v>
      </c>
      <c r="K1000" t="s">
        <v>43</v>
      </c>
      <c r="L1000">
        <v>1.03</v>
      </c>
      <c r="N1000" t="s">
        <v>66</v>
      </c>
      <c r="O1000" t="s">
        <v>42</v>
      </c>
      <c r="P1000" t="b">
        <v>0</v>
      </c>
      <c r="Q1000" t="b">
        <v>0</v>
      </c>
      <c r="R1000" t="b">
        <v>0</v>
      </c>
      <c r="S1000" t="b">
        <v>0</v>
      </c>
      <c r="T1000" t="b">
        <v>0</v>
      </c>
      <c r="U1000">
        <v>0.8</v>
      </c>
      <c r="V1000">
        <v>8.4</v>
      </c>
      <c r="W1000">
        <v>1</v>
      </c>
      <c r="X1000">
        <v>12.7</v>
      </c>
      <c r="Y1000">
        <v>22.02</v>
      </c>
      <c r="Z1000">
        <v>8</v>
      </c>
      <c r="AA1000" t="s">
        <v>46</v>
      </c>
    </row>
    <row r="1001" spans="1:27" x14ac:dyDescent="0.3">
      <c r="A1001" t="s">
        <v>1092</v>
      </c>
      <c r="B1001">
        <v>29</v>
      </c>
      <c r="C1001" t="s">
        <v>28</v>
      </c>
      <c r="D1001">
        <v>3.5</v>
      </c>
      <c r="E1001" t="s">
        <v>54</v>
      </c>
      <c r="F1001" t="s">
        <v>98</v>
      </c>
      <c r="G1001" t="s">
        <v>50</v>
      </c>
      <c r="H1001">
        <v>7.4</v>
      </c>
      <c r="I1001" t="s">
        <v>43</v>
      </c>
      <c r="J1001" t="s">
        <v>33</v>
      </c>
      <c r="K1001" t="s">
        <v>34</v>
      </c>
      <c r="M1001">
        <v>6</v>
      </c>
      <c r="N1001" t="s">
        <v>66</v>
      </c>
      <c r="O1001" t="s">
        <v>57</v>
      </c>
      <c r="P1001" t="b">
        <v>0</v>
      </c>
      <c r="Q1001" t="b">
        <v>0</v>
      </c>
      <c r="R1001" t="b">
        <v>0</v>
      </c>
      <c r="S1001" t="b">
        <v>0</v>
      </c>
      <c r="T1001" t="b">
        <v>0</v>
      </c>
      <c r="U1001">
        <v>0</v>
      </c>
      <c r="V1001">
        <v>9.3000000000000007</v>
      </c>
      <c r="W1001">
        <v>2</v>
      </c>
      <c r="X1001">
        <v>10.9</v>
      </c>
      <c r="Y1001">
        <v>25.2</v>
      </c>
      <c r="Z1001">
        <v>19</v>
      </c>
      <c r="AA1001" t="s">
        <v>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315D9-433C-4C13-9E76-17830D380CF0}">
  <dimension ref="A1:AI1001"/>
  <sheetViews>
    <sheetView zoomScale="52" workbookViewId="0">
      <selection activeCell="D13" sqref="D13"/>
    </sheetView>
  </sheetViews>
  <sheetFormatPr defaultRowHeight="14.4" x14ac:dyDescent="0.3"/>
  <cols>
    <col min="3" max="3" width="13.5546875" customWidth="1"/>
    <col min="5" max="5" width="18.5546875" customWidth="1"/>
    <col min="10" max="11" width="15.44140625" customWidth="1"/>
    <col min="28" max="29" width="24.44140625" customWidth="1"/>
    <col min="31" max="31" width="24.21875" bestFit="1" customWidth="1"/>
  </cols>
  <sheetData>
    <row r="1" spans="1:35" x14ac:dyDescent="0.3">
      <c r="A1" t="s">
        <v>0</v>
      </c>
      <c r="B1" t="s">
        <v>1</v>
      </c>
      <c r="C1" t="s">
        <v>1104</v>
      </c>
      <c r="D1" t="s">
        <v>2</v>
      </c>
      <c r="E1" t="s">
        <v>3</v>
      </c>
      <c r="F1" t="s">
        <v>1093</v>
      </c>
      <c r="G1" t="s">
        <v>4</v>
      </c>
      <c r="H1" t="s">
        <v>5</v>
      </c>
      <c r="I1" t="s">
        <v>6</v>
      </c>
      <c r="J1" t="s">
        <v>7</v>
      </c>
      <c r="K1" t="s">
        <v>1094</v>
      </c>
      <c r="L1" t="s">
        <v>8</v>
      </c>
      <c r="M1" t="s">
        <v>9</v>
      </c>
      <c r="N1" t="s">
        <v>10</v>
      </c>
      <c r="O1" t="s">
        <v>11</v>
      </c>
      <c r="P1" t="s">
        <v>12</v>
      </c>
      <c r="Q1" t="s">
        <v>13</v>
      </c>
      <c r="R1" t="s">
        <v>14</v>
      </c>
      <c r="S1" t="s">
        <v>15</v>
      </c>
      <c r="T1" t="s">
        <v>16</v>
      </c>
      <c r="U1" t="s">
        <v>17</v>
      </c>
      <c r="V1" t="s">
        <v>18</v>
      </c>
      <c r="W1" t="s">
        <v>19</v>
      </c>
      <c r="X1" t="s">
        <v>20</v>
      </c>
      <c r="Y1" t="s">
        <v>21</v>
      </c>
      <c r="Z1" t="s">
        <v>22</v>
      </c>
      <c r="AA1" t="s">
        <v>23</v>
      </c>
      <c r="AB1" s="3" t="s">
        <v>24</v>
      </c>
      <c r="AC1" s="3" t="s">
        <v>1095</v>
      </c>
      <c r="AD1" t="s">
        <v>25</v>
      </c>
      <c r="AE1" t="s">
        <v>26</v>
      </c>
      <c r="AF1" t="s">
        <v>1096</v>
      </c>
      <c r="AG1" t="s">
        <v>1097</v>
      </c>
      <c r="AH1" t="s">
        <v>1098</v>
      </c>
      <c r="AI1" t="s">
        <v>1099</v>
      </c>
    </row>
    <row r="2" spans="1:35" x14ac:dyDescent="0.3">
      <c r="A2" t="s">
        <v>27</v>
      </c>
      <c r="B2">
        <v>17</v>
      </c>
      <c r="C2" t="str">
        <f>IF(B2&lt;=19,"Teenager",IF(B2&lt;=30,"Young Adults",IF(B2&gt;30,"Old Adults")))</f>
        <v>Teenager</v>
      </c>
      <c r="D2" t="s">
        <v>28</v>
      </c>
      <c r="E2">
        <v>11.1</v>
      </c>
      <c r="F2" s="1">
        <f>AVERAGE(E2:E1001)</f>
        <v>6.1513999999999998</v>
      </c>
      <c r="G2" t="s">
        <v>29</v>
      </c>
      <c r="H2" t="s">
        <v>30</v>
      </c>
      <c r="I2" t="s">
        <v>31</v>
      </c>
      <c r="J2">
        <v>3.7</v>
      </c>
      <c r="K2" s="1">
        <f>AVERAGE(J2:J1001)</f>
        <v>5.7381000000000038</v>
      </c>
      <c r="L2" t="s">
        <v>32</v>
      </c>
      <c r="M2" t="s">
        <v>33</v>
      </c>
      <c r="N2" t="s">
        <v>34</v>
      </c>
      <c r="O2">
        <v>1.25</v>
      </c>
      <c r="Q2" t="s">
        <v>35</v>
      </c>
      <c r="R2" t="s">
        <v>36</v>
      </c>
      <c r="S2" t="b">
        <v>1</v>
      </c>
      <c r="T2" t="b">
        <v>0</v>
      </c>
      <c r="U2" t="b">
        <v>1</v>
      </c>
      <c r="V2" t="b">
        <v>1</v>
      </c>
      <c r="W2" t="b">
        <v>0</v>
      </c>
      <c r="X2">
        <v>6.8</v>
      </c>
      <c r="Y2">
        <v>3.7</v>
      </c>
      <c r="Z2">
        <v>7</v>
      </c>
      <c r="AA2">
        <v>1.3</v>
      </c>
      <c r="AB2" s="3">
        <v>383.7</v>
      </c>
      <c r="AC2" s="3">
        <f>AVERAGE(AB2:AB1001)</f>
        <v>105.21973000000003</v>
      </c>
      <c r="AD2">
        <v>3</v>
      </c>
      <c r="AE2" t="s">
        <v>37</v>
      </c>
      <c r="AF2" s="4">
        <f>COUNTIF(AE2:AE1001,"Severe")/COUNTA(AE2:AE1001)</f>
        <v>0.14199999999999999</v>
      </c>
      <c r="AG2" s="4">
        <v>0.51451451451451446</v>
      </c>
      <c r="AH2" s="5">
        <v>0.19038076152304609</v>
      </c>
      <c r="AI2" s="4">
        <v>0.15446339017051153</v>
      </c>
    </row>
    <row r="3" spans="1:35" x14ac:dyDescent="0.3">
      <c r="A3" t="s">
        <v>38</v>
      </c>
      <c r="B3">
        <v>21</v>
      </c>
      <c r="C3" t="str">
        <f t="shared" ref="C3:C66" si="0">IF(B3&lt;=19,"Teenager",IF(B3&lt;=30,"Young Adults",IF(B3&gt;30,"Old Adults")))</f>
        <v>Young Adults</v>
      </c>
      <c r="D3" t="s">
        <v>28</v>
      </c>
      <c r="E3">
        <v>3</v>
      </c>
      <c r="G3" t="s">
        <v>39</v>
      </c>
      <c r="H3" t="s">
        <v>40</v>
      </c>
      <c r="I3" t="s">
        <v>31</v>
      </c>
      <c r="J3">
        <v>7.2</v>
      </c>
      <c r="L3" t="s">
        <v>41</v>
      </c>
      <c r="M3" t="s">
        <v>42</v>
      </c>
      <c r="N3" t="s">
        <v>43</v>
      </c>
      <c r="O3">
        <v>3.75</v>
      </c>
      <c r="P3">
        <v>2</v>
      </c>
      <c r="Q3" t="s">
        <v>44</v>
      </c>
      <c r="R3" t="s">
        <v>45</v>
      </c>
      <c r="S3" t="b">
        <v>0</v>
      </c>
      <c r="T3" t="b">
        <v>0</v>
      </c>
      <c r="U3" t="b">
        <v>0</v>
      </c>
      <c r="V3" t="b">
        <v>0</v>
      </c>
      <c r="W3" t="b">
        <v>0</v>
      </c>
      <c r="X3">
        <v>0.4</v>
      </c>
      <c r="Y3">
        <v>8.5</v>
      </c>
      <c r="Z3">
        <v>2</v>
      </c>
      <c r="AA3">
        <v>10.7</v>
      </c>
      <c r="AB3" s="3">
        <v>46.64</v>
      </c>
      <c r="AC3" s="3"/>
      <c r="AD3">
        <v>1</v>
      </c>
      <c r="AE3" t="s">
        <v>46</v>
      </c>
      <c r="AF3" s="4"/>
    </row>
    <row r="4" spans="1:35" x14ac:dyDescent="0.3">
      <c r="A4" t="s">
        <v>47</v>
      </c>
      <c r="B4">
        <v>23</v>
      </c>
      <c r="C4" t="str">
        <f t="shared" si="0"/>
        <v>Young Adults</v>
      </c>
      <c r="D4" t="s">
        <v>28</v>
      </c>
      <c r="E4">
        <v>7.6</v>
      </c>
      <c r="G4" t="s">
        <v>48</v>
      </c>
      <c r="H4" t="s">
        <v>49</v>
      </c>
      <c r="I4" t="s">
        <v>50</v>
      </c>
      <c r="J4">
        <v>4.4000000000000004</v>
      </c>
      <c r="L4" t="s">
        <v>41</v>
      </c>
      <c r="M4" t="s">
        <v>45</v>
      </c>
      <c r="N4" t="s">
        <v>51</v>
      </c>
      <c r="P4">
        <v>9</v>
      </c>
      <c r="Q4" t="s">
        <v>44</v>
      </c>
      <c r="R4" t="s">
        <v>42</v>
      </c>
      <c r="S4" t="b">
        <v>1</v>
      </c>
      <c r="T4" t="b">
        <v>1</v>
      </c>
      <c r="U4" t="b">
        <v>1</v>
      </c>
      <c r="V4" t="b">
        <v>0</v>
      </c>
      <c r="W4" t="b">
        <v>1</v>
      </c>
      <c r="X4">
        <v>1.8</v>
      </c>
      <c r="Y4">
        <v>7.1</v>
      </c>
      <c r="Z4">
        <v>5</v>
      </c>
      <c r="AA4">
        <v>3.2</v>
      </c>
      <c r="AB4" s="3">
        <v>100.81</v>
      </c>
      <c r="AC4" s="3"/>
      <c r="AD4">
        <v>6</v>
      </c>
      <c r="AE4" t="s">
        <v>37</v>
      </c>
      <c r="AF4" s="4"/>
    </row>
    <row r="5" spans="1:35" x14ac:dyDescent="0.3">
      <c r="A5" t="s">
        <v>52</v>
      </c>
      <c r="B5">
        <v>20</v>
      </c>
      <c r="C5" t="str">
        <f t="shared" si="0"/>
        <v>Young Adults</v>
      </c>
      <c r="D5" t="s">
        <v>53</v>
      </c>
      <c r="E5">
        <v>7.2</v>
      </c>
      <c r="G5" t="s">
        <v>54</v>
      </c>
      <c r="H5" t="s">
        <v>55</v>
      </c>
      <c r="I5" t="s">
        <v>50</v>
      </c>
      <c r="J5">
        <v>5.0999999999999996</v>
      </c>
      <c r="L5" t="s">
        <v>41</v>
      </c>
      <c r="M5" t="s">
        <v>45</v>
      </c>
      <c r="N5" t="s">
        <v>51</v>
      </c>
      <c r="O5">
        <v>1.62</v>
      </c>
      <c r="P5">
        <v>2</v>
      </c>
      <c r="Q5" t="s">
        <v>56</v>
      </c>
      <c r="R5" t="s">
        <v>57</v>
      </c>
      <c r="S5" t="b">
        <v>1</v>
      </c>
      <c r="T5" t="b">
        <v>1</v>
      </c>
      <c r="U5" t="b">
        <v>0</v>
      </c>
      <c r="V5" t="b">
        <v>1</v>
      </c>
      <c r="W5" t="b">
        <v>1</v>
      </c>
      <c r="X5">
        <v>0.2</v>
      </c>
      <c r="Y5">
        <v>5.2</v>
      </c>
      <c r="Z5">
        <v>4</v>
      </c>
      <c r="AA5">
        <v>9.1</v>
      </c>
      <c r="AB5" s="3">
        <v>51.6</v>
      </c>
      <c r="AC5" s="3"/>
      <c r="AD5">
        <v>7</v>
      </c>
      <c r="AE5" t="s">
        <v>58</v>
      </c>
      <c r="AF5" s="4"/>
    </row>
    <row r="6" spans="1:35" x14ac:dyDescent="0.3">
      <c r="A6" t="s">
        <v>59</v>
      </c>
      <c r="B6">
        <v>18</v>
      </c>
      <c r="C6" t="str">
        <f t="shared" si="0"/>
        <v>Teenager</v>
      </c>
      <c r="D6" t="s">
        <v>28</v>
      </c>
      <c r="E6">
        <v>6.8</v>
      </c>
      <c r="G6" t="s">
        <v>60</v>
      </c>
      <c r="H6" t="s">
        <v>61</v>
      </c>
      <c r="I6" t="s">
        <v>31</v>
      </c>
      <c r="J6">
        <v>3.4</v>
      </c>
      <c r="L6" t="s">
        <v>51</v>
      </c>
      <c r="M6" t="s">
        <v>36</v>
      </c>
      <c r="N6" t="s">
        <v>62</v>
      </c>
      <c r="O6">
        <v>2.44</v>
      </c>
      <c r="Q6" t="s">
        <v>63</v>
      </c>
      <c r="R6" t="s">
        <v>57</v>
      </c>
      <c r="S6" t="b">
        <v>1</v>
      </c>
      <c r="T6" t="b">
        <v>0</v>
      </c>
      <c r="U6" t="b">
        <v>0</v>
      </c>
      <c r="V6" t="b">
        <v>0</v>
      </c>
      <c r="W6" t="b">
        <v>0</v>
      </c>
      <c r="X6">
        <v>0.5</v>
      </c>
      <c r="Y6">
        <v>6.1</v>
      </c>
      <c r="Z6">
        <v>4</v>
      </c>
      <c r="AA6">
        <v>4.5</v>
      </c>
      <c r="AB6" s="3">
        <v>32.57</v>
      </c>
      <c r="AC6" s="3"/>
      <c r="AD6">
        <v>1</v>
      </c>
      <c r="AE6" t="s">
        <v>64</v>
      </c>
      <c r="AF6" s="4"/>
    </row>
    <row r="7" spans="1:35" x14ac:dyDescent="0.3">
      <c r="A7" t="s">
        <v>65</v>
      </c>
      <c r="B7">
        <v>21</v>
      </c>
      <c r="C7" t="str">
        <f t="shared" si="0"/>
        <v>Young Adults</v>
      </c>
      <c r="D7" t="s">
        <v>28</v>
      </c>
      <c r="E7">
        <v>2.1</v>
      </c>
      <c r="G7" t="s">
        <v>29</v>
      </c>
      <c r="H7" t="s">
        <v>30</v>
      </c>
      <c r="I7" t="s">
        <v>31</v>
      </c>
      <c r="J7">
        <v>7.5</v>
      </c>
      <c r="L7" t="s">
        <v>41</v>
      </c>
      <c r="M7" t="s">
        <v>42</v>
      </c>
      <c r="N7" t="s">
        <v>43</v>
      </c>
      <c r="O7">
        <v>3.81</v>
      </c>
      <c r="P7">
        <v>4</v>
      </c>
      <c r="Q7" t="s">
        <v>66</v>
      </c>
      <c r="R7" t="s">
        <v>36</v>
      </c>
      <c r="S7" t="b">
        <v>0</v>
      </c>
      <c r="T7" t="b">
        <v>0</v>
      </c>
      <c r="U7" t="b">
        <v>0</v>
      </c>
      <c r="V7" t="b">
        <v>0</v>
      </c>
      <c r="W7" t="b">
        <v>0</v>
      </c>
      <c r="X7">
        <v>0.2</v>
      </c>
      <c r="Y7">
        <v>10.8</v>
      </c>
      <c r="Z7">
        <v>1</v>
      </c>
      <c r="AA7">
        <v>9.6</v>
      </c>
      <c r="AB7" s="3">
        <v>8.6300000000000008</v>
      </c>
      <c r="AC7" s="3"/>
      <c r="AD7">
        <v>4</v>
      </c>
      <c r="AE7" t="s">
        <v>46</v>
      </c>
      <c r="AF7" s="4"/>
    </row>
    <row r="8" spans="1:35" x14ac:dyDescent="0.3">
      <c r="A8" t="s">
        <v>67</v>
      </c>
      <c r="B8">
        <v>21</v>
      </c>
      <c r="C8" t="str">
        <f t="shared" si="0"/>
        <v>Young Adults</v>
      </c>
      <c r="D8" t="s">
        <v>28</v>
      </c>
      <c r="E8">
        <v>2.7</v>
      </c>
      <c r="G8" t="s">
        <v>48</v>
      </c>
      <c r="H8" t="s">
        <v>68</v>
      </c>
      <c r="I8" t="s">
        <v>50</v>
      </c>
      <c r="J8">
        <v>7.2</v>
      </c>
      <c r="L8" t="s">
        <v>32</v>
      </c>
      <c r="M8" t="s">
        <v>45</v>
      </c>
      <c r="N8" t="s">
        <v>34</v>
      </c>
      <c r="O8">
        <v>1.82</v>
      </c>
      <c r="P8">
        <v>6</v>
      </c>
      <c r="Q8" t="s">
        <v>69</v>
      </c>
      <c r="R8" t="s">
        <v>42</v>
      </c>
      <c r="S8" t="b">
        <v>0</v>
      </c>
      <c r="T8" t="b">
        <v>0</v>
      </c>
      <c r="U8" t="b">
        <v>0</v>
      </c>
      <c r="V8" t="b">
        <v>0</v>
      </c>
      <c r="W8" t="b">
        <v>0</v>
      </c>
      <c r="X8">
        <v>0.8</v>
      </c>
      <c r="Y8">
        <v>10</v>
      </c>
      <c r="Z8">
        <v>2</v>
      </c>
      <c r="AA8">
        <v>10.1</v>
      </c>
      <c r="AB8" s="3">
        <v>35.25</v>
      </c>
      <c r="AC8" s="3"/>
      <c r="AD8">
        <v>3</v>
      </c>
      <c r="AE8" t="s">
        <v>46</v>
      </c>
      <c r="AF8" s="4"/>
    </row>
    <row r="9" spans="1:35" x14ac:dyDescent="0.3">
      <c r="A9" t="s">
        <v>70</v>
      </c>
      <c r="B9">
        <v>28</v>
      </c>
      <c r="C9" t="str">
        <f t="shared" si="0"/>
        <v>Young Adults</v>
      </c>
      <c r="D9" t="s">
        <v>53</v>
      </c>
      <c r="E9">
        <v>10.3</v>
      </c>
      <c r="G9" t="s">
        <v>29</v>
      </c>
      <c r="H9" t="s">
        <v>30</v>
      </c>
      <c r="I9" t="s">
        <v>71</v>
      </c>
      <c r="J9">
        <v>5.2</v>
      </c>
      <c r="L9" t="s">
        <v>41</v>
      </c>
      <c r="M9" t="s">
        <v>33</v>
      </c>
      <c r="N9" t="s">
        <v>51</v>
      </c>
      <c r="P9">
        <v>1</v>
      </c>
      <c r="Q9" t="s">
        <v>35</v>
      </c>
      <c r="R9" t="s">
        <v>42</v>
      </c>
      <c r="S9" t="b">
        <v>1</v>
      </c>
      <c r="T9" t="b">
        <v>1</v>
      </c>
      <c r="U9" t="b">
        <v>1</v>
      </c>
      <c r="V9" t="b">
        <v>1</v>
      </c>
      <c r="W9" t="b">
        <v>1</v>
      </c>
      <c r="X9">
        <v>2.4</v>
      </c>
      <c r="Y9">
        <v>5.6</v>
      </c>
      <c r="Z9">
        <v>6</v>
      </c>
      <c r="AA9">
        <v>0.2</v>
      </c>
      <c r="AB9" s="3">
        <v>299.27999999999997</v>
      </c>
      <c r="AC9" s="3"/>
      <c r="AD9">
        <v>13</v>
      </c>
      <c r="AE9" t="s">
        <v>37</v>
      </c>
      <c r="AF9" s="4"/>
    </row>
    <row r="10" spans="1:35" x14ac:dyDescent="0.3">
      <c r="A10" t="s">
        <v>72</v>
      </c>
      <c r="B10">
        <v>18</v>
      </c>
      <c r="C10" t="str">
        <f t="shared" si="0"/>
        <v>Teenager</v>
      </c>
      <c r="D10" t="s">
        <v>28</v>
      </c>
      <c r="E10">
        <v>1.4</v>
      </c>
      <c r="G10" t="s">
        <v>29</v>
      </c>
      <c r="H10" t="s">
        <v>73</v>
      </c>
      <c r="I10" t="s">
        <v>31</v>
      </c>
      <c r="J10">
        <v>8.9</v>
      </c>
      <c r="L10" t="s">
        <v>51</v>
      </c>
      <c r="M10" t="s">
        <v>74</v>
      </c>
      <c r="N10" t="s">
        <v>43</v>
      </c>
      <c r="O10">
        <v>2.4300000000000002</v>
      </c>
      <c r="Q10" t="s">
        <v>69</v>
      </c>
      <c r="R10" t="s">
        <v>57</v>
      </c>
      <c r="S10" t="b">
        <v>0</v>
      </c>
      <c r="T10" t="b">
        <v>0</v>
      </c>
      <c r="U10" t="b">
        <v>0</v>
      </c>
      <c r="V10" t="b">
        <v>0</v>
      </c>
      <c r="W10" t="b">
        <v>0</v>
      </c>
      <c r="X10">
        <v>0.1</v>
      </c>
      <c r="Y10">
        <v>10.1</v>
      </c>
      <c r="Z10">
        <v>1</v>
      </c>
      <c r="AA10">
        <v>12.9</v>
      </c>
      <c r="AB10" s="3">
        <v>49.4</v>
      </c>
      <c r="AC10" s="3"/>
      <c r="AD10">
        <v>6</v>
      </c>
      <c r="AE10" t="s">
        <v>46</v>
      </c>
      <c r="AF10" s="4"/>
    </row>
    <row r="11" spans="1:35" x14ac:dyDescent="0.3">
      <c r="A11" t="s">
        <v>75</v>
      </c>
      <c r="B11">
        <v>18</v>
      </c>
      <c r="C11" t="str">
        <f t="shared" si="0"/>
        <v>Teenager</v>
      </c>
      <c r="D11" t="s">
        <v>28</v>
      </c>
      <c r="E11">
        <v>7.6</v>
      </c>
      <c r="G11" t="s">
        <v>76</v>
      </c>
      <c r="H11" t="s">
        <v>77</v>
      </c>
      <c r="I11" t="s">
        <v>50</v>
      </c>
      <c r="J11">
        <v>3.5</v>
      </c>
      <c r="L11" t="s">
        <v>78</v>
      </c>
      <c r="M11" t="s">
        <v>45</v>
      </c>
      <c r="N11" t="s">
        <v>62</v>
      </c>
      <c r="O11">
        <v>1.1299999999999999</v>
      </c>
      <c r="Q11" t="s">
        <v>35</v>
      </c>
      <c r="R11" t="s">
        <v>36</v>
      </c>
      <c r="S11" t="b">
        <v>1</v>
      </c>
      <c r="T11" t="b">
        <v>1</v>
      </c>
      <c r="U11" t="b">
        <v>1</v>
      </c>
      <c r="V11" t="b">
        <v>1</v>
      </c>
      <c r="W11" t="b">
        <v>0</v>
      </c>
      <c r="X11">
        <v>3.3</v>
      </c>
      <c r="Y11">
        <v>4.5</v>
      </c>
      <c r="Z11">
        <v>6</v>
      </c>
      <c r="AA11">
        <v>4.5999999999999996</v>
      </c>
      <c r="AB11" s="3">
        <v>135.19999999999999</v>
      </c>
      <c r="AC11" s="3"/>
      <c r="AD11">
        <v>6</v>
      </c>
      <c r="AE11" t="s">
        <v>37</v>
      </c>
      <c r="AF11" s="4"/>
    </row>
    <row r="12" spans="1:35" x14ac:dyDescent="0.3">
      <c r="A12" t="s">
        <v>79</v>
      </c>
      <c r="B12">
        <v>16</v>
      </c>
      <c r="C12" t="str">
        <f t="shared" si="0"/>
        <v>Teenager</v>
      </c>
      <c r="D12" t="s">
        <v>28</v>
      </c>
      <c r="E12">
        <v>1.5</v>
      </c>
      <c r="G12" t="s">
        <v>48</v>
      </c>
      <c r="H12" t="s">
        <v>49</v>
      </c>
      <c r="I12" t="s">
        <v>50</v>
      </c>
      <c r="J12">
        <v>8.4</v>
      </c>
      <c r="L12" t="s">
        <v>43</v>
      </c>
      <c r="M12" t="s">
        <v>45</v>
      </c>
      <c r="N12" t="s">
        <v>43</v>
      </c>
      <c r="O12">
        <v>3.04</v>
      </c>
      <c r="Q12" t="s">
        <v>80</v>
      </c>
      <c r="R12" t="s">
        <v>57</v>
      </c>
      <c r="S12" t="b">
        <v>0</v>
      </c>
      <c r="T12" t="b">
        <v>0</v>
      </c>
      <c r="U12" t="b">
        <v>0</v>
      </c>
      <c r="V12" t="b">
        <v>0</v>
      </c>
      <c r="W12" t="b">
        <v>0</v>
      </c>
      <c r="X12">
        <v>0.2</v>
      </c>
      <c r="Y12">
        <v>10.1</v>
      </c>
      <c r="Z12">
        <v>1</v>
      </c>
      <c r="AA12">
        <v>11</v>
      </c>
      <c r="AB12" s="3">
        <v>28.23</v>
      </c>
      <c r="AC12" s="3"/>
      <c r="AD12">
        <v>4</v>
      </c>
      <c r="AE12" t="s">
        <v>46</v>
      </c>
      <c r="AF12" s="4"/>
    </row>
    <row r="13" spans="1:35" x14ac:dyDescent="0.3">
      <c r="A13" t="s">
        <v>81</v>
      </c>
      <c r="B13">
        <v>14</v>
      </c>
      <c r="C13" t="str">
        <f t="shared" si="0"/>
        <v>Teenager</v>
      </c>
      <c r="D13" t="s">
        <v>28</v>
      </c>
      <c r="E13">
        <v>3</v>
      </c>
      <c r="G13" t="s">
        <v>82</v>
      </c>
      <c r="H13" t="s">
        <v>83</v>
      </c>
      <c r="I13" t="s">
        <v>31</v>
      </c>
      <c r="J13">
        <v>7.2</v>
      </c>
      <c r="L13" t="s">
        <v>43</v>
      </c>
      <c r="M13" t="s">
        <v>33</v>
      </c>
      <c r="N13" t="s">
        <v>84</v>
      </c>
      <c r="O13">
        <v>3.15</v>
      </c>
      <c r="Q13" t="s">
        <v>66</v>
      </c>
      <c r="R13" t="s">
        <v>42</v>
      </c>
      <c r="S13" t="b">
        <v>0</v>
      </c>
      <c r="T13" t="b">
        <v>0</v>
      </c>
      <c r="U13" t="b">
        <v>0</v>
      </c>
      <c r="V13" t="b">
        <v>0</v>
      </c>
      <c r="W13" t="b">
        <v>0</v>
      </c>
      <c r="X13">
        <v>0.3</v>
      </c>
      <c r="Y13">
        <v>9.4</v>
      </c>
      <c r="Z13">
        <v>1</v>
      </c>
      <c r="AA13">
        <v>13.9</v>
      </c>
      <c r="AB13" s="3">
        <v>46.36</v>
      </c>
      <c r="AC13" s="3"/>
      <c r="AD13">
        <v>3</v>
      </c>
      <c r="AE13" t="s">
        <v>46</v>
      </c>
      <c r="AF13" s="4"/>
    </row>
    <row r="14" spans="1:35" x14ac:dyDescent="0.3">
      <c r="A14" t="s">
        <v>85</v>
      </c>
      <c r="B14">
        <v>28</v>
      </c>
      <c r="C14" t="str">
        <f t="shared" si="0"/>
        <v>Young Adults</v>
      </c>
      <c r="D14" t="s">
        <v>28</v>
      </c>
      <c r="E14">
        <v>9.5</v>
      </c>
      <c r="G14" t="s">
        <v>29</v>
      </c>
      <c r="H14" t="s">
        <v>73</v>
      </c>
      <c r="I14" t="s">
        <v>86</v>
      </c>
      <c r="J14">
        <v>3.6</v>
      </c>
      <c r="L14" t="s">
        <v>32</v>
      </c>
      <c r="M14" t="s">
        <v>36</v>
      </c>
      <c r="N14" t="s">
        <v>51</v>
      </c>
      <c r="P14">
        <v>8</v>
      </c>
      <c r="Q14" t="s">
        <v>56</v>
      </c>
      <c r="R14" t="s">
        <v>42</v>
      </c>
      <c r="S14" t="b">
        <v>1</v>
      </c>
      <c r="T14" t="b">
        <v>0</v>
      </c>
      <c r="U14" t="b">
        <v>0</v>
      </c>
      <c r="V14" t="b">
        <v>1</v>
      </c>
      <c r="W14" t="b">
        <v>1</v>
      </c>
      <c r="X14">
        <v>2.2000000000000002</v>
      </c>
      <c r="Y14">
        <v>5.0999999999999996</v>
      </c>
      <c r="Z14">
        <v>5</v>
      </c>
      <c r="AA14">
        <v>1.6</v>
      </c>
      <c r="AB14" s="3">
        <v>482.71</v>
      </c>
      <c r="AC14" s="3"/>
      <c r="AD14">
        <v>7</v>
      </c>
      <c r="AE14" t="s">
        <v>58</v>
      </c>
      <c r="AF14" s="4"/>
    </row>
    <row r="15" spans="1:35" x14ac:dyDescent="0.3">
      <c r="A15" t="s">
        <v>87</v>
      </c>
      <c r="B15">
        <v>22</v>
      </c>
      <c r="C15" t="str">
        <f t="shared" si="0"/>
        <v>Young Adults</v>
      </c>
      <c r="D15" t="s">
        <v>28</v>
      </c>
      <c r="E15">
        <v>5.0999999999999996</v>
      </c>
      <c r="G15" t="s">
        <v>54</v>
      </c>
      <c r="H15" t="s">
        <v>55</v>
      </c>
      <c r="I15" t="s">
        <v>86</v>
      </c>
      <c r="J15">
        <v>5.3</v>
      </c>
      <c r="L15" t="s">
        <v>41</v>
      </c>
      <c r="M15" t="s">
        <v>36</v>
      </c>
      <c r="N15" t="s">
        <v>62</v>
      </c>
      <c r="O15">
        <v>3.25</v>
      </c>
      <c r="P15">
        <v>6</v>
      </c>
      <c r="Q15" t="s">
        <v>35</v>
      </c>
      <c r="R15" t="s">
        <v>42</v>
      </c>
      <c r="S15" t="b">
        <v>0</v>
      </c>
      <c r="T15" t="b">
        <v>0</v>
      </c>
      <c r="U15" t="b">
        <v>0</v>
      </c>
      <c r="V15" t="b">
        <v>1</v>
      </c>
      <c r="W15" t="b">
        <v>0</v>
      </c>
      <c r="X15">
        <v>0.9</v>
      </c>
      <c r="Y15">
        <v>7.6</v>
      </c>
      <c r="Z15">
        <v>3</v>
      </c>
      <c r="AA15">
        <v>6.3</v>
      </c>
      <c r="AB15" s="3">
        <v>36.07</v>
      </c>
      <c r="AC15" s="3"/>
      <c r="AD15">
        <v>5</v>
      </c>
      <c r="AE15" t="s">
        <v>46</v>
      </c>
      <c r="AF15" s="4"/>
    </row>
    <row r="16" spans="1:35" x14ac:dyDescent="0.3">
      <c r="A16" t="s">
        <v>88</v>
      </c>
      <c r="B16">
        <v>21</v>
      </c>
      <c r="C16" t="str">
        <f t="shared" si="0"/>
        <v>Young Adults</v>
      </c>
      <c r="D16" t="s">
        <v>28</v>
      </c>
      <c r="E16">
        <v>5.8</v>
      </c>
      <c r="G16" t="s">
        <v>54</v>
      </c>
      <c r="H16" t="s">
        <v>89</v>
      </c>
      <c r="I16" t="s">
        <v>71</v>
      </c>
      <c r="J16">
        <v>5.2</v>
      </c>
      <c r="L16" t="s">
        <v>43</v>
      </c>
      <c r="M16" t="s">
        <v>45</v>
      </c>
      <c r="N16" t="s">
        <v>43</v>
      </c>
      <c r="O16">
        <v>2.54</v>
      </c>
      <c r="P16">
        <v>2</v>
      </c>
      <c r="Q16" t="s">
        <v>80</v>
      </c>
      <c r="R16" t="s">
        <v>42</v>
      </c>
      <c r="S16" t="b">
        <v>0</v>
      </c>
      <c r="T16" t="b">
        <v>0</v>
      </c>
      <c r="U16" t="b">
        <v>0</v>
      </c>
      <c r="V16" t="b">
        <v>0</v>
      </c>
      <c r="W16" t="b">
        <v>1</v>
      </c>
      <c r="X16">
        <v>1.2</v>
      </c>
      <c r="Y16">
        <v>8.1999999999999993</v>
      </c>
      <c r="Z16">
        <v>3</v>
      </c>
      <c r="AA16">
        <v>9</v>
      </c>
      <c r="AB16" s="3">
        <v>104.01</v>
      </c>
      <c r="AC16" s="3"/>
      <c r="AD16">
        <v>2</v>
      </c>
      <c r="AE16" t="s">
        <v>46</v>
      </c>
      <c r="AF16" s="4"/>
    </row>
    <row r="17" spans="1:32" x14ac:dyDescent="0.3">
      <c r="A17" t="s">
        <v>90</v>
      </c>
      <c r="B17">
        <v>25</v>
      </c>
      <c r="C17" t="str">
        <f t="shared" si="0"/>
        <v>Young Adults</v>
      </c>
      <c r="D17" t="s">
        <v>28</v>
      </c>
      <c r="E17">
        <v>7.3</v>
      </c>
      <c r="G17" t="s">
        <v>29</v>
      </c>
      <c r="H17" t="s">
        <v>30</v>
      </c>
      <c r="I17" t="s">
        <v>71</v>
      </c>
      <c r="J17">
        <v>5.6</v>
      </c>
      <c r="L17" t="s">
        <v>51</v>
      </c>
      <c r="M17" t="s">
        <v>45</v>
      </c>
      <c r="N17" t="s">
        <v>51</v>
      </c>
      <c r="P17">
        <v>5</v>
      </c>
      <c r="Q17" t="s">
        <v>35</v>
      </c>
      <c r="R17" t="s">
        <v>36</v>
      </c>
      <c r="S17" t="b">
        <v>1</v>
      </c>
      <c r="T17" t="b">
        <v>1</v>
      </c>
      <c r="U17" t="b">
        <v>0</v>
      </c>
      <c r="V17" t="b">
        <v>1</v>
      </c>
      <c r="W17" t="b">
        <v>1</v>
      </c>
      <c r="X17">
        <v>3.3</v>
      </c>
      <c r="Y17">
        <v>6.9</v>
      </c>
      <c r="Z17">
        <v>6</v>
      </c>
      <c r="AA17">
        <v>6.8</v>
      </c>
      <c r="AB17" s="3">
        <v>68.25</v>
      </c>
      <c r="AC17" s="3"/>
      <c r="AD17">
        <v>7</v>
      </c>
      <c r="AE17" t="s">
        <v>58</v>
      </c>
      <c r="AF17" s="4"/>
    </row>
    <row r="18" spans="1:32" x14ac:dyDescent="0.3">
      <c r="A18" t="s">
        <v>91</v>
      </c>
      <c r="B18">
        <v>19</v>
      </c>
      <c r="C18" t="str">
        <f t="shared" si="0"/>
        <v>Teenager</v>
      </c>
      <c r="D18" t="s">
        <v>28</v>
      </c>
      <c r="E18">
        <v>3</v>
      </c>
      <c r="G18" t="s">
        <v>29</v>
      </c>
      <c r="H18" t="s">
        <v>73</v>
      </c>
      <c r="I18" t="s">
        <v>71</v>
      </c>
      <c r="J18">
        <v>7.4</v>
      </c>
      <c r="L18" t="s">
        <v>41</v>
      </c>
      <c r="M18" t="s">
        <v>33</v>
      </c>
      <c r="N18" t="s">
        <v>51</v>
      </c>
      <c r="O18">
        <v>1.64</v>
      </c>
      <c r="P18">
        <v>3</v>
      </c>
      <c r="Q18" t="s">
        <v>66</v>
      </c>
      <c r="R18" t="s">
        <v>36</v>
      </c>
      <c r="S18" t="b">
        <v>0</v>
      </c>
      <c r="T18" t="b">
        <v>0</v>
      </c>
      <c r="U18" t="b">
        <v>0</v>
      </c>
      <c r="V18" t="b">
        <v>0</v>
      </c>
      <c r="W18" t="b">
        <v>0</v>
      </c>
      <c r="X18">
        <v>0.1</v>
      </c>
      <c r="Y18">
        <v>6.7</v>
      </c>
      <c r="Z18">
        <v>3</v>
      </c>
      <c r="AA18">
        <v>13.1</v>
      </c>
      <c r="AB18" s="3">
        <v>1.63</v>
      </c>
      <c r="AC18" s="3"/>
      <c r="AD18">
        <v>9</v>
      </c>
      <c r="AE18" t="s">
        <v>46</v>
      </c>
      <c r="AF18" s="4"/>
    </row>
    <row r="19" spans="1:32" x14ac:dyDescent="0.3">
      <c r="A19" t="s">
        <v>92</v>
      </c>
      <c r="B19">
        <v>22</v>
      </c>
      <c r="C19" t="str">
        <f t="shared" si="0"/>
        <v>Young Adults</v>
      </c>
      <c r="D19" t="s">
        <v>53</v>
      </c>
      <c r="E19">
        <v>11.3</v>
      </c>
      <c r="G19" t="s">
        <v>39</v>
      </c>
      <c r="H19" t="s">
        <v>93</v>
      </c>
      <c r="I19" t="s">
        <v>50</v>
      </c>
      <c r="J19">
        <v>4.5999999999999996</v>
      </c>
      <c r="L19" t="s">
        <v>51</v>
      </c>
      <c r="M19" t="s">
        <v>33</v>
      </c>
      <c r="N19" t="s">
        <v>51</v>
      </c>
      <c r="O19">
        <v>1.89</v>
      </c>
      <c r="P19">
        <v>8</v>
      </c>
      <c r="Q19" t="s">
        <v>35</v>
      </c>
      <c r="R19" t="s">
        <v>45</v>
      </c>
      <c r="S19" t="b">
        <v>1</v>
      </c>
      <c r="T19" t="b">
        <v>0</v>
      </c>
      <c r="U19" t="b">
        <v>0</v>
      </c>
      <c r="V19" t="b">
        <v>1</v>
      </c>
      <c r="W19" t="b">
        <v>1</v>
      </c>
      <c r="X19">
        <v>5.7</v>
      </c>
      <c r="Y19">
        <v>4.9000000000000004</v>
      </c>
      <c r="Z19">
        <v>9</v>
      </c>
      <c r="AA19">
        <v>0.9</v>
      </c>
      <c r="AB19" s="3">
        <v>77.239999999999995</v>
      </c>
      <c r="AC19" s="3"/>
      <c r="AD19">
        <v>10</v>
      </c>
      <c r="AE19" t="s">
        <v>58</v>
      </c>
      <c r="AF19" s="4"/>
    </row>
    <row r="20" spans="1:32" x14ac:dyDescent="0.3">
      <c r="A20" t="s">
        <v>94</v>
      </c>
      <c r="B20">
        <v>20</v>
      </c>
      <c r="C20" t="str">
        <f t="shared" si="0"/>
        <v>Young Adults</v>
      </c>
      <c r="D20" t="s">
        <v>28</v>
      </c>
      <c r="E20">
        <v>8.4</v>
      </c>
      <c r="G20" t="s">
        <v>48</v>
      </c>
      <c r="H20" t="s">
        <v>68</v>
      </c>
      <c r="I20" t="s">
        <v>86</v>
      </c>
      <c r="J20">
        <v>3.2</v>
      </c>
      <c r="L20" t="s">
        <v>32</v>
      </c>
      <c r="M20" t="s">
        <v>74</v>
      </c>
      <c r="N20" t="s">
        <v>62</v>
      </c>
      <c r="O20">
        <v>2.76</v>
      </c>
      <c r="P20">
        <v>2</v>
      </c>
      <c r="Q20" t="s">
        <v>63</v>
      </c>
      <c r="R20" t="s">
        <v>33</v>
      </c>
      <c r="S20" t="b">
        <v>1</v>
      </c>
      <c r="T20" t="b">
        <v>1</v>
      </c>
      <c r="U20" t="b">
        <v>1</v>
      </c>
      <c r="V20" t="b">
        <v>1</v>
      </c>
      <c r="W20" t="b">
        <v>0</v>
      </c>
      <c r="X20">
        <v>0.4</v>
      </c>
      <c r="Y20">
        <v>7.1</v>
      </c>
      <c r="Z20">
        <v>7</v>
      </c>
      <c r="AA20">
        <v>8.1</v>
      </c>
      <c r="AB20" s="3">
        <v>118.79</v>
      </c>
      <c r="AC20" s="3"/>
      <c r="AD20">
        <v>6</v>
      </c>
      <c r="AE20" t="s">
        <v>37</v>
      </c>
      <c r="AF20" s="4"/>
    </row>
    <row r="21" spans="1:32" x14ac:dyDescent="0.3">
      <c r="A21" t="s">
        <v>95</v>
      </c>
      <c r="B21">
        <v>20</v>
      </c>
      <c r="C21" t="str">
        <f t="shared" si="0"/>
        <v>Young Adults</v>
      </c>
      <c r="D21" t="s">
        <v>28</v>
      </c>
      <c r="E21">
        <v>9.4</v>
      </c>
      <c r="G21" t="s">
        <v>60</v>
      </c>
      <c r="H21" t="s">
        <v>96</v>
      </c>
      <c r="I21" t="s">
        <v>71</v>
      </c>
      <c r="J21">
        <v>5.5</v>
      </c>
      <c r="L21" t="s">
        <v>51</v>
      </c>
      <c r="M21" t="s">
        <v>33</v>
      </c>
      <c r="N21" t="s">
        <v>34</v>
      </c>
      <c r="O21">
        <v>2.14</v>
      </c>
      <c r="P21">
        <v>7</v>
      </c>
      <c r="Q21" t="s">
        <v>35</v>
      </c>
      <c r="R21" t="s">
        <v>42</v>
      </c>
      <c r="S21" t="b">
        <v>1</v>
      </c>
      <c r="T21" t="b">
        <v>1</v>
      </c>
      <c r="U21" t="b">
        <v>0</v>
      </c>
      <c r="V21" t="b">
        <v>0</v>
      </c>
      <c r="W21" t="b">
        <v>1</v>
      </c>
      <c r="X21">
        <v>1.7</v>
      </c>
      <c r="Y21">
        <v>4.8</v>
      </c>
      <c r="Z21">
        <v>7</v>
      </c>
      <c r="AA21">
        <v>2.2000000000000002</v>
      </c>
      <c r="AB21" s="3">
        <v>120.16</v>
      </c>
      <c r="AC21" s="3"/>
      <c r="AD21">
        <v>1</v>
      </c>
      <c r="AE21" t="s">
        <v>37</v>
      </c>
      <c r="AF21" s="4"/>
    </row>
    <row r="22" spans="1:32" x14ac:dyDescent="0.3">
      <c r="A22" t="s">
        <v>97</v>
      </c>
      <c r="B22">
        <v>22</v>
      </c>
      <c r="C22" t="str">
        <f t="shared" si="0"/>
        <v>Young Adults</v>
      </c>
      <c r="D22" t="s">
        <v>28</v>
      </c>
      <c r="E22">
        <v>6.5</v>
      </c>
      <c r="G22" t="s">
        <v>54</v>
      </c>
      <c r="H22" t="s">
        <v>98</v>
      </c>
      <c r="I22" t="s">
        <v>71</v>
      </c>
      <c r="J22">
        <v>4.4000000000000004</v>
      </c>
      <c r="L22" t="s">
        <v>51</v>
      </c>
      <c r="M22" t="s">
        <v>74</v>
      </c>
      <c r="N22" t="s">
        <v>34</v>
      </c>
      <c r="O22">
        <v>2.91</v>
      </c>
      <c r="P22">
        <v>3</v>
      </c>
      <c r="Q22" t="s">
        <v>66</v>
      </c>
      <c r="R22" t="s">
        <v>36</v>
      </c>
      <c r="S22" t="b">
        <v>0</v>
      </c>
      <c r="T22" t="b">
        <v>1</v>
      </c>
      <c r="U22" t="b">
        <v>0</v>
      </c>
      <c r="V22" t="b">
        <v>1</v>
      </c>
      <c r="W22" t="b">
        <v>0</v>
      </c>
      <c r="X22">
        <v>3.4</v>
      </c>
      <c r="Y22">
        <v>6.4</v>
      </c>
      <c r="Z22">
        <v>6</v>
      </c>
      <c r="AA22">
        <v>9.1</v>
      </c>
      <c r="AB22" s="3">
        <v>16.989999999999998</v>
      </c>
      <c r="AC22" s="3"/>
      <c r="AD22">
        <v>12</v>
      </c>
      <c r="AE22" t="s">
        <v>64</v>
      </c>
      <c r="AF22" s="4"/>
    </row>
    <row r="23" spans="1:32" x14ac:dyDescent="0.3">
      <c r="A23" t="s">
        <v>99</v>
      </c>
      <c r="B23">
        <v>16</v>
      </c>
      <c r="C23" t="str">
        <f t="shared" si="0"/>
        <v>Teenager</v>
      </c>
      <c r="D23" t="s">
        <v>53</v>
      </c>
      <c r="E23">
        <v>6.1</v>
      </c>
      <c r="G23" t="s">
        <v>39</v>
      </c>
      <c r="H23" t="s">
        <v>93</v>
      </c>
      <c r="I23" t="s">
        <v>71</v>
      </c>
      <c r="J23">
        <v>5.3</v>
      </c>
      <c r="L23" t="s">
        <v>41</v>
      </c>
      <c r="M23" t="s">
        <v>33</v>
      </c>
      <c r="N23" t="s">
        <v>43</v>
      </c>
      <c r="O23">
        <v>1.1200000000000001</v>
      </c>
      <c r="Q23" t="s">
        <v>35</v>
      </c>
      <c r="R23" t="s">
        <v>45</v>
      </c>
      <c r="S23" t="b">
        <v>0</v>
      </c>
      <c r="T23" t="b">
        <v>1</v>
      </c>
      <c r="U23" t="b">
        <v>0</v>
      </c>
      <c r="V23" t="b">
        <v>0</v>
      </c>
      <c r="W23" t="b">
        <v>1</v>
      </c>
      <c r="X23">
        <v>1.8</v>
      </c>
      <c r="Y23">
        <v>5.8</v>
      </c>
      <c r="Z23">
        <v>1</v>
      </c>
      <c r="AA23">
        <v>9.3000000000000007</v>
      </c>
      <c r="AB23" s="3">
        <v>53.52</v>
      </c>
      <c r="AC23" s="3"/>
      <c r="AD23">
        <v>4</v>
      </c>
      <c r="AE23" t="s">
        <v>64</v>
      </c>
      <c r="AF23" s="4"/>
    </row>
    <row r="24" spans="1:32" x14ac:dyDescent="0.3">
      <c r="A24" t="s">
        <v>100</v>
      </c>
      <c r="B24">
        <v>14</v>
      </c>
      <c r="C24" t="str">
        <f t="shared" si="0"/>
        <v>Teenager</v>
      </c>
      <c r="D24" t="s">
        <v>53</v>
      </c>
      <c r="E24">
        <v>6.3</v>
      </c>
      <c r="G24" t="s">
        <v>54</v>
      </c>
      <c r="H24" t="s">
        <v>55</v>
      </c>
      <c r="I24" t="s">
        <v>86</v>
      </c>
      <c r="J24">
        <v>6.5</v>
      </c>
      <c r="L24" t="s">
        <v>43</v>
      </c>
      <c r="M24" t="s">
        <v>42</v>
      </c>
      <c r="N24" t="s">
        <v>62</v>
      </c>
      <c r="O24">
        <v>3.27</v>
      </c>
      <c r="Q24" t="s">
        <v>35</v>
      </c>
      <c r="R24" t="s">
        <v>36</v>
      </c>
      <c r="S24" t="b">
        <v>0</v>
      </c>
      <c r="T24" t="b">
        <v>1</v>
      </c>
      <c r="U24" t="b">
        <v>0</v>
      </c>
      <c r="V24" t="b">
        <v>1</v>
      </c>
      <c r="W24" t="b">
        <v>0</v>
      </c>
      <c r="X24">
        <v>0.2</v>
      </c>
      <c r="Y24">
        <v>7.5</v>
      </c>
      <c r="Z24">
        <v>4</v>
      </c>
      <c r="AA24">
        <v>4.8</v>
      </c>
      <c r="AB24" s="3">
        <v>126.54</v>
      </c>
      <c r="AC24" s="3"/>
      <c r="AD24">
        <v>4</v>
      </c>
      <c r="AE24" t="s">
        <v>64</v>
      </c>
      <c r="AF24" s="4"/>
    </row>
    <row r="25" spans="1:32" x14ac:dyDescent="0.3">
      <c r="A25" t="s">
        <v>101</v>
      </c>
      <c r="B25">
        <v>19</v>
      </c>
      <c r="C25" t="str">
        <f t="shared" si="0"/>
        <v>Teenager</v>
      </c>
      <c r="D25" t="s">
        <v>53</v>
      </c>
      <c r="E25">
        <v>8.9</v>
      </c>
      <c r="G25" t="s">
        <v>60</v>
      </c>
      <c r="H25" t="s">
        <v>102</v>
      </c>
      <c r="I25" t="s">
        <v>71</v>
      </c>
      <c r="J25">
        <v>5.7</v>
      </c>
      <c r="L25" t="s">
        <v>32</v>
      </c>
      <c r="M25" t="s">
        <v>36</v>
      </c>
      <c r="N25" t="s">
        <v>62</v>
      </c>
      <c r="O25">
        <v>2.63</v>
      </c>
      <c r="P25">
        <v>8</v>
      </c>
      <c r="Q25" t="s">
        <v>44</v>
      </c>
      <c r="R25" t="s">
        <v>42</v>
      </c>
      <c r="S25" t="b">
        <v>1</v>
      </c>
      <c r="T25" t="b">
        <v>0</v>
      </c>
      <c r="U25" t="b">
        <v>0</v>
      </c>
      <c r="V25" t="b">
        <v>1</v>
      </c>
      <c r="W25" t="b">
        <v>1</v>
      </c>
      <c r="X25">
        <v>1.9</v>
      </c>
      <c r="Y25">
        <v>5.7</v>
      </c>
      <c r="Z25">
        <v>5</v>
      </c>
      <c r="AA25">
        <v>5.2</v>
      </c>
      <c r="AB25" s="3">
        <v>66.37</v>
      </c>
      <c r="AC25" s="3"/>
      <c r="AD25">
        <v>6</v>
      </c>
      <c r="AE25" t="s">
        <v>58</v>
      </c>
      <c r="AF25" s="4"/>
    </row>
    <row r="26" spans="1:32" x14ac:dyDescent="0.3">
      <c r="A26" t="s">
        <v>103</v>
      </c>
      <c r="B26">
        <v>22</v>
      </c>
      <c r="C26" t="str">
        <f t="shared" si="0"/>
        <v>Young Adults</v>
      </c>
      <c r="D26" t="s">
        <v>28</v>
      </c>
      <c r="E26">
        <v>5.2</v>
      </c>
      <c r="G26" t="s">
        <v>29</v>
      </c>
      <c r="H26" t="s">
        <v>104</v>
      </c>
      <c r="I26" t="s">
        <v>31</v>
      </c>
      <c r="J26">
        <v>7</v>
      </c>
      <c r="L26" t="s">
        <v>41</v>
      </c>
      <c r="M26" t="s">
        <v>42</v>
      </c>
      <c r="N26" t="s">
        <v>43</v>
      </c>
      <c r="O26">
        <v>1.94</v>
      </c>
      <c r="P26">
        <v>1</v>
      </c>
      <c r="Q26" t="s">
        <v>105</v>
      </c>
      <c r="R26" t="s">
        <v>42</v>
      </c>
      <c r="S26" t="b">
        <v>0</v>
      </c>
      <c r="T26" t="b">
        <v>0</v>
      </c>
      <c r="U26" t="b">
        <v>0</v>
      </c>
      <c r="V26" t="b">
        <v>0</v>
      </c>
      <c r="W26" t="b">
        <v>0</v>
      </c>
      <c r="X26">
        <v>1.7</v>
      </c>
      <c r="Y26">
        <v>6.2</v>
      </c>
      <c r="Z26">
        <v>2</v>
      </c>
      <c r="AA26">
        <v>11.2</v>
      </c>
      <c r="AB26" s="3">
        <v>60.06</v>
      </c>
      <c r="AC26" s="3"/>
      <c r="AD26">
        <v>11</v>
      </c>
      <c r="AE26" t="s">
        <v>46</v>
      </c>
      <c r="AF26" s="4"/>
    </row>
    <row r="27" spans="1:32" x14ac:dyDescent="0.3">
      <c r="A27" t="s">
        <v>106</v>
      </c>
      <c r="B27">
        <v>22</v>
      </c>
      <c r="C27" t="str">
        <f t="shared" si="0"/>
        <v>Young Adults</v>
      </c>
      <c r="D27" t="s">
        <v>28</v>
      </c>
      <c r="E27">
        <v>3.4</v>
      </c>
      <c r="G27" t="s">
        <v>29</v>
      </c>
      <c r="H27" t="s">
        <v>104</v>
      </c>
      <c r="I27" t="s">
        <v>71</v>
      </c>
      <c r="J27">
        <v>8.6999999999999993</v>
      </c>
      <c r="L27" t="s">
        <v>43</v>
      </c>
      <c r="M27" t="s">
        <v>74</v>
      </c>
      <c r="N27" t="s">
        <v>62</v>
      </c>
      <c r="O27">
        <v>3.41</v>
      </c>
      <c r="P27">
        <v>9</v>
      </c>
      <c r="Q27" t="s">
        <v>66</v>
      </c>
      <c r="R27" t="s">
        <v>33</v>
      </c>
      <c r="S27" t="b">
        <v>0</v>
      </c>
      <c r="T27" t="b">
        <v>0</v>
      </c>
      <c r="U27" t="b">
        <v>0</v>
      </c>
      <c r="V27" t="b">
        <v>0</v>
      </c>
      <c r="W27" t="b">
        <v>0</v>
      </c>
      <c r="X27">
        <v>1.1000000000000001</v>
      </c>
      <c r="Y27">
        <v>7.8</v>
      </c>
      <c r="Z27">
        <v>3</v>
      </c>
      <c r="AA27">
        <v>10.3</v>
      </c>
      <c r="AB27" s="3">
        <v>37.26</v>
      </c>
      <c r="AC27" s="3"/>
      <c r="AD27">
        <v>9</v>
      </c>
      <c r="AE27" t="s">
        <v>46</v>
      </c>
      <c r="AF27" s="4"/>
    </row>
    <row r="28" spans="1:32" x14ac:dyDescent="0.3">
      <c r="A28" t="s">
        <v>107</v>
      </c>
      <c r="B28">
        <v>18</v>
      </c>
      <c r="C28" t="str">
        <f t="shared" si="0"/>
        <v>Teenager</v>
      </c>
      <c r="D28" t="s">
        <v>28</v>
      </c>
      <c r="E28">
        <v>5.9</v>
      </c>
      <c r="G28" t="s">
        <v>60</v>
      </c>
      <c r="H28" t="s">
        <v>61</v>
      </c>
      <c r="I28" t="s">
        <v>50</v>
      </c>
      <c r="J28">
        <v>6.6</v>
      </c>
      <c r="L28" t="s">
        <v>41</v>
      </c>
      <c r="M28" t="s">
        <v>74</v>
      </c>
      <c r="N28" t="s">
        <v>34</v>
      </c>
      <c r="O28">
        <v>3.91</v>
      </c>
      <c r="Q28" t="s">
        <v>35</v>
      </c>
      <c r="R28" t="s">
        <v>45</v>
      </c>
      <c r="S28" t="b">
        <v>0</v>
      </c>
      <c r="T28" t="b">
        <v>0</v>
      </c>
      <c r="U28" t="b">
        <v>0</v>
      </c>
      <c r="V28" t="b">
        <v>1</v>
      </c>
      <c r="W28" t="b">
        <v>1</v>
      </c>
      <c r="X28">
        <v>0.9</v>
      </c>
      <c r="Y28">
        <v>8</v>
      </c>
      <c r="Z28">
        <v>3</v>
      </c>
      <c r="AA28">
        <v>6.8</v>
      </c>
      <c r="AB28" s="3">
        <v>55.47</v>
      </c>
      <c r="AC28" s="3"/>
      <c r="AD28">
        <v>7</v>
      </c>
      <c r="AE28" t="s">
        <v>46</v>
      </c>
      <c r="AF28" s="4"/>
    </row>
    <row r="29" spans="1:32" x14ac:dyDescent="0.3">
      <c r="A29" t="s">
        <v>108</v>
      </c>
      <c r="B29">
        <v>18</v>
      </c>
      <c r="C29" t="str">
        <f t="shared" si="0"/>
        <v>Teenager</v>
      </c>
      <c r="D29" t="s">
        <v>28</v>
      </c>
      <c r="E29">
        <v>8.1999999999999993</v>
      </c>
      <c r="G29" t="s">
        <v>76</v>
      </c>
      <c r="H29" t="s">
        <v>77</v>
      </c>
      <c r="I29" t="s">
        <v>86</v>
      </c>
      <c r="J29">
        <v>5.4</v>
      </c>
      <c r="L29" t="s">
        <v>41</v>
      </c>
      <c r="M29" t="s">
        <v>74</v>
      </c>
      <c r="N29" t="s">
        <v>51</v>
      </c>
      <c r="O29">
        <v>3.71</v>
      </c>
      <c r="Q29" t="s">
        <v>35</v>
      </c>
      <c r="R29" t="s">
        <v>42</v>
      </c>
      <c r="S29" t="b">
        <v>0</v>
      </c>
      <c r="T29" t="b">
        <v>1</v>
      </c>
      <c r="U29" t="b">
        <v>0</v>
      </c>
      <c r="V29" t="b">
        <v>1</v>
      </c>
      <c r="W29" t="b">
        <v>1</v>
      </c>
      <c r="X29">
        <v>3.2</v>
      </c>
      <c r="Y29">
        <v>6.5</v>
      </c>
      <c r="Z29">
        <v>5</v>
      </c>
      <c r="AA29">
        <v>3.3</v>
      </c>
      <c r="AB29" s="3">
        <v>57.15</v>
      </c>
      <c r="AC29" s="3"/>
      <c r="AD29">
        <v>8</v>
      </c>
      <c r="AE29" t="s">
        <v>64</v>
      </c>
      <c r="AF29" s="4"/>
    </row>
    <row r="30" spans="1:32" x14ac:dyDescent="0.3">
      <c r="A30" t="s">
        <v>109</v>
      </c>
      <c r="B30">
        <v>21</v>
      </c>
      <c r="C30" t="str">
        <f t="shared" si="0"/>
        <v>Young Adults</v>
      </c>
      <c r="D30" t="s">
        <v>28</v>
      </c>
      <c r="E30">
        <v>1.2</v>
      </c>
      <c r="G30" t="s">
        <v>76</v>
      </c>
      <c r="H30" t="s">
        <v>110</v>
      </c>
      <c r="I30" t="s">
        <v>86</v>
      </c>
      <c r="J30">
        <v>7.1</v>
      </c>
      <c r="L30" t="s">
        <v>43</v>
      </c>
      <c r="M30" t="s">
        <v>74</v>
      </c>
      <c r="N30" t="s">
        <v>43</v>
      </c>
      <c r="O30">
        <v>2.31</v>
      </c>
      <c r="P30">
        <v>9</v>
      </c>
      <c r="Q30" t="s">
        <v>105</v>
      </c>
      <c r="R30" t="s">
        <v>33</v>
      </c>
      <c r="S30" t="b">
        <v>0</v>
      </c>
      <c r="T30" t="b">
        <v>0</v>
      </c>
      <c r="U30" t="b">
        <v>0</v>
      </c>
      <c r="V30" t="b">
        <v>0</v>
      </c>
      <c r="W30" t="b">
        <v>0</v>
      </c>
      <c r="X30">
        <v>0.2</v>
      </c>
      <c r="Y30">
        <v>8.6</v>
      </c>
      <c r="Z30">
        <v>2</v>
      </c>
      <c r="AA30">
        <v>16.7</v>
      </c>
      <c r="AB30" s="3">
        <v>34.909999999999997</v>
      </c>
      <c r="AC30" s="3"/>
      <c r="AD30">
        <v>6</v>
      </c>
      <c r="AE30" t="s">
        <v>46</v>
      </c>
      <c r="AF30" s="4"/>
    </row>
    <row r="31" spans="1:32" x14ac:dyDescent="0.3">
      <c r="A31" t="s">
        <v>111</v>
      </c>
      <c r="B31">
        <v>19</v>
      </c>
      <c r="C31" t="str">
        <f t="shared" si="0"/>
        <v>Teenager</v>
      </c>
      <c r="D31" t="s">
        <v>53</v>
      </c>
      <c r="E31">
        <v>4.7</v>
      </c>
      <c r="G31" t="s">
        <v>54</v>
      </c>
      <c r="H31" t="s">
        <v>55</v>
      </c>
      <c r="I31" t="s">
        <v>50</v>
      </c>
      <c r="J31">
        <v>5.8</v>
      </c>
      <c r="L31" t="s">
        <v>41</v>
      </c>
      <c r="M31" t="s">
        <v>42</v>
      </c>
      <c r="N31" t="s">
        <v>62</v>
      </c>
      <c r="O31">
        <v>1.62</v>
      </c>
      <c r="P31">
        <v>4</v>
      </c>
      <c r="Q31" t="s">
        <v>44</v>
      </c>
      <c r="R31" t="s">
        <v>33</v>
      </c>
      <c r="S31" t="b">
        <v>0</v>
      </c>
      <c r="T31" t="b">
        <v>0</v>
      </c>
      <c r="U31" t="b">
        <v>0</v>
      </c>
      <c r="V31" t="b">
        <v>1</v>
      </c>
      <c r="W31" t="b">
        <v>0</v>
      </c>
      <c r="X31">
        <v>0.5</v>
      </c>
      <c r="Y31">
        <v>5.6</v>
      </c>
      <c r="Z31">
        <v>3</v>
      </c>
      <c r="AA31">
        <v>10</v>
      </c>
      <c r="AB31" s="3">
        <v>126.85</v>
      </c>
      <c r="AC31" s="3"/>
      <c r="AD31">
        <v>8</v>
      </c>
      <c r="AE31" t="s">
        <v>46</v>
      </c>
      <c r="AF31" s="4"/>
    </row>
    <row r="32" spans="1:32" x14ac:dyDescent="0.3">
      <c r="A32" t="s">
        <v>112</v>
      </c>
      <c r="B32">
        <v>20</v>
      </c>
      <c r="C32" t="str">
        <f t="shared" si="0"/>
        <v>Young Adults</v>
      </c>
      <c r="D32" t="s">
        <v>28</v>
      </c>
      <c r="E32">
        <v>1</v>
      </c>
      <c r="G32" t="s">
        <v>54</v>
      </c>
      <c r="H32" t="s">
        <v>98</v>
      </c>
      <c r="I32" t="s">
        <v>86</v>
      </c>
      <c r="J32">
        <v>7.3</v>
      </c>
      <c r="L32" t="s">
        <v>43</v>
      </c>
      <c r="M32" t="s">
        <v>33</v>
      </c>
      <c r="N32" t="s">
        <v>62</v>
      </c>
      <c r="O32">
        <v>1.21</v>
      </c>
      <c r="P32">
        <v>5</v>
      </c>
      <c r="Q32" t="s">
        <v>66</v>
      </c>
      <c r="R32" t="s">
        <v>36</v>
      </c>
      <c r="S32" t="b">
        <v>0</v>
      </c>
      <c r="T32" t="b">
        <v>0</v>
      </c>
      <c r="U32" t="b">
        <v>0</v>
      </c>
      <c r="V32" t="b">
        <v>0</v>
      </c>
      <c r="W32" t="b">
        <v>0</v>
      </c>
      <c r="X32">
        <v>0</v>
      </c>
      <c r="Y32">
        <v>8.9</v>
      </c>
      <c r="Z32">
        <v>1</v>
      </c>
      <c r="AA32">
        <v>14.4</v>
      </c>
      <c r="AB32" s="3">
        <v>21.09</v>
      </c>
      <c r="AC32" s="3"/>
      <c r="AD32">
        <v>6</v>
      </c>
      <c r="AE32" t="s">
        <v>46</v>
      </c>
      <c r="AF32" s="4"/>
    </row>
    <row r="33" spans="1:32" x14ac:dyDescent="0.3">
      <c r="A33" t="s">
        <v>113</v>
      </c>
      <c r="B33">
        <v>17</v>
      </c>
      <c r="C33" t="str">
        <f t="shared" si="0"/>
        <v>Teenager</v>
      </c>
      <c r="D33" t="s">
        <v>28</v>
      </c>
      <c r="E33">
        <v>5.0999999999999996</v>
      </c>
      <c r="G33" t="s">
        <v>29</v>
      </c>
      <c r="H33" t="s">
        <v>30</v>
      </c>
      <c r="I33" t="s">
        <v>86</v>
      </c>
      <c r="J33">
        <v>6.4</v>
      </c>
      <c r="L33" t="s">
        <v>51</v>
      </c>
      <c r="M33" t="s">
        <v>74</v>
      </c>
      <c r="N33" t="s">
        <v>62</v>
      </c>
      <c r="O33">
        <v>3.02</v>
      </c>
      <c r="Q33" t="s">
        <v>80</v>
      </c>
      <c r="R33" t="s">
        <v>45</v>
      </c>
      <c r="S33" t="b">
        <v>0</v>
      </c>
      <c r="T33" t="b">
        <v>0</v>
      </c>
      <c r="U33" t="b">
        <v>0</v>
      </c>
      <c r="V33" t="b">
        <v>0</v>
      </c>
      <c r="W33" t="b">
        <v>0</v>
      </c>
      <c r="X33">
        <v>2.2000000000000002</v>
      </c>
      <c r="Y33">
        <v>8.9</v>
      </c>
      <c r="Z33">
        <v>2</v>
      </c>
      <c r="AA33">
        <v>8.3000000000000007</v>
      </c>
      <c r="AB33" s="3">
        <v>36.53</v>
      </c>
      <c r="AC33" s="3"/>
      <c r="AD33">
        <v>5</v>
      </c>
      <c r="AE33" t="s">
        <v>46</v>
      </c>
      <c r="AF33" s="4"/>
    </row>
    <row r="34" spans="1:32" x14ac:dyDescent="0.3">
      <c r="A34" t="s">
        <v>114</v>
      </c>
      <c r="B34">
        <v>20</v>
      </c>
      <c r="C34" t="str">
        <f t="shared" si="0"/>
        <v>Young Adults</v>
      </c>
      <c r="D34" t="s">
        <v>28</v>
      </c>
      <c r="E34">
        <v>5.9</v>
      </c>
      <c r="G34" t="s">
        <v>76</v>
      </c>
      <c r="H34" t="s">
        <v>77</v>
      </c>
      <c r="I34" t="s">
        <v>71</v>
      </c>
      <c r="J34">
        <v>6.8</v>
      </c>
      <c r="L34" t="s">
        <v>41</v>
      </c>
      <c r="M34" t="s">
        <v>42</v>
      </c>
      <c r="N34" t="s">
        <v>51</v>
      </c>
      <c r="O34">
        <v>3.39</v>
      </c>
      <c r="P34">
        <v>6</v>
      </c>
      <c r="Q34" t="s">
        <v>35</v>
      </c>
      <c r="R34" t="s">
        <v>36</v>
      </c>
      <c r="S34" t="b">
        <v>0</v>
      </c>
      <c r="T34" t="b">
        <v>0</v>
      </c>
      <c r="U34" t="b">
        <v>0</v>
      </c>
      <c r="V34" t="b">
        <v>0</v>
      </c>
      <c r="W34" t="b">
        <v>1</v>
      </c>
      <c r="X34">
        <v>0.3</v>
      </c>
      <c r="Y34">
        <v>7.5</v>
      </c>
      <c r="Z34">
        <v>3</v>
      </c>
      <c r="AA34">
        <v>7.1</v>
      </c>
      <c r="AB34" s="3">
        <v>147.6</v>
      </c>
      <c r="AC34" s="3"/>
      <c r="AD34">
        <v>7</v>
      </c>
      <c r="AE34" t="s">
        <v>46</v>
      </c>
      <c r="AF34" s="4"/>
    </row>
    <row r="35" spans="1:32" x14ac:dyDescent="0.3">
      <c r="A35" t="s">
        <v>115</v>
      </c>
      <c r="B35">
        <v>20</v>
      </c>
      <c r="C35" t="str">
        <f t="shared" si="0"/>
        <v>Young Adults</v>
      </c>
      <c r="D35" t="s">
        <v>28</v>
      </c>
      <c r="E35">
        <v>5.2</v>
      </c>
      <c r="G35" t="s">
        <v>60</v>
      </c>
      <c r="H35" t="s">
        <v>102</v>
      </c>
      <c r="I35" t="s">
        <v>71</v>
      </c>
      <c r="J35">
        <v>5.6</v>
      </c>
      <c r="L35" t="s">
        <v>32</v>
      </c>
      <c r="M35" t="s">
        <v>45</v>
      </c>
      <c r="N35" t="s">
        <v>62</v>
      </c>
      <c r="O35">
        <v>3.03</v>
      </c>
      <c r="P35">
        <v>8</v>
      </c>
      <c r="Q35" t="s">
        <v>63</v>
      </c>
      <c r="R35" t="s">
        <v>42</v>
      </c>
      <c r="S35" t="b">
        <v>0</v>
      </c>
      <c r="T35" t="b">
        <v>0</v>
      </c>
      <c r="U35" t="b">
        <v>0</v>
      </c>
      <c r="V35" t="b">
        <v>1</v>
      </c>
      <c r="W35" t="b">
        <v>0</v>
      </c>
      <c r="X35">
        <v>1.4</v>
      </c>
      <c r="Y35">
        <v>7.9</v>
      </c>
      <c r="Z35">
        <v>5</v>
      </c>
      <c r="AA35">
        <v>8.6999999999999993</v>
      </c>
      <c r="AB35" s="3">
        <v>19.91</v>
      </c>
      <c r="AC35" s="3"/>
      <c r="AD35">
        <v>7</v>
      </c>
      <c r="AE35" t="s">
        <v>46</v>
      </c>
      <c r="AF35" s="4"/>
    </row>
    <row r="36" spans="1:32" x14ac:dyDescent="0.3">
      <c r="A36" t="s">
        <v>116</v>
      </c>
      <c r="B36">
        <v>18</v>
      </c>
      <c r="C36" t="str">
        <f t="shared" si="0"/>
        <v>Teenager</v>
      </c>
      <c r="D36" t="s">
        <v>28</v>
      </c>
      <c r="E36">
        <v>6.6</v>
      </c>
      <c r="G36" t="s">
        <v>48</v>
      </c>
      <c r="H36" t="s">
        <v>49</v>
      </c>
      <c r="I36" t="s">
        <v>71</v>
      </c>
      <c r="J36">
        <v>4.0999999999999996</v>
      </c>
      <c r="L36" t="s">
        <v>78</v>
      </c>
      <c r="M36" t="s">
        <v>45</v>
      </c>
      <c r="N36" t="s">
        <v>51</v>
      </c>
      <c r="O36">
        <v>3.98</v>
      </c>
      <c r="Q36" t="s">
        <v>35</v>
      </c>
      <c r="R36" t="s">
        <v>33</v>
      </c>
      <c r="S36" t="b">
        <v>1</v>
      </c>
      <c r="T36" t="b">
        <v>1</v>
      </c>
      <c r="U36" t="b">
        <v>0</v>
      </c>
      <c r="V36" t="b">
        <v>0</v>
      </c>
      <c r="W36" t="b">
        <v>0</v>
      </c>
      <c r="X36">
        <v>0.1</v>
      </c>
      <c r="Y36">
        <v>5.5</v>
      </c>
      <c r="Z36">
        <v>5</v>
      </c>
      <c r="AA36">
        <v>8.4</v>
      </c>
      <c r="AB36" s="3">
        <v>93.68</v>
      </c>
      <c r="AC36" s="3"/>
      <c r="AD36">
        <v>2</v>
      </c>
      <c r="AE36" t="s">
        <v>58</v>
      </c>
      <c r="AF36" s="4"/>
    </row>
    <row r="37" spans="1:32" x14ac:dyDescent="0.3">
      <c r="A37" t="s">
        <v>117</v>
      </c>
      <c r="B37">
        <v>22</v>
      </c>
      <c r="C37" t="str">
        <f t="shared" si="0"/>
        <v>Young Adults</v>
      </c>
      <c r="D37" t="s">
        <v>53</v>
      </c>
      <c r="E37">
        <v>4.5999999999999996</v>
      </c>
      <c r="G37" t="s">
        <v>29</v>
      </c>
      <c r="H37" t="s">
        <v>118</v>
      </c>
      <c r="I37" t="s">
        <v>31</v>
      </c>
      <c r="J37">
        <v>5.4</v>
      </c>
      <c r="L37" t="s">
        <v>51</v>
      </c>
      <c r="M37" t="s">
        <v>36</v>
      </c>
      <c r="N37" t="s">
        <v>62</v>
      </c>
      <c r="O37">
        <v>1.1499999999999999</v>
      </c>
      <c r="P37">
        <v>6</v>
      </c>
      <c r="Q37" t="s">
        <v>63</v>
      </c>
      <c r="R37" t="s">
        <v>33</v>
      </c>
      <c r="S37" t="b">
        <v>0</v>
      </c>
      <c r="T37" t="b">
        <v>0</v>
      </c>
      <c r="U37" t="b">
        <v>0</v>
      </c>
      <c r="V37" t="b">
        <v>1</v>
      </c>
      <c r="W37" t="b">
        <v>0</v>
      </c>
      <c r="X37">
        <v>1.6</v>
      </c>
      <c r="Y37">
        <v>8.4</v>
      </c>
      <c r="Z37">
        <v>4</v>
      </c>
      <c r="AA37">
        <v>8.3000000000000007</v>
      </c>
      <c r="AB37" s="3">
        <v>80.92</v>
      </c>
      <c r="AC37" s="3"/>
      <c r="AD37">
        <v>12</v>
      </c>
      <c r="AE37" t="s">
        <v>46</v>
      </c>
      <c r="AF37" s="4"/>
    </row>
    <row r="38" spans="1:32" x14ac:dyDescent="0.3">
      <c r="A38" t="s">
        <v>119</v>
      </c>
      <c r="B38">
        <v>20</v>
      </c>
      <c r="C38" t="str">
        <f t="shared" si="0"/>
        <v>Young Adults</v>
      </c>
      <c r="D38" t="s">
        <v>28</v>
      </c>
      <c r="E38">
        <v>2.8</v>
      </c>
      <c r="G38" t="s">
        <v>39</v>
      </c>
      <c r="H38" t="s">
        <v>120</v>
      </c>
      <c r="I38" t="s">
        <v>86</v>
      </c>
      <c r="J38">
        <v>8.3000000000000007</v>
      </c>
      <c r="L38" t="s">
        <v>41</v>
      </c>
      <c r="M38" t="s">
        <v>36</v>
      </c>
      <c r="N38" t="s">
        <v>84</v>
      </c>
      <c r="O38">
        <v>3.54</v>
      </c>
      <c r="P38">
        <v>9</v>
      </c>
      <c r="Q38" t="s">
        <v>121</v>
      </c>
      <c r="R38" t="s">
        <v>36</v>
      </c>
      <c r="S38" t="b">
        <v>0</v>
      </c>
      <c r="T38" t="b">
        <v>0</v>
      </c>
      <c r="U38" t="b">
        <v>0</v>
      </c>
      <c r="V38" t="b">
        <v>0</v>
      </c>
      <c r="W38" t="b">
        <v>0</v>
      </c>
      <c r="X38">
        <v>0.3</v>
      </c>
      <c r="Y38">
        <v>8.3000000000000007</v>
      </c>
      <c r="Z38">
        <v>3</v>
      </c>
      <c r="AA38">
        <v>14.3</v>
      </c>
      <c r="AB38" s="3">
        <v>45.96</v>
      </c>
      <c r="AC38" s="3"/>
      <c r="AD38">
        <v>9</v>
      </c>
      <c r="AE38" t="s">
        <v>46</v>
      </c>
      <c r="AF38" s="4"/>
    </row>
    <row r="39" spans="1:32" x14ac:dyDescent="0.3">
      <c r="A39" t="s">
        <v>122</v>
      </c>
      <c r="B39">
        <v>20</v>
      </c>
      <c r="C39" t="str">
        <f t="shared" si="0"/>
        <v>Young Adults</v>
      </c>
      <c r="D39" t="s">
        <v>28</v>
      </c>
      <c r="E39">
        <v>7.6</v>
      </c>
      <c r="G39" t="s">
        <v>82</v>
      </c>
      <c r="H39" t="s">
        <v>83</v>
      </c>
      <c r="I39" t="s">
        <v>86</v>
      </c>
      <c r="J39">
        <v>4.2</v>
      </c>
      <c r="L39" t="s">
        <v>32</v>
      </c>
      <c r="M39" t="s">
        <v>36</v>
      </c>
      <c r="N39" t="s">
        <v>51</v>
      </c>
      <c r="O39">
        <v>2.7</v>
      </c>
      <c r="P39">
        <v>9</v>
      </c>
      <c r="Q39" t="s">
        <v>80</v>
      </c>
      <c r="R39" t="s">
        <v>36</v>
      </c>
      <c r="S39" t="b">
        <v>0</v>
      </c>
      <c r="T39" t="b">
        <v>1</v>
      </c>
      <c r="U39" t="b">
        <v>0</v>
      </c>
      <c r="V39" t="b">
        <v>1</v>
      </c>
      <c r="W39" t="b">
        <v>1</v>
      </c>
      <c r="X39">
        <v>3.6</v>
      </c>
      <c r="Y39">
        <v>5.2</v>
      </c>
      <c r="Z39">
        <v>6</v>
      </c>
      <c r="AA39">
        <v>2.6</v>
      </c>
      <c r="AB39" s="3">
        <v>123.45</v>
      </c>
      <c r="AC39" s="3"/>
      <c r="AD39">
        <v>2</v>
      </c>
      <c r="AE39" t="s">
        <v>64</v>
      </c>
      <c r="AF39" s="4"/>
    </row>
    <row r="40" spans="1:32" x14ac:dyDescent="0.3">
      <c r="A40" t="s">
        <v>123</v>
      </c>
      <c r="B40">
        <v>16</v>
      </c>
      <c r="C40" t="str">
        <f t="shared" si="0"/>
        <v>Teenager</v>
      </c>
      <c r="D40" t="s">
        <v>53</v>
      </c>
      <c r="E40">
        <v>2.2999999999999998</v>
      </c>
      <c r="G40" t="s">
        <v>39</v>
      </c>
      <c r="H40" t="s">
        <v>93</v>
      </c>
      <c r="I40" t="s">
        <v>86</v>
      </c>
      <c r="J40">
        <v>8.4</v>
      </c>
      <c r="L40" t="s">
        <v>43</v>
      </c>
      <c r="M40" t="s">
        <v>45</v>
      </c>
      <c r="N40" t="s">
        <v>62</v>
      </c>
      <c r="O40">
        <v>1.22</v>
      </c>
      <c r="Q40" t="s">
        <v>35</v>
      </c>
      <c r="R40" t="s">
        <v>57</v>
      </c>
      <c r="S40" t="b">
        <v>0</v>
      </c>
      <c r="T40" t="b">
        <v>0</v>
      </c>
      <c r="U40" t="b">
        <v>0</v>
      </c>
      <c r="V40" t="b">
        <v>0</v>
      </c>
      <c r="W40" t="b">
        <v>0</v>
      </c>
      <c r="X40">
        <v>0.8</v>
      </c>
      <c r="Y40">
        <v>7.2</v>
      </c>
      <c r="Z40">
        <v>2</v>
      </c>
      <c r="AA40">
        <v>12.3</v>
      </c>
      <c r="AB40" s="3">
        <v>42.43</v>
      </c>
      <c r="AC40" s="3"/>
      <c r="AD40">
        <v>4</v>
      </c>
      <c r="AE40" t="s">
        <v>46</v>
      </c>
      <c r="AF40" s="4"/>
    </row>
    <row r="41" spans="1:32" x14ac:dyDescent="0.3">
      <c r="A41" t="s">
        <v>124</v>
      </c>
      <c r="B41">
        <v>20</v>
      </c>
      <c r="C41" t="str">
        <f t="shared" si="0"/>
        <v>Young Adults</v>
      </c>
      <c r="D41" t="s">
        <v>28</v>
      </c>
      <c r="E41">
        <v>4.4000000000000004</v>
      </c>
      <c r="G41" t="s">
        <v>54</v>
      </c>
      <c r="H41" t="s">
        <v>89</v>
      </c>
      <c r="I41" t="s">
        <v>86</v>
      </c>
      <c r="J41">
        <v>6.4</v>
      </c>
      <c r="L41" t="s">
        <v>41</v>
      </c>
      <c r="M41" t="s">
        <v>45</v>
      </c>
      <c r="N41" t="s">
        <v>84</v>
      </c>
      <c r="O41">
        <v>1.38</v>
      </c>
      <c r="P41">
        <v>2</v>
      </c>
      <c r="Q41" t="s">
        <v>80</v>
      </c>
      <c r="R41" t="s">
        <v>42</v>
      </c>
      <c r="S41" t="b">
        <v>0</v>
      </c>
      <c r="T41" t="b">
        <v>0</v>
      </c>
      <c r="U41" t="b">
        <v>0</v>
      </c>
      <c r="V41" t="b">
        <v>0</v>
      </c>
      <c r="W41" t="b">
        <v>0</v>
      </c>
      <c r="X41">
        <v>0.2</v>
      </c>
      <c r="Y41">
        <v>9.1</v>
      </c>
      <c r="Z41">
        <v>4</v>
      </c>
      <c r="AA41">
        <v>8.5</v>
      </c>
      <c r="AB41" s="3">
        <v>26.63</v>
      </c>
      <c r="AC41" s="3"/>
      <c r="AD41">
        <v>2</v>
      </c>
      <c r="AE41" t="s">
        <v>46</v>
      </c>
      <c r="AF41" s="4"/>
    </row>
    <row r="42" spans="1:32" x14ac:dyDescent="0.3">
      <c r="A42" t="s">
        <v>125</v>
      </c>
      <c r="B42">
        <v>33</v>
      </c>
      <c r="C42" t="str">
        <f t="shared" si="0"/>
        <v>Old Adults</v>
      </c>
      <c r="D42" t="s">
        <v>28</v>
      </c>
      <c r="E42">
        <v>3.1</v>
      </c>
      <c r="G42" t="s">
        <v>76</v>
      </c>
      <c r="H42" t="s">
        <v>126</v>
      </c>
      <c r="I42" t="s">
        <v>50</v>
      </c>
      <c r="J42">
        <v>8.4</v>
      </c>
      <c r="L42" t="s">
        <v>41</v>
      </c>
      <c r="M42" t="s">
        <v>36</v>
      </c>
      <c r="N42" t="s">
        <v>62</v>
      </c>
      <c r="P42">
        <v>8</v>
      </c>
      <c r="Q42" t="s">
        <v>66</v>
      </c>
      <c r="R42" t="s">
        <v>42</v>
      </c>
      <c r="S42" t="b">
        <v>0</v>
      </c>
      <c r="T42" t="b">
        <v>0</v>
      </c>
      <c r="U42" t="b">
        <v>0</v>
      </c>
      <c r="V42" t="b">
        <v>0</v>
      </c>
      <c r="W42" t="b">
        <v>0</v>
      </c>
      <c r="X42">
        <v>1.3</v>
      </c>
      <c r="Y42">
        <v>8.3000000000000007</v>
      </c>
      <c r="Z42">
        <v>1</v>
      </c>
      <c r="AA42">
        <v>12.8</v>
      </c>
      <c r="AB42" s="3">
        <v>47.69</v>
      </c>
      <c r="AC42" s="3"/>
      <c r="AD42">
        <v>6</v>
      </c>
      <c r="AE42" t="s">
        <v>46</v>
      </c>
      <c r="AF42" s="4"/>
    </row>
    <row r="43" spans="1:32" x14ac:dyDescent="0.3">
      <c r="A43" t="s">
        <v>127</v>
      </c>
      <c r="B43">
        <v>16</v>
      </c>
      <c r="C43" t="str">
        <f t="shared" si="0"/>
        <v>Teenager</v>
      </c>
      <c r="D43" t="s">
        <v>28</v>
      </c>
      <c r="E43">
        <v>8</v>
      </c>
      <c r="G43" t="s">
        <v>48</v>
      </c>
      <c r="H43" t="s">
        <v>128</v>
      </c>
      <c r="I43" t="s">
        <v>86</v>
      </c>
      <c r="J43">
        <v>3.8</v>
      </c>
      <c r="L43" t="s">
        <v>51</v>
      </c>
      <c r="M43" t="s">
        <v>33</v>
      </c>
      <c r="N43" t="s">
        <v>129</v>
      </c>
      <c r="O43">
        <v>3.22</v>
      </c>
      <c r="Q43" t="s">
        <v>44</v>
      </c>
      <c r="R43" t="s">
        <v>33</v>
      </c>
      <c r="S43" t="b">
        <v>1</v>
      </c>
      <c r="T43" t="b">
        <v>1</v>
      </c>
      <c r="U43" t="b">
        <v>1</v>
      </c>
      <c r="V43" t="b">
        <v>1</v>
      </c>
      <c r="W43" t="b">
        <v>1</v>
      </c>
      <c r="X43">
        <v>0.9</v>
      </c>
      <c r="Y43">
        <v>6</v>
      </c>
      <c r="Z43">
        <v>8</v>
      </c>
      <c r="AA43">
        <v>6.3</v>
      </c>
      <c r="AB43" s="3">
        <v>61.37</v>
      </c>
      <c r="AC43" s="3"/>
      <c r="AD43">
        <v>1</v>
      </c>
      <c r="AE43" t="s">
        <v>37</v>
      </c>
      <c r="AF43" s="4"/>
    </row>
    <row r="44" spans="1:32" x14ac:dyDescent="0.3">
      <c r="A44" t="s">
        <v>130</v>
      </c>
      <c r="B44">
        <v>20</v>
      </c>
      <c r="C44" t="str">
        <f t="shared" si="0"/>
        <v>Young Adults</v>
      </c>
      <c r="D44" t="s">
        <v>28</v>
      </c>
      <c r="E44">
        <v>4.2</v>
      </c>
      <c r="G44" t="s">
        <v>82</v>
      </c>
      <c r="H44" t="s">
        <v>83</v>
      </c>
      <c r="I44" t="s">
        <v>86</v>
      </c>
      <c r="J44">
        <v>5.4</v>
      </c>
      <c r="L44" t="s">
        <v>43</v>
      </c>
      <c r="M44" t="s">
        <v>33</v>
      </c>
      <c r="N44" t="s">
        <v>62</v>
      </c>
      <c r="O44">
        <v>2.21</v>
      </c>
      <c r="P44">
        <v>7</v>
      </c>
      <c r="Q44" t="s">
        <v>66</v>
      </c>
      <c r="R44" t="s">
        <v>45</v>
      </c>
      <c r="S44" t="b">
        <v>0</v>
      </c>
      <c r="T44" t="b">
        <v>0</v>
      </c>
      <c r="U44" t="b">
        <v>0</v>
      </c>
      <c r="V44" t="b">
        <v>0</v>
      </c>
      <c r="W44" t="b">
        <v>0</v>
      </c>
      <c r="X44">
        <v>0.1</v>
      </c>
      <c r="Y44">
        <v>7.1</v>
      </c>
      <c r="Z44">
        <v>1</v>
      </c>
      <c r="AA44">
        <v>8.8000000000000007</v>
      </c>
      <c r="AB44" s="3">
        <v>9.18</v>
      </c>
      <c r="AC44" s="3"/>
      <c r="AD44">
        <v>1</v>
      </c>
      <c r="AE44" t="s">
        <v>46</v>
      </c>
      <c r="AF44" s="4"/>
    </row>
    <row r="45" spans="1:32" x14ac:dyDescent="0.3">
      <c r="A45" t="s">
        <v>131</v>
      </c>
      <c r="B45">
        <v>20</v>
      </c>
      <c r="C45" t="str">
        <f t="shared" si="0"/>
        <v>Young Adults</v>
      </c>
      <c r="D45" t="s">
        <v>28</v>
      </c>
      <c r="E45">
        <v>7.9</v>
      </c>
      <c r="G45" t="s">
        <v>60</v>
      </c>
      <c r="H45" t="s">
        <v>102</v>
      </c>
      <c r="I45" t="s">
        <v>71</v>
      </c>
      <c r="J45">
        <v>3.5</v>
      </c>
      <c r="L45" t="s">
        <v>51</v>
      </c>
      <c r="M45" t="s">
        <v>36</v>
      </c>
      <c r="N45" t="s">
        <v>34</v>
      </c>
      <c r="O45">
        <v>2.25</v>
      </c>
      <c r="P45">
        <v>3</v>
      </c>
      <c r="Q45" t="s">
        <v>63</v>
      </c>
      <c r="R45" t="s">
        <v>42</v>
      </c>
      <c r="S45" t="b">
        <v>1</v>
      </c>
      <c r="T45" t="b">
        <v>0</v>
      </c>
      <c r="U45" t="b">
        <v>1</v>
      </c>
      <c r="V45" t="b">
        <v>0</v>
      </c>
      <c r="W45" t="b">
        <v>1</v>
      </c>
      <c r="X45">
        <v>3.3</v>
      </c>
      <c r="Y45">
        <v>7</v>
      </c>
      <c r="Z45">
        <v>6</v>
      </c>
      <c r="AA45">
        <v>4.2</v>
      </c>
      <c r="AB45" s="3">
        <v>81.23</v>
      </c>
      <c r="AC45" s="3"/>
      <c r="AD45">
        <v>4</v>
      </c>
      <c r="AE45" t="s">
        <v>58</v>
      </c>
      <c r="AF45" s="4"/>
    </row>
    <row r="46" spans="1:32" x14ac:dyDescent="0.3">
      <c r="A46" t="s">
        <v>132</v>
      </c>
      <c r="B46">
        <v>14</v>
      </c>
      <c r="C46" t="str">
        <f t="shared" si="0"/>
        <v>Teenager</v>
      </c>
      <c r="D46" t="s">
        <v>53</v>
      </c>
      <c r="E46">
        <v>3.9</v>
      </c>
      <c r="G46" t="s">
        <v>29</v>
      </c>
      <c r="H46" t="s">
        <v>118</v>
      </c>
      <c r="I46" t="s">
        <v>86</v>
      </c>
      <c r="J46">
        <v>5.0999999999999996</v>
      </c>
      <c r="L46" t="s">
        <v>51</v>
      </c>
      <c r="M46" t="s">
        <v>33</v>
      </c>
      <c r="N46" t="s">
        <v>43</v>
      </c>
      <c r="O46">
        <v>2.88</v>
      </c>
      <c r="Q46" t="s">
        <v>69</v>
      </c>
      <c r="R46" t="s">
        <v>42</v>
      </c>
      <c r="S46" t="b">
        <v>0</v>
      </c>
      <c r="T46" t="b">
        <v>0</v>
      </c>
      <c r="U46" t="b">
        <v>0</v>
      </c>
      <c r="V46" t="b">
        <v>0</v>
      </c>
      <c r="W46" t="b">
        <v>0</v>
      </c>
      <c r="X46">
        <v>1.2</v>
      </c>
      <c r="Y46">
        <v>7.8</v>
      </c>
      <c r="Z46">
        <v>2</v>
      </c>
      <c r="AA46">
        <v>7.5</v>
      </c>
      <c r="AB46" s="3">
        <v>17.43</v>
      </c>
      <c r="AC46" s="3"/>
      <c r="AD46">
        <v>3</v>
      </c>
      <c r="AE46" t="s">
        <v>46</v>
      </c>
      <c r="AF46" s="4"/>
    </row>
    <row r="47" spans="1:32" x14ac:dyDescent="0.3">
      <c r="A47" t="s">
        <v>133</v>
      </c>
      <c r="B47">
        <v>26</v>
      </c>
      <c r="C47" t="str">
        <f t="shared" si="0"/>
        <v>Young Adults</v>
      </c>
      <c r="D47" t="s">
        <v>53</v>
      </c>
      <c r="E47">
        <v>6.2</v>
      </c>
      <c r="G47" t="s">
        <v>82</v>
      </c>
      <c r="H47" t="s">
        <v>134</v>
      </c>
      <c r="I47" t="s">
        <v>50</v>
      </c>
      <c r="J47">
        <v>5.7</v>
      </c>
      <c r="L47" t="s">
        <v>41</v>
      </c>
      <c r="M47" t="s">
        <v>36</v>
      </c>
      <c r="N47" t="s">
        <v>62</v>
      </c>
      <c r="P47">
        <v>5</v>
      </c>
      <c r="Q47" t="s">
        <v>105</v>
      </c>
      <c r="R47" t="s">
        <v>57</v>
      </c>
      <c r="S47" t="b">
        <v>0</v>
      </c>
      <c r="T47" t="b">
        <v>1</v>
      </c>
      <c r="U47" t="b">
        <v>0</v>
      </c>
      <c r="V47" t="b">
        <v>1</v>
      </c>
      <c r="W47" t="b">
        <v>1</v>
      </c>
      <c r="X47">
        <v>0.4</v>
      </c>
      <c r="Y47">
        <v>5.5</v>
      </c>
      <c r="Z47">
        <v>3</v>
      </c>
      <c r="AA47">
        <v>4.9000000000000004</v>
      </c>
      <c r="AB47" s="3">
        <v>48.84</v>
      </c>
      <c r="AC47" s="3"/>
      <c r="AD47">
        <v>8</v>
      </c>
      <c r="AE47" t="s">
        <v>64</v>
      </c>
      <c r="AF47" s="4"/>
    </row>
    <row r="48" spans="1:32" x14ac:dyDescent="0.3">
      <c r="A48" t="s">
        <v>135</v>
      </c>
      <c r="B48">
        <v>20</v>
      </c>
      <c r="C48" t="str">
        <f t="shared" si="0"/>
        <v>Young Adults</v>
      </c>
      <c r="D48" t="s">
        <v>28</v>
      </c>
      <c r="E48">
        <v>3.4</v>
      </c>
      <c r="G48" t="s">
        <v>76</v>
      </c>
      <c r="H48" t="s">
        <v>77</v>
      </c>
      <c r="I48" t="s">
        <v>31</v>
      </c>
      <c r="J48">
        <v>7.1</v>
      </c>
      <c r="L48" t="s">
        <v>51</v>
      </c>
      <c r="M48" t="s">
        <v>33</v>
      </c>
      <c r="N48" t="s">
        <v>34</v>
      </c>
      <c r="O48">
        <v>1.19</v>
      </c>
      <c r="P48">
        <v>7</v>
      </c>
      <c r="Q48" t="s">
        <v>66</v>
      </c>
      <c r="R48" t="s">
        <v>33</v>
      </c>
      <c r="S48" t="b">
        <v>0</v>
      </c>
      <c r="T48" t="b">
        <v>0</v>
      </c>
      <c r="U48" t="b">
        <v>0</v>
      </c>
      <c r="V48" t="b">
        <v>0</v>
      </c>
      <c r="W48" t="b">
        <v>0</v>
      </c>
      <c r="X48">
        <v>1.3</v>
      </c>
      <c r="Y48">
        <v>7.8</v>
      </c>
      <c r="Z48">
        <v>1</v>
      </c>
      <c r="AA48">
        <v>12.9</v>
      </c>
      <c r="AB48" s="3">
        <v>23.33</v>
      </c>
      <c r="AC48" s="3"/>
      <c r="AD48">
        <v>8</v>
      </c>
      <c r="AE48" t="s">
        <v>46</v>
      </c>
      <c r="AF48" s="4"/>
    </row>
    <row r="49" spans="1:32" x14ac:dyDescent="0.3">
      <c r="A49" t="s">
        <v>136</v>
      </c>
      <c r="B49">
        <v>29</v>
      </c>
      <c r="C49" t="str">
        <f t="shared" si="0"/>
        <v>Young Adults</v>
      </c>
      <c r="D49" t="s">
        <v>53</v>
      </c>
      <c r="E49">
        <v>6.1</v>
      </c>
      <c r="G49" t="s">
        <v>48</v>
      </c>
      <c r="H49" t="s">
        <v>68</v>
      </c>
      <c r="I49" t="s">
        <v>86</v>
      </c>
      <c r="J49">
        <v>6.7</v>
      </c>
      <c r="L49" t="s">
        <v>51</v>
      </c>
      <c r="M49" t="s">
        <v>45</v>
      </c>
      <c r="N49" t="s">
        <v>43</v>
      </c>
      <c r="P49">
        <v>5</v>
      </c>
      <c r="Q49" t="s">
        <v>80</v>
      </c>
      <c r="R49" t="s">
        <v>57</v>
      </c>
      <c r="S49" t="b">
        <v>0</v>
      </c>
      <c r="T49" t="b">
        <v>1</v>
      </c>
      <c r="U49" t="b">
        <v>0</v>
      </c>
      <c r="V49" t="b">
        <v>1</v>
      </c>
      <c r="W49" t="b">
        <v>1</v>
      </c>
      <c r="X49">
        <v>0.8</v>
      </c>
      <c r="Y49">
        <v>7.7</v>
      </c>
      <c r="Z49">
        <v>2</v>
      </c>
      <c r="AA49">
        <v>10.7</v>
      </c>
      <c r="AB49" s="3">
        <v>110.74</v>
      </c>
      <c r="AC49" s="3"/>
      <c r="AD49">
        <v>14</v>
      </c>
      <c r="AE49" t="s">
        <v>64</v>
      </c>
      <c r="AF49" s="4"/>
    </row>
    <row r="50" spans="1:32" x14ac:dyDescent="0.3">
      <c r="A50" t="s">
        <v>137</v>
      </c>
      <c r="B50">
        <v>16</v>
      </c>
      <c r="C50" t="str">
        <f t="shared" si="0"/>
        <v>Teenager</v>
      </c>
      <c r="D50" t="s">
        <v>53</v>
      </c>
      <c r="E50">
        <v>5.9</v>
      </c>
      <c r="G50" t="s">
        <v>54</v>
      </c>
      <c r="H50" t="s">
        <v>55</v>
      </c>
      <c r="I50" t="s">
        <v>71</v>
      </c>
      <c r="J50">
        <v>5.4</v>
      </c>
      <c r="L50" t="s">
        <v>41</v>
      </c>
      <c r="M50" t="s">
        <v>45</v>
      </c>
      <c r="N50" t="s">
        <v>62</v>
      </c>
      <c r="O50">
        <v>2.11</v>
      </c>
      <c r="Q50" t="s">
        <v>105</v>
      </c>
      <c r="R50" t="s">
        <v>36</v>
      </c>
      <c r="S50" t="b">
        <v>0</v>
      </c>
      <c r="T50" t="b">
        <v>0</v>
      </c>
      <c r="U50" t="b">
        <v>0</v>
      </c>
      <c r="V50" t="b">
        <v>0</v>
      </c>
      <c r="W50" t="b">
        <v>0</v>
      </c>
      <c r="X50">
        <v>0.7</v>
      </c>
      <c r="Y50">
        <v>6</v>
      </c>
      <c r="Z50">
        <v>3</v>
      </c>
      <c r="AA50">
        <v>7.6</v>
      </c>
      <c r="AB50" s="3">
        <v>125.89</v>
      </c>
      <c r="AC50" s="3"/>
      <c r="AD50">
        <v>2</v>
      </c>
      <c r="AE50" t="s">
        <v>46</v>
      </c>
      <c r="AF50" s="4"/>
    </row>
    <row r="51" spans="1:32" x14ac:dyDescent="0.3">
      <c r="A51" t="s">
        <v>138</v>
      </c>
      <c r="B51">
        <v>15</v>
      </c>
      <c r="C51" t="str">
        <f t="shared" si="0"/>
        <v>Teenager</v>
      </c>
      <c r="D51" t="s">
        <v>53</v>
      </c>
      <c r="E51">
        <v>5.0999999999999996</v>
      </c>
      <c r="G51" t="s">
        <v>76</v>
      </c>
      <c r="H51" t="s">
        <v>110</v>
      </c>
      <c r="I51" t="s">
        <v>31</v>
      </c>
      <c r="J51">
        <v>6.5</v>
      </c>
      <c r="L51" t="s">
        <v>51</v>
      </c>
      <c r="M51" t="s">
        <v>36</v>
      </c>
      <c r="N51" t="s">
        <v>34</v>
      </c>
      <c r="O51">
        <v>3.87</v>
      </c>
      <c r="Q51" t="s">
        <v>63</v>
      </c>
      <c r="R51" t="s">
        <v>33</v>
      </c>
      <c r="S51" t="b">
        <v>0</v>
      </c>
      <c r="T51" t="b">
        <v>0</v>
      </c>
      <c r="U51" t="b">
        <v>0</v>
      </c>
      <c r="V51" t="b">
        <v>0</v>
      </c>
      <c r="W51" t="b">
        <v>0</v>
      </c>
      <c r="X51">
        <v>0.6</v>
      </c>
      <c r="Y51">
        <v>6.2</v>
      </c>
      <c r="Z51">
        <v>2</v>
      </c>
      <c r="AA51">
        <v>8.8000000000000007</v>
      </c>
      <c r="AB51" s="3">
        <v>39.9</v>
      </c>
      <c r="AC51" s="3"/>
      <c r="AD51">
        <v>1</v>
      </c>
      <c r="AE51" t="s">
        <v>46</v>
      </c>
      <c r="AF51" s="4"/>
    </row>
    <row r="52" spans="1:32" x14ac:dyDescent="0.3">
      <c r="A52" t="s">
        <v>139</v>
      </c>
      <c r="B52">
        <v>24</v>
      </c>
      <c r="C52" t="str">
        <f t="shared" si="0"/>
        <v>Young Adults</v>
      </c>
      <c r="D52" t="s">
        <v>28</v>
      </c>
      <c r="E52">
        <v>7</v>
      </c>
      <c r="G52" t="s">
        <v>82</v>
      </c>
      <c r="H52" t="s">
        <v>134</v>
      </c>
      <c r="I52" t="s">
        <v>71</v>
      </c>
      <c r="J52">
        <v>4.7</v>
      </c>
      <c r="L52" t="s">
        <v>32</v>
      </c>
      <c r="M52" t="s">
        <v>33</v>
      </c>
      <c r="N52" t="s">
        <v>51</v>
      </c>
      <c r="P52">
        <v>5</v>
      </c>
      <c r="Q52" t="s">
        <v>63</v>
      </c>
      <c r="R52" t="s">
        <v>45</v>
      </c>
      <c r="S52" t="b">
        <v>1</v>
      </c>
      <c r="T52" t="b">
        <v>0</v>
      </c>
      <c r="U52" t="b">
        <v>0</v>
      </c>
      <c r="V52" t="b">
        <v>0</v>
      </c>
      <c r="W52" t="b">
        <v>0</v>
      </c>
      <c r="X52">
        <v>0.5</v>
      </c>
      <c r="Y52">
        <v>8</v>
      </c>
      <c r="Z52">
        <v>4</v>
      </c>
      <c r="AA52">
        <v>8.8000000000000007</v>
      </c>
      <c r="AB52" s="3">
        <v>132.68</v>
      </c>
      <c r="AC52" s="3"/>
      <c r="AD52">
        <v>1</v>
      </c>
      <c r="AE52" t="s">
        <v>64</v>
      </c>
      <c r="AF52" s="4"/>
    </row>
    <row r="53" spans="1:32" x14ac:dyDescent="0.3">
      <c r="A53" t="s">
        <v>140</v>
      </c>
      <c r="B53">
        <v>20</v>
      </c>
      <c r="C53" t="str">
        <f t="shared" si="0"/>
        <v>Young Adults</v>
      </c>
      <c r="D53" t="s">
        <v>28</v>
      </c>
      <c r="E53">
        <v>3.5</v>
      </c>
      <c r="G53" t="s">
        <v>54</v>
      </c>
      <c r="H53" t="s">
        <v>55</v>
      </c>
      <c r="I53" t="s">
        <v>86</v>
      </c>
      <c r="J53">
        <v>7.8</v>
      </c>
      <c r="L53" t="s">
        <v>43</v>
      </c>
      <c r="M53" t="s">
        <v>36</v>
      </c>
      <c r="N53" t="s">
        <v>43</v>
      </c>
      <c r="O53">
        <v>1.39</v>
      </c>
      <c r="P53">
        <v>3</v>
      </c>
      <c r="Q53" t="s">
        <v>66</v>
      </c>
      <c r="R53" t="s">
        <v>42</v>
      </c>
      <c r="S53" t="b">
        <v>0</v>
      </c>
      <c r="T53" t="b">
        <v>0</v>
      </c>
      <c r="U53" t="b">
        <v>0</v>
      </c>
      <c r="V53" t="b">
        <v>0</v>
      </c>
      <c r="W53" t="b">
        <v>0</v>
      </c>
      <c r="X53">
        <v>1.3</v>
      </c>
      <c r="Y53">
        <v>9.8000000000000007</v>
      </c>
      <c r="Z53">
        <v>2</v>
      </c>
      <c r="AA53">
        <v>10.7</v>
      </c>
      <c r="AB53" s="3">
        <v>40.35</v>
      </c>
      <c r="AC53" s="3"/>
      <c r="AD53">
        <v>4</v>
      </c>
      <c r="AE53" t="s">
        <v>46</v>
      </c>
      <c r="AF53" s="4"/>
    </row>
    <row r="54" spans="1:32" x14ac:dyDescent="0.3">
      <c r="A54" t="s">
        <v>141</v>
      </c>
      <c r="B54">
        <v>20</v>
      </c>
      <c r="C54" t="str">
        <f t="shared" si="0"/>
        <v>Young Adults</v>
      </c>
      <c r="D54" t="s">
        <v>28</v>
      </c>
      <c r="E54">
        <v>11.4</v>
      </c>
      <c r="G54" t="s">
        <v>48</v>
      </c>
      <c r="H54" t="s">
        <v>68</v>
      </c>
      <c r="I54" t="s">
        <v>71</v>
      </c>
      <c r="J54">
        <v>4.3</v>
      </c>
      <c r="L54" t="s">
        <v>32</v>
      </c>
      <c r="M54" t="s">
        <v>36</v>
      </c>
      <c r="N54" t="s">
        <v>129</v>
      </c>
      <c r="O54">
        <v>2.02</v>
      </c>
      <c r="P54">
        <v>5</v>
      </c>
      <c r="Q54" t="s">
        <v>35</v>
      </c>
      <c r="R54" t="s">
        <v>36</v>
      </c>
      <c r="S54" t="b">
        <v>1</v>
      </c>
      <c r="T54" t="b">
        <v>0</v>
      </c>
      <c r="U54" t="b">
        <v>0</v>
      </c>
      <c r="V54" t="b">
        <v>1</v>
      </c>
      <c r="W54" t="b">
        <v>1</v>
      </c>
      <c r="X54">
        <v>0.3</v>
      </c>
      <c r="Y54">
        <v>5</v>
      </c>
      <c r="Z54">
        <v>6</v>
      </c>
      <c r="AA54">
        <v>0.2</v>
      </c>
      <c r="AB54" s="3">
        <v>433.8</v>
      </c>
      <c r="AC54" s="3"/>
      <c r="AD54">
        <v>9</v>
      </c>
      <c r="AE54" t="s">
        <v>58</v>
      </c>
      <c r="AF54" s="4"/>
    </row>
    <row r="55" spans="1:32" x14ac:dyDescent="0.3">
      <c r="A55" t="s">
        <v>142</v>
      </c>
      <c r="B55">
        <v>20</v>
      </c>
      <c r="C55" t="str">
        <f t="shared" si="0"/>
        <v>Young Adults</v>
      </c>
      <c r="D55" t="s">
        <v>53</v>
      </c>
      <c r="E55">
        <v>0.5</v>
      </c>
      <c r="G55" t="s">
        <v>29</v>
      </c>
      <c r="H55" t="s">
        <v>73</v>
      </c>
      <c r="I55" t="s">
        <v>50</v>
      </c>
      <c r="J55">
        <v>7.2</v>
      </c>
      <c r="L55" t="s">
        <v>43</v>
      </c>
      <c r="M55" t="s">
        <v>33</v>
      </c>
      <c r="N55" t="s">
        <v>84</v>
      </c>
      <c r="O55">
        <v>3.39</v>
      </c>
      <c r="P55">
        <v>4</v>
      </c>
      <c r="Q55" t="s">
        <v>105</v>
      </c>
      <c r="R55" t="s">
        <v>42</v>
      </c>
      <c r="S55" t="b">
        <v>0</v>
      </c>
      <c r="T55" t="b">
        <v>0</v>
      </c>
      <c r="U55" t="b">
        <v>0</v>
      </c>
      <c r="V55" t="b">
        <v>0</v>
      </c>
      <c r="W55" t="b">
        <v>0</v>
      </c>
      <c r="X55">
        <v>0.1</v>
      </c>
      <c r="Y55">
        <v>10</v>
      </c>
      <c r="Z55">
        <v>1</v>
      </c>
      <c r="AA55">
        <v>13.9</v>
      </c>
      <c r="AB55" s="3">
        <v>9.0399999999999991</v>
      </c>
      <c r="AC55" s="3"/>
      <c r="AD55">
        <v>5</v>
      </c>
      <c r="AE55" t="s">
        <v>46</v>
      </c>
      <c r="AF55" s="4"/>
    </row>
    <row r="56" spans="1:32" x14ac:dyDescent="0.3">
      <c r="A56" t="s">
        <v>143</v>
      </c>
      <c r="B56">
        <v>22</v>
      </c>
      <c r="C56" t="str">
        <f t="shared" si="0"/>
        <v>Young Adults</v>
      </c>
      <c r="D56" t="s">
        <v>53</v>
      </c>
      <c r="E56">
        <v>5.8</v>
      </c>
      <c r="G56" t="s">
        <v>48</v>
      </c>
      <c r="H56" t="s">
        <v>49</v>
      </c>
      <c r="I56" t="s">
        <v>31</v>
      </c>
      <c r="J56">
        <v>6.7</v>
      </c>
      <c r="L56" t="s">
        <v>43</v>
      </c>
      <c r="M56" t="s">
        <v>42</v>
      </c>
      <c r="N56" t="s">
        <v>62</v>
      </c>
      <c r="O56">
        <v>2.2999999999999998</v>
      </c>
      <c r="P56">
        <v>3</v>
      </c>
      <c r="Q56" t="s">
        <v>69</v>
      </c>
      <c r="R56" t="s">
        <v>33</v>
      </c>
      <c r="S56" t="b">
        <v>0</v>
      </c>
      <c r="T56" t="b">
        <v>0</v>
      </c>
      <c r="U56" t="b">
        <v>0</v>
      </c>
      <c r="V56" t="b">
        <v>1</v>
      </c>
      <c r="W56" t="b">
        <v>0</v>
      </c>
      <c r="X56">
        <v>1.3</v>
      </c>
      <c r="Y56">
        <v>6.4</v>
      </c>
      <c r="Z56">
        <v>3</v>
      </c>
      <c r="AA56">
        <v>10.5</v>
      </c>
      <c r="AB56" s="3">
        <v>114.52</v>
      </c>
      <c r="AC56" s="3"/>
      <c r="AD56">
        <v>5</v>
      </c>
      <c r="AE56" t="s">
        <v>46</v>
      </c>
      <c r="AF56" s="4"/>
    </row>
    <row r="57" spans="1:32" x14ac:dyDescent="0.3">
      <c r="A57" t="s">
        <v>144</v>
      </c>
      <c r="B57">
        <v>19</v>
      </c>
      <c r="C57" t="str">
        <f t="shared" si="0"/>
        <v>Teenager</v>
      </c>
      <c r="D57" t="s">
        <v>28</v>
      </c>
      <c r="E57">
        <v>1.7</v>
      </c>
      <c r="G57" t="s">
        <v>39</v>
      </c>
      <c r="H57" t="s">
        <v>120</v>
      </c>
      <c r="I57" t="s">
        <v>86</v>
      </c>
      <c r="J57">
        <v>8.1</v>
      </c>
      <c r="L57" t="s">
        <v>43</v>
      </c>
      <c r="M57" t="s">
        <v>33</v>
      </c>
      <c r="N57" t="s">
        <v>84</v>
      </c>
      <c r="O57">
        <v>1.41</v>
      </c>
      <c r="P57">
        <v>9</v>
      </c>
      <c r="Q57" t="s">
        <v>66</v>
      </c>
      <c r="R57" t="s">
        <v>57</v>
      </c>
      <c r="S57" t="b">
        <v>0</v>
      </c>
      <c r="T57" t="b">
        <v>0</v>
      </c>
      <c r="U57" t="b">
        <v>0</v>
      </c>
      <c r="V57" t="b">
        <v>0</v>
      </c>
      <c r="W57" t="b">
        <v>0</v>
      </c>
      <c r="X57">
        <v>0</v>
      </c>
      <c r="Y57">
        <v>9.3000000000000007</v>
      </c>
      <c r="Z57">
        <v>1</v>
      </c>
      <c r="AA57">
        <v>12.6</v>
      </c>
      <c r="AB57" s="3">
        <v>47.53</v>
      </c>
      <c r="AC57" s="3"/>
      <c r="AD57">
        <v>5</v>
      </c>
      <c r="AE57" t="s">
        <v>46</v>
      </c>
      <c r="AF57" s="4"/>
    </row>
    <row r="58" spans="1:32" x14ac:dyDescent="0.3">
      <c r="A58" t="s">
        <v>145</v>
      </c>
      <c r="B58">
        <v>24</v>
      </c>
      <c r="C58" t="str">
        <f t="shared" si="0"/>
        <v>Young Adults</v>
      </c>
      <c r="D58" t="s">
        <v>28</v>
      </c>
      <c r="E58">
        <v>6</v>
      </c>
      <c r="G58" t="s">
        <v>82</v>
      </c>
      <c r="H58" t="s">
        <v>83</v>
      </c>
      <c r="I58" t="s">
        <v>71</v>
      </c>
      <c r="J58">
        <v>6.9</v>
      </c>
      <c r="L58" t="s">
        <v>43</v>
      </c>
      <c r="M58" t="s">
        <v>74</v>
      </c>
      <c r="N58" t="s">
        <v>43</v>
      </c>
      <c r="P58">
        <v>10</v>
      </c>
      <c r="Q58" t="s">
        <v>69</v>
      </c>
      <c r="R58" t="s">
        <v>33</v>
      </c>
      <c r="S58" t="b">
        <v>0</v>
      </c>
      <c r="T58" t="b">
        <v>1</v>
      </c>
      <c r="U58" t="b">
        <v>0</v>
      </c>
      <c r="V58" t="b">
        <v>0</v>
      </c>
      <c r="W58" t="b">
        <v>1</v>
      </c>
      <c r="X58">
        <v>0.1</v>
      </c>
      <c r="Y58">
        <v>8.1999999999999993</v>
      </c>
      <c r="Z58">
        <v>4</v>
      </c>
      <c r="AA58">
        <v>9.3000000000000007</v>
      </c>
      <c r="AB58" s="3">
        <v>133.31</v>
      </c>
      <c r="AC58" s="3"/>
      <c r="AD58">
        <v>3</v>
      </c>
      <c r="AE58" t="s">
        <v>64</v>
      </c>
      <c r="AF58" s="4"/>
    </row>
    <row r="59" spans="1:32" x14ac:dyDescent="0.3">
      <c r="A59" t="s">
        <v>146</v>
      </c>
      <c r="B59">
        <v>25</v>
      </c>
      <c r="C59" t="str">
        <f t="shared" si="0"/>
        <v>Young Adults</v>
      </c>
      <c r="D59" t="s">
        <v>28</v>
      </c>
      <c r="E59">
        <v>7.1</v>
      </c>
      <c r="G59" t="s">
        <v>54</v>
      </c>
      <c r="H59" t="s">
        <v>89</v>
      </c>
      <c r="I59" t="s">
        <v>71</v>
      </c>
      <c r="J59">
        <v>5.2</v>
      </c>
      <c r="L59" t="s">
        <v>51</v>
      </c>
      <c r="M59" t="s">
        <v>33</v>
      </c>
      <c r="N59" t="s">
        <v>62</v>
      </c>
      <c r="P59">
        <v>1</v>
      </c>
      <c r="Q59" t="s">
        <v>35</v>
      </c>
      <c r="R59" t="s">
        <v>33</v>
      </c>
      <c r="S59" t="b">
        <v>1</v>
      </c>
      <c r="T59" t="b">
        <v>0</v>
      </c>
      <c r="U59" t="b">
        <v>0</v>
      </c>
      <c r="V59" t="b">
        <v>0</v>
      </c>
      <c r="W59" t="b">
        <v>1</v>
      </c>
      <c r="X59">
        <v>4.3</v>
      </c>
      <c r="Y59">
        <v>7.2</v>
      </c>
      <c r="Z59">
        <v>4</v>
      </c>
      <c r="AA59">
        <v>6.6</v>
      </c>
      <c r="AB59" s="3">
        <v>136.21</v>
      </c>
      <c r="AC59" s="3"/>
      <c r="AD59">
        <v>8</v>
      </c>
      <c r="AE59" t="s">
        <v>64</v>
      </c>
      <c r="AF59" s="4"/>
    </row>
    <row r="60" spans="1:32" x14ac:dyDescent="0.3">
      <c r="A60" t="s">
        <v>147</v>
      </c>
      <c r="B60">
        <v>23</v>
      </c>
      <c r="C60" t="str">
        <f t="shared" si="0"/>
        <v>Young Adults</v>
      </c>
      <c r="D60" t="s">
        <v>28</v>
      </c>
      <c r="E60">
        <v>0.6</v>
      </c>
      <c r="G60" t="s">
        <v>60</v>
      </c>
      <c r="H60" t="s">
        <v>96</v>
      </c>
      <c r="I60" t="s">
        <v>86</v>
      </c>
      <c r="J60">
        <v>7.2</v>
      </c>
      <c r="L60" t="s">
        <v>43</v>
      </c>
      <c r="M60" t="s">
        <v>42</v>
      </c>
      <c r="N60" t="s">
        <v>43</v>
      </c>
      <c r="P60">
        <v>4</v>
      </c>
      <c r="Q60" t="s">
        <v>121</v>
      </c>
      <c r="R60" t="s">
        <v>33</v>
      </c>
      <c r="S60" t="b">
        <v>0</v>
      </c>
      <c r="T60" t="b">
        <v>0</v>
      </c>
      <c r="U60" t="b">
        <v>0</v>
      </c>
      <c r="V60" t="b">
        <v>0</v>
      </c>
      <c r="W60" t="b">
        <v>0</v>
      </c>
      <c r="X60">
        <v>0</v>
      </c>
      <c r="Y60">
        <v>8.8000000000000007</v>
      </c>
      <c r="Z60">
        <v>1</v>
      </c>
      <c r="AA60">
        <v>11.1</v>
      </c>
      <c r="AB60" s="3">
        <v>39.51</v>
      </c>
      <c r="AC60" s="3"/>
      <c r="AD60">
        <v>10</v>
      </c>
      <c r="AE60" t="s">
        <v>46</v>
      </c>
      <c r="AF60" s="4"/>
    </row>
    <row r="61" spans="1:32" x14ac:dyDescent="0.3">
      <c r="A61" t="s">
        <v>148</v>
      </c>
      <c r="B61">
        <v>33</v>
      </c>
      <c r="C61" t="str">
        <f t="shared" si="0"/>
        <v>Old Adults</v>
      </c>
      <c r="D61" t="s">
        <v>53</v>
      </c>
      <c r="E61">
        <v>7.2</v>
      </c>
      <c r="G61" t="s">
        <v>29</v>
      </c>
      <c r="H61" t="s">
        <v>118</v>
      </c>
      <c r="I61" t="s">
        <v>50</v>
      </c>
      <c r="J61">
        <v>4.2</v>
      </c>
      <c r="L61" t="s">
        <v>41</v>
      </c>
      <c r="M61" t="s">
        <v>42</v>
      </c>
      <c r="N61" t="s">
        <v>34</v>
      </c>
      <c r="P61">
        <v>9</v>
      </c>
      <c r="Q61" t="s">
        <v>35</v>
      </c>
      <c r="R61" t="s">
        <v>45</v>
      </c>
      <c r="S61" t="b">
        <v>0</v>
      </c>
      <c r="T61" t="b">
        <v>0</v>
      </c>
      <c r="U61" t="b">
        <v>0</v>
      </c>
      <c r="V61" t="b">
        <v>1</v>
      </c>
      <c r="W61" t="b">
        <v>1</v>
      </c>
      <c r="X61">
        <v>0.7</v>
      </c>
      <c r="Y61">
        <v>7.6</v>
      </c>
      <c r="Z61">
        <v>5</v>
      </c>
      <c r="AA61">
        <v>9</v>
      </c>
      <c r="AB61" s="3">
        <v>96.57</v>
      </c>
      <c r="AC61" s="3"/>
      <c r="AD61">
        <v>8</v>
      </c>
      <c r="AE61" t="s">
        <v>46</v>
      </c>
      <c r="AF61" s="4"/>
    </row>
    <row r="62" spans="1:32" x14ac:dyDescent="0.3">
      <c r="A62" t="s">
        <v>149</v>
      </c>
      <c r="B62">
        <v>22</v>
      </c>
      <c r="C62" t="str">
        <f t="shared" si="0"/>
        <v>Young Adults</v>
      </c>
      <c r="D62" t="s">
        <v>53</v>
      </c>
      <c r="E62">
        <v>5.6</v>
      </c>
      <c r="G62" t="s">
        <v>48</v>
      </c>
      <c r="H62" t="s">
        <v>68</v>
      </c>
      <c r="I62" t="s">
        <v>71</v>
      </c>
      <c r="J62">
        <v>5.3</v>
      </c>
      <c r="L62" t="s">
        <v>43</v>
      </c>
      <c r="M62" t="s">
        <v>36</v>
      </c>
      <c r="N62" t="s">
        <v>62</v>
      </c>
      <c r="O62">
        <v>2.08</v>
      </c>
      <c r="P62">
        <v>4</v>
      </c>
      <c r="Q62" t="s">
        <v>66</v>
      </c>
      <c r="R62" t="s">
        <v>33</v>
      </c>
      <c r="S62" t="b">
        <v>0</v>
      </c>
      <c r="T62" t="b">
        <v>1</v>
      </c>
      <c r="U62" t="b">
        <v>0</v>
      </c>
      <c r="V62" t="b">
        <v>0</v>
      </c>
      <c r="W62" t="b">
        <v>1</v>
      </c>
      <c r="X62">
        <v>0.7</v>
      </c>
      <c r="Y62">
        <v>7.7</v>
      </c>
      <c r="Z62">
        <v>3</v>
      </c>
      <c r="AA62">
        <v>9.6999999999999993</v>
      </c>
      <c r="AB62" s="3">
        <v>144.26</v>
      </c>
      <c r="AC62" s="3"/>
      <c r="AD62">
        <v>10</v>
      </c>
      <c r="AE62" t="s">
        <v>64</v>
      </c>
      <c r="AF62" s="4"/>
    </row>
    <row r="63" spans="1:32" x14ac:dyDescent="0.3">
      <c r="A63" t="s">
        <v>150</v>
      </c>
      <c r="B63">
        <v>13</v>
      </c>
      <c r="C63" t="str">
        <f t="shared" si="0"/>
        <v>Teenager</v>
      </c>
      <c r="D63" t="s">
        <v>28</v>
      </c>
      <c r="E63">
        <v>8.9</v>
      </c>
      <c r="G63" t="s">
        <v>54</v>
      </c>
      <c r="H63" t="s">
        <v>98</v>
      </c>
      <c r="I63" t="s">
        <v>86</v>
      </c>
      <c r="J63">
        <v>4.2</v>
      </c>
      <c r="L63" t="s">
        <v>32</v>
      </c>
      <c r="M63" t="s">
        <v>33</v>
      </c>
      <c r="N63" t="s">
        <v>34</v>
      </c>
      <c r="O63">
        <v>3.91</v>
      </c>
      <c r="Q63" t="s">
        <v>80</v>
      </c>
      <c r="R63" t="s">
        <v>36</v>
      </c>
      <c r="S63" t="b">
        <v>1</v>
      </c>
      <c r="T63" t="b">
        <v>1</v>
      </c>
      <c r="U63" t="b">
        <v>0</v>
      </c>
      <c r="V63" t="b">
        <v>1</v>
      </c>
      <c r="W63" t="b">
        <v>1</v>
      </c>
      <c r="X63">
        <v>2.1</v>
      </c>
      <c r="Y63">
        <v>3.6</v>
      </c>
      <c r="Z63">
        <v>5</v>
      </c>
      <c r="AA63">
        <v>2.2999999999999998</v>
      </c>
      <c r="AB63" s="3">
        <v>417.13</v>
      </c>
      <c r="AC63" s="3"/>
      <c r="AD63">
        <v>3</v>
      </c>
      <c r="AE63" t="s">
        <v>37</v>
      </c>
      <c r="AF63" s="4"/>
    </row>
    <row r="64" spans="1:32" x14ac:dyDescent="0.3">
      <c r="A64" t="s">
        <v>151</v>
      </c>
      <c r="B64">
        <v>16</v>
      </c>
      <c r="C64" t="str">
        <f t="shared" si="0"/>
        <v>Teenager</v>
      </c>
      <c r="D64" t="s">
        <v>152</v>
      </c>
      <c r="E64">
        <v>12.4</v>
      </c>
      <c r="G64" t="s">
        <v>39</v>
      </c>
      <c r="H64" t="s">
        <v>120</v>
      </c>
      <c r="I64" t="s">
        <v>31</v>
      </c>
      <c r="J64">
        <v>4.7</v>
      </c>
      <c r="L64" t="s">
        <v>78</v>
      </c>
      <c r="M64" t="s">
        <v>45</v>
      </c>
      <c r="N64" t="s">
        <v>34</v>
      </c>
      <c r="O64">
        <v>2</v>
      </c>
      <c r="Q64" t="s">
        <v>44</v>
      </c>
      <c r="R64" t="s">
        <v>57</v>
      </c>
      <c r="S64" t="b">
        <v>1</v>
      </c>
      <c r="T64" t="b">
        <v>0</v>
      </c>
      <c r="U64" t="b">
        <v>0</v>
      </c>
      <c r="V64" t="b">
        <v>1</v>
      </c>
      <c r="W64" t="b">
        <v>1</v>
      </c>
      <c r="X64">
        <v>0.2</v>
      </c>
      <c r="Y64">
        <v>4.3</v>
      </c>
      <c r="Z64">
        <v>7</v>
      </c>
      <c r="AA64">
        <v>0.6</v>
      </c>
      <c r="AB64" s="3">
        <v>359.05</v>
      </c>
      <c r="AC64" s="3"/>
      <c r="AD64">
        <v>6</v>
      </c>
      <c r="AE64" t="s">
        <v>58</v>
      </c>
      <c r="AF64" s="4"/>
    </row>
    <row r="65" spans="1:32" x14ac:dyDescent="0.3">
      <c r="A65" t="s">
        <v>153</v>
      </c>
      <c r="B65">
        <v>19</v>
      </c>
      <c r="C65" t="str">
        <f t="shared" si="0"/>
        <v>Teenager</v>
      </c>
      <c r="D65" t="s">
        <v>53</v>
      </c>
      <c r="E65">
        <v>6.6</v>
      </c>
      <c r="G65" t="s">
        <v>48</v>
      </c>
      <c r="H65" t="s">
        <v>128</v>
      </c>
      <c r="I65" t="s">
        <v>86</v>
      </c>
      <c r="J65">
        <v>3.3</v>
      </c>
      <c r="L65" t="s">
        <v>32</v>
      </c>
      <c r="M65" t="s">
        <v>45</v>
      </c>
      <c r="N65" t="s">
        <v>34</v>
      </c>
      <c r="O65">
        <v>3.09</v>
      </c>
      <c r="P65">
        <v>10</v>
      </c>
      <c r="Q65" t="s">
        <v>44</v>
      </c>
      <c r="R65" t="s">
        <v>33</v>
      </c>
      <c r="S65" t="b">
        <v>1</v>
      </c>
      <c r="T65" t="b">
        <v>1</v>
      </c>
      <c r="U65" t="b">
        <v>0</v>
      </c>
      <c r="V65" t="b">
        <v>1</v>
      </c>
      <c r="W65" t="b">
        <v>1</v>
      </c>
      <c r="X65">
        <v>2.2999999999999998</v>
      </c>
      <c r="Y65">
        <v>8</v>
      </c>
      <c r="Z65">
        <v>4</v>
      </c>
      <c r="AA65">
        <v>9.5</v>
      </c>
      <c r="AB65" s="3">
        <v>144.41</v>
      </c>
      <c r="AC65" s="3"/>
      <c r="AD65">
        <v>9</v>
      </c>
      <c r="AE65" t="s">
        <v>58</v>
      </c>
      <c r="AF65" s="4"/>
    </row>
    <row r="66" spans="1:32" x14ac:dyDescent="0.3">
      <c r="A66" t="s">
        <v>154</v>
      </c>
      <c r="B66">
        <v>26</v>
      </c>
      <c r="C66" t="str">
        <f t="shared" si="0"/>
        <v>Young Adults</v>
      </c>
      <c r="D66" t="s">
        <v>53</v>
      </c>
      <c r="E66">
        <v>4.9000000000000004</v>
      </c>
      <c r="G66" t="s">
        <v>82</v>
      </c>
      <c r="H66" t="s">
        <v>83</v>
      </c>
      <c r="I66" t="s">
        <v>86</v>
      </c>
      <c r="J66">
        <v>5.7</v>
      </c>
      <c r="L66" t="s">
        <v>41</v>
      </c>
      <c r="M66" t="s">
        <v>45</v>
      </c>
      <c r="N66" t="s">
        <v>51</v>
      </c>
      <c r="P66">
        <v>5</v>
      </c>
      <c r="Q66" t="s">
        <v>44</v>
      </c>
      <c r="R66" t="s">
        <v>42</v>
      </c>
      <c r="S66" t="b">
        <v>0</v>
      </c>
      <c r="T66" t="b">
        <v>0</v>
      </c>
      <c r="U66" t="b">
        <v>0</v>
      </c>
      <c r="V66" t="b">
        <v>1</v>
      </c>
      <c r="W66" t="b">
        <v>0</v>
      </c>
      <c r="X66">
        <v>1.2</v>
      </c>
      <c r="Y66">
        <v>8.8000000000000007</v>
      </c>
      <c r="Z66">
        <v>3</v>
      </c>
      <c r="AA66">
        <v>9.5</v>
      </c>
      <c r="AB66" s="3">
        <v>60.06</v>
      </c>
      <c r="AC66" s="3"/>
      <c r="AD66">
        <v>10</v>
      </c>
      <c r="AE66" t="s">
        <v>46</v>
      </c>
      <c r="AF66" s="4"/>
    </row>
    <row r="67" spans="1:32" x14ac:dyDescent="0.3">
      <c r="A67" t="s">
        <v>155</v>
      </c>
      <c r="B67">
        <v>18</v>
      </c>
      <c r="C67" t="str">
        <f t="shared" ref="C67:C130" si="1">IF(B67&lt;=19,"Teenager",IF(B67&lt;=30,"Young Adults",IF(B67&gt;30,"Old Adults")))</f>
        <v>Teenager</v>
      </c>
      <c r="D67" t="s">
        <v>28</v>
      </c>
      <c r="E67">
        <v>4.4000000000000004</v>
      </c>
      <c r="G67" t="s">
        <v>29</v>
      </c>
      <c r="H67" t="s">
        <v>104</v>
      </c>
      <c r="I67" t="s">
        <v>31</v>
      </c>
      <c r="J67">
        <v>6.6</v>
      </c>
      <c r="L67" t="s">
        <v>51</v>
      </c>
      <c r="M67" t="s">
        <v>45</v>
      </c>
      <c r="N67" t="s">
        <v>34</v>
      </c>
      <c r="O67">
        <v>1.4</v>
      </c>
      <c r="Q67" t="s">
        <v>66</v>
      </c>
      <c r="R67" t="s">
        <v>57</v>
      </c>
      <c r="S67" t="b">
        <v>0</v>
      </c>
      <c r="T67" t="b">
        <v>0</v>
      </c>
      <c r="U67" t="b">
        <v>0</v>
      </c>
      <c r="V67" t="b">
        <v>0</v>
      </c>
      <c r="W67" t="b">
        <v>0</v>
      </c>
      <c r="X67">
        <v>0</v>
      </c>
      <c r="Y67">
        <v>8.3000000000000007</v>
      </c>
      <c r="Z67">
        <v>1</v>
      </c>
      <c r="AA67">
        <v>11.3</v>
      </c>
      <c r="AB67" s="3">
        <v>45.33</v>
      </c>
      <c r="AC67" s="3"/>
      <c r="AD67">
        <v>5</v>
      </c>
      <c r="AE67" t="s">
        <v>46</v>
      </c>
      <c r="AF67" s="4"/>
    </row>
    <row r="68" spans="1:32" x14ac:dyDescent="0.3">
      <c r="A68" t="s">
        <v>156</v>
      </c>
      <c r="B68">
        <v>23</v>
      </c>
      <c r="C68" t="str">
        <f t="shared" si="1"/>
        <v>Young Adults</v>
      </c>
      <c r="D68" t="s">
        <v>53</v>
      </c>
      <c r="E68">
        <v>4.7</v>
      </c>
      <c r="G68" t="s">
        <v>54</v>
      </c>
      <c r="H68" t="s">
        <v>55</v>
      </c>
      <c r="I68" t="s">
        <v>50</v>
      </c>
      <c r="J68">
        <v>5.0999999999999996</v>
      </c>
      <c r="L68" t="s">
        <v>43</v>
      </c>
      <c r="M68" t="s">
        <v>33</v>
      </c>
      <c r="N68" t="s">
        <v>62</v>
      </c>
      <c r="P68">
        <v>8</v>
      </c>
      <c r="Q68" t="s">
        <v>63</v>
      </c>
      <c r="R68" t="s">
        <v>36</v>
      </c>
      <c r="S68" t="b">
        <v>0</v>
      </c>
      <c r="T68" t="b">
        <v>0</v>
      </c>
      <c r="U68" t="b">
        <v>0</v>
      </c>
      <c r="V68" t="b">
        <v>1</v>
      </c>
      <c r="W68" t="b">
        <v>0</v>
      </c>
      <c r="X68">
        <v>1.2</v>
      </c>
      <c r="Y68">
        <v>7</v>
      </c>
      <c r="Z68">
        <v>4</v>
      </c>
      <c r="AA68">
        <v>10.7</v>
      </c>
      <c r="AB68" s="3">
        <v>108</v>
      </c>
      <c r="AC68" s="3"/>
      <c r="AD68">
        <v>8</v>
      </c>
      <c r="AE68" t="s">
        <v>46</v>
      </c>
      <c r="AF68" s="4"/>
    </row>
    <row r="69" spans="1:32" x14ac:dyDescent="0.3">
      <c r="A69" t="s">
        <v>157</v>
      </c>
      <c r="B69">
        <v>22</v>
      </c>
      <c r="C69" t="str">
        <f t="shared" si="1"/>
        <v>Young Adults</v>
      </c>
      <c r="D69" t="s">
        <v>28</v>
      </c>
      <c r="E69">
        <v>7</v>
      </c>
      <c r="G69" t="s">
        <v>76</v>
      </c>
      <c r="H69" t="s">
        <v>126</v>
      </c>
      <c r="I69" t="s">
        <v>50</v>
      </c>
      <c r="J69">
        <v>4</v>
      </c>
      <c r="L69" t="s">
        <v>32</v>
      </c>
      <c r="M69" t="s">
        <v>33</v>
      </c>
      <c r="N69" t="s">
        <v>51</v>
      </c>
      <c r="O69">
        <v>3.54</v>
      </c>
      <c r="P69">
        <v>2</v>
      </c>
      <c r="Q69" t="s">
        <v>44</v>
      </c>
      <c r="R69" t="s">
        <v>57</v>
      </c>
      <c r="S69" t="b">
        <v>1</v>
      </c>
      <c r="T69" t="b">
        <v>0</v>
      </c>
      <c r="U69" t="b">
        <v>0</v>
      </c>
      <c r="V69" t="b">
        <v>1</v>
      </c>
      <c r="W69" t="b">
        <v>1</v>
      </c>
      <c r="X69">
        <v>1</v>
      </c>
      <c r="Y69">
        <v>5.8</v>
      </c>
      <c r="Z69">
        <v>5</v>
      </c>
      <c r="AA69">
        <v>5.3</v>
      </c>
      <c r="AB69" s="3">
        <v>119.22</v>
      </c>
      <c r="AC69" s="3"/>
      <c r="AD69">
        <v>4</v>
      </c>
      <c r="AE69" t="s">
        <v>64</v>
      </c>
      <c r="AF69" s="4"/>
    </row>
    <row r="70" spans="1:32" x14ac:dyDescent="0.3">
      <c r="A70" t="s">
        <v>158</v>
      </c>
      <c r="B70">
        <v>20</v>
      </c>
      <c r="C70" t="str">
        <f t="shared" si="1"/>
        <v>Young Adults</v>
      </c>
      <c r="D70" t="s">
        <v>53</v>
      </c>
      <c r="E70">
        <v>6.2</v>
      </c>
      <c r="G70" t="s">
        <v>29</v>
      </c>
      <c r="H70" t="s">
        <v>73</v>
      </c>
      <c r="I70" t="s">
        <v>71</v>
      </c>
      <c r="J70">
        <v>5.8</v>
      </c>
      <c r="L70" t="s">
        <v>32</v>
      </c>
      <c r="M70" t="s">
        <v>36</v>
      </c>
      <c r="N70" t="s">
        <v>62</v>
      </c>
      <c r="O70">
        <v>3.51</v>
      </c>
      <c r="P70">
        <v>2</v>
      </c>
      <c r="Q70" t="s">
        <v>44</v>
      </c>
      <c r="R70" t="s">
        <v>42</v>
      </c>
      <c r="S70" t="b">
        <v>0</v>
      </c>
      <c r="T70" t="b">
        <v>1</v>
      </c>
      <c r="U70" t="b">
        <v>0</v>
      </c>
      <c r="V70" t="b">
        <v>1</v>
      </c>
      <c r="W70" t="b">
        <v>1</v>
      </c>
      <c r="X70">
        <v>3.3</v>
      </c>
      <c r="Y70">
        <v>6.7</v>
      </c>
      <c r="Z70">
        <v>5</v>
      </c>
      <c r="AA70">
        <v>9.6</v>
      </c>
      <c r="AB70" s="3">
        <v>42.1</v>
      </c>
      <c r="AC70" s="3"/>
      <c r="AD70">
        <v>8</v>
      </c>
      <c r="AE70" t="s">
        <v>64</v>
      </c>
      <c r="AF70" s="4"/>
    </row>
    <row r="71" spans="1:32" x14ac:dyDescent="0.3">
      <c r="A71" t="s">
        <v>159</v>
      </c>
      <c r="B71">
        <v>18</v>
      </c>
      <c r="C71" t="str">
        <f t="shared" si="1"/>
        <v>Teenager</v>
      </c>
      <c r="D71" t="s">
        <v>53</v>
      </c>
      <c r="E71">
        <v>15.1</v>
      </c>
      <c r="G71" t="s">
        <v>76</v>
      </c>
      <c r="H71" t="s">
        <v>110</v>
      </c>
      <c r="I71" t="s">
        <v>31</v>
      </c>
      <c r="J71">
        <v>4.8</v>
      </c>
      <c r="L71" t="s">
        <v>41</v>
      </c>
      <c r="M71" t="s">
        <v>45</v>
      </c>
      <c r="N71" t="s">
        <v>34</v>
      </c>
      <c r="O71">
        <v>3.05</v>
      </c>
      <c r="Q71" t="s">
        <v>80</v>
      </c>
      <c r="R71" t="s">
        <v>45</v>
      </c>
      <c r="S71" t="b">
        <v>1</v>
      </c>
      <c r="T71" t="b">
        <v>0</v>
      </c>
      <c r="U71" t="b">
        <v>0</v>
      </c>
      <c r="V71" t="b">
        <v>1</v>
      </c>
      <c r="W71" t="b">
        <v>1</v>
      </c>
      <c r="X71">
        <v>0</v>
      </c>
      <c r="Y71">
        <v>4.2</v>
      </c>
      <c r="Z71">
        <v>10</v>
      </c>
      <c r="AA71">
        <v>0</v>
      </c>
      <c r="AB71" s="3">
        <v>209.75</v>
      </c>
      <c r="AC71" s="3"/>
      <c r="AD71">
        <v>6</v>
      </c>
      <c r="AE71" t="s">
        <v>58</v>
      </c>
      <c r="AF71" s="4"/>
    </row>
    <row r="72" spans="1:32" x14ac:dyDescent="0.3">
      <c r="A72" t="s">
        <v>160</v>
      </c>
      <c r="B72">
        <v>25</v>
      </c>
      <c r="C72" t="str">
        <f t="shared" si="1"/>
        <v>Young Adults</v>
      </c>
      <c r="D72" t="s">
        <v>28</v>
      </c>
      <c r="E72">
        <v>4.8</v>
      </c>
      <c r="G72" t="s">
        <v>76</v>
      </c>
      <c r="H72" t="s">
        <v>126</v>
      </c>
      <c r="I72" t="s">
        <v>50</v>
      </c>
      <c r="J72">
        <v>6.8</v>
      </c>
      <c r="L72" t="s">
        <v>41</v>
      </c>
      <c r="M72" t="s">
        <v>36</v>
      </c>
      <c r="N72" t="s">
        <v>62</v>
      </c>
      <c r="P72">
        <v>7</v>
      </c>
      <c r="Q72" t="s">
        <v>69</v>
      </c>
      <c r="R72" t="s">
        <v>36</v>
      </c>
      <c r="S72" t="b">
        <v>0</v>
      </c>
      <c r="T72" t="b">
        <v>0</v>
      </c>
      <c r="U72" t="b">
        <v>0</v>
      </c>
      <c r="V72" t="b">
        <v>0</v>
      </c>
      <c r="W72" t="b">
        <v>0</v>
      </c>
      <c r="X72">
        <v>1.6</v>
      </c>
      <c r="Y72">
        <v>5.8</v>
      </c>
      <c r="Z72">
        <v>2</v>
      </c>
      <c r="AA72">
        <v>10</v>
      </c>
      <c r="AB72" s="3">
        <v>132.26</v>
      </c>
      <c r="AC72" s="3"/>
      <c r="AD72">
        <v>11</v>
      </c>
      <c r="AE72" t="s">
        <v>46</v>
      </c>
      <c r="AF72" s="4"/>
    </row>
    <row r="73" spans="1:32" x14ac:dyDescent="0.3">
      <c r="A73" t="s">
        <v>161</v>
      </c>
      <c r="B73">
        <v>23</v>
      </c>
      <c r="C73" t="str">
        <f t="shared" si="1"/>
        <v>Young Adults</v>
      </c>
      <c r="D73" t="s">
        <v>28</v>
      </c>
      <c r="E73">
        <v>2.6</v>
      </c>
      <c r="G73" t="s">
        <v>29</v>
      </c>
      <c r="H73" t="s">
        <v>30</v>
      </c>
      <c r="I73" t="s">
        <v>71</v>
      </c>
      <c r="J73">
        <v>8.8000000000000007</v>
      </c>
      <c r="L73" t="s">
        <v>41</v>
      </c>
      <c r="M73" t="s">
        <v>36</v>
      </c>
      <c r="N73" t="s">
        <v>43</v>
      </c>
      <c r="P73">
        <v>5</v>
      </c>
      <c r="Q73" t="s">
        <v>121</v>
      </c>
      <c r="R73" t="s">
        <v>33</v>
      </c>
      <c r="S73" t="b">
        <v>0</v>
      </c>
      <c r="T73" t="b">
        <v>0</v>
      </c>
      <c r="U73" t="b">
        <v>0</v>
      </c>
      <c r="V73" t="b">
        <v>0</v>
      </c>
      <c r="W73" t="b">
        <v>0</v>
      </c>
      <c r="X73">
        <v>0.4</v>
      </c>
      <c r="Y73">
        <v>8.9</v>
      </c>
      <c r="Z73">
        <v>1</v>
      </c>
      <c r="AA73">
        <v>11.2</v>
      </c>
      <c r="AB73" s="3">
        <v>7.76</v>
      </c>
      <c r="AC73" s="3"/>
      <c r="AD73">
        <v>3</v>
      </c>
      <c r="AE73" t="s">
        <v>46</v>
      </c>
      <c r="AF73" s="4"/>
    </row>
    <row r="74" spans="1:32" x14ac:dyDescent="0.3">
      <c r="A74" t="s">
        <v>162</v>
      </c>
      <c r="B74">
        <v>17</v>
      </c>
      <c r="C74" t="str">
        <f t="shared" si="1"/>
        <v>Teenager</v>
      </c>
      <c r="D74" t="s">
        <v>53</v>
      </c>
      <c r="E74">
        <v>4</v>
      </c>
      <c r="G74" t="s">
        <v>29</v>
      </c>
      <c r="H74" t="s">
        <v>73</v>
      </c>
      <c r="I74" t="s">
        <v>50</v>
      </c>
      <c r="J74">
        <v>5.8</v>
      </c>
      <c r="L74" t="s">
        <v>41</v>
      </c>
      <c r="M74" t="s">
        <v>33</v>
      </c>
      <c r="N74" t="s">
        <v>43</v>
      </c>
      <c r="O74">
        <v>3.1</v>
      </c>
      <c r="Q74" t="s">
        <v>63</v>
      </c>
      <c r="R74" t="s">
        <v>33</v>
      </c>
      <c r="S74" t="b">
        <v>0</v>
      </c>
      <c r="T74" t="b">
        <v>0</v>
      </c>
      <c r="U74" t="b">
        <v>0</v>
      </c>
      <c r="V74" t="b">
        <v>0</v>
      </c>
      <c r="W74" t="b">
        <v>0</v>
      </c>
      <c r="X74">
        <v>3.3</v>
      </c>
      <c r="Y74">
        <v>6.3</v>
      </c>
      <c r="Z74">
        <v>2</v>
      </c>
      <c r="AA74">
        <v>7.4</v>
      </c>
      <c r="AB74" s="3">
        <v>18.88</v>
      </c>
      <c r="AC74" s="3"/>
      <c r="AD74">
        <v>1</v>
      </c>
      <c r="AE74" t="s">
        <v>46</v>
      </c>
      <c r="AF74" s="4"/>
    </row>
    <row r="75" spans="1:32" x14ac:dyDescent="0.3">
      <c r="A75" t="s">
        <v>163</v>
      </c>
      <c r="B75">
        <v>20</v>
      </c>
      <c r="C75" t="str">
        <f t="shared" si="1"/>
        <v>Young Adults</v>
      </c>
      <c r="D75" t="s">
        <v>28</v>
      </c>
      <c r="E75">
        <v>5</v>
      </c>
      <c r="G75" t="s">
        <v>76</v>
      </c>
      <c r="H75" t="s">
        <v>77</v>
      </c>
      <c r="I75" t="s">
        <v>71</v>
      </c>
      <c r="J75">
        <v>6.9</v>
      </c>
      <c r="L75" t="s">
        <v>51</v>
      </c>
      <c r="M75" t="s">
        <v>33</v>
      </c>
      <c r="N75" t="s">
        <v>84</v>
      </c>
      <c r="O75">
        <v>1.55</v>
      </c>
      <c r="P75">
        <v>9</v>
      </c>
      <c r="Q75" t="s">
        <v>66</v>
      </c>
      <c r="R75" t="s">
        <v>36</v>
      </c>
      <c r="S75" t="b">
        <v>0</v>
      </c>
      <c r="T75" t="b">
        <v>0</v>
      </c>
      <c r="U75" t="b">
        <v>0</v>
      </c>
      <c r="V75" t="b">
        <v>0</v>
      </c>
      <c r="W75" t="b">
        <v>0</v>
      </c>
      <c r="X75">
        <v>0.9</v>
      </c>
      <c r="Y75">
        <v>7.7</v>
      </c>
      <c r="Z75">
        <v>4</v>
      </c>
      <c r="AA75">
        <v>6.8</v>
      </c>
      <c r="AB75" s="3">
        <v>85.67</v>
      </c>
      <c r="AC75" s="3"/>
      <c r="AD75">
        <v>8</v>
      </c>
      <c r="AE75" t="s">
        <v>46</v>
      </c>
      <c r="AF75" s="4"/>
    </row>
    <row r="76" spans="1:32" x14ac:dyDescent="0.3">
      <c r="A76" t="s">
        <v>164</v>
      </c>
      <c r="B76">
        <v>19</v>
      </c>
      <c r="C76" t="str">
        <f t="shared" si="1"/>
        <v>Teenager</v>
      </c>
      <c r="D76" t="s">
        <v>28</v>
      </c>
      <c r="E76">
        <v>3.5</v>
      </c>
      <c r="G76" t="s">
        <v>60</v>
      </c>
      <c r="H76" t="s">
        <v>102</v>
      </c>
      <c r="I76" t="s">
        <v>50</v>
      </c>
      <c r="J76">
        <v>8</v>
      </c>
      <c r="L76" t="s">
        <v>43</v>
      </c>
      <c r="M76" t="s">
        <v>45</v>
      </c>
      <c r="N76" t="s">
        <v>62</v>
      </c>
      <c r="O76">
        <v>1.87</v>
      </c>
      <c r="P76">
        <v>4</v>
      </c>
      <c r="Q76" t="s">
        <v>121</v>
      </c>
      <c r="R76" t="s">
        <v>42</v>
      </c>
      <c r="S76" t="b">
        <v>0</v>
      </c>
      <c r="T76" t="b">
        <v>0</v>
      </c>
      <c r="U76" t="b">
        <v>0</v>
      </c>
      <c r="V76" t="b">
        <v>0</v>
      </c>
      <c r="W76" t="b">
        <v>0</v>
      </c>
      <c r="X76">
        <v>0.4</v>
      </c>
      <c r="Y76">
        <v>6.7</v>
      </c>
      <c r="Z76">
        <v>2</v>
      </c>
      <c r="AA76">
        <v>11.4</v>
      </c>
      <c r="AB76" s="3">
        <v>39.950000000000003</v>
      </c>
      <c r="AC76" s="3"/>
      <c r="AD76">
        <v>3</v>
      </c>
      <c r="AE76" t="s">
        <v>46</v>
      </c>
      <c r="AF76" s="4"/>
    </row>
    <row r="77" spans="1:32" x14ac:dyDescent="0.3">
      <c r="A77" t="s">
        <v>165</v>
      </c>
      <c r="B77">
        <v>33</v>
      </c>
      <c r="C77" t="str">
        <f t="shared" si="1"/>
        <v>Old Adults</v>
      </c>
      <c r="D77" t="s">
        <v>28</v>
      </c>
      <c r="E77">
        <v>5.2</v>
      </c>
      <c r="G77" t="s">
        <v>60</v>
      </c>
      <c r="H77" t="s">
        <v>61</v>
      </c>
      <c r="I77" t="s">
        <v>50</v>
      </c>
      <c r="J77">
        <v>6.9</v>
      </c>
      <c r="L77" t="s">
        <v>41</v>
      </c>
      <c r="M77" t="s">
        <v>45</v>
      </c>
      <c r="N77" t="s">
        <v>43</v>
      </c>
      <c r="P77">
        <v>3</v>
      </c>
      <c r="Q77" t="s">
        <v>69</v>
      </c>
      <c r="R77" t="s">
        <v>57</v>
      </c>
      <c r="S77" t="b">
        <v>0</v>
      </c>
      <c r="T77" t="b">
        <v>0</v>
      </c>
      <c r="U77" t="b">
        <v>0</v>
      </c>
      <c r="V77" t="b">
        <v>1</v>
      </c>
      <c r="W77" t="b">
        <v>0</v>
      </c>
      <c r="X77">
        <v>2</v>
      </c>
      <c r="Y77">
        <v>9</v>
      </c>
      <c r="Z77">
        <v>6</v>
      </c>
      <c r="AA77">
        <v>6.9</v>
      </c>
      <c r="AB77" s="3">
        <v>73.02</v>
      </c>
      <c r="AC77" s="3"/>
      <c r="AD77">
        <v>8</v>
      </c>
      <c r="AE77" t="s">
        <v>46</v>
      </c>
      <c r="AF77" s="4"/>
    </row>
    <row r="78" spans="1:32" x14ac:dyDescent="0.3">
      <c r="A78" t="s">
        <v>166</v>
      </c>
      <c r="B78">
        <v>17</v>
      </c>
      <c r="C78" t="str">
        <f t="shared" si="1"/>
        <v>Teenager</v>
      </c>
      <c r="D78" t="s">
        <v>28</v>
      </c>
      <c r="E78">
        <v>9.4</v>
      </c>
      <c r="G78" t="s">
        <v>82</v>
      </c>
      <c r="H78" t="s">
        <v>167</v>
      </c>
      <c r="I78" t="s">
        <v>31</v>
      </c>
      <c r="J78">
        <v>3.1</v>
      </c>
      <c r="L78" t="s">
        <v>51</v>
      </c>
      <c r="M78" t="s">
        <v>45</v>
      </c>
      <c r="N78" t="s">
        <v>51</v>
      </c>
      <c r="O78">
        <v>1.01</v>
      </c>
      <c r="Q78" t="s">
        <v>105</v>
      </c>
      <c r="R78" t="s">
        <v>36</v>
      </c>
      <c r="S78" t="b">
        <v>1</v>
      </c>
      <c r="T78" t="b">
        <v>0</v>
      </c>
      <c r="U78" t="b">
        <v>1</v>
      </c>
      <c r="V78" t="b">
        <v>1</v>
      </c>
      <c r="W78" t="b">
        <v>1</v>
      </c>
      <c r="X78">
        <v>1.3</v>
      </c>
      <c r="Y78">
        <v>4.7</v>
      </c>
      <c r="Z78">
        <v>6</v>
      </c>
      <c r="AA78">
        <v>1.8</v>
      </c>
      <c r="AB78" s="3">
        <v>364.97</v>
      </c>
      <c r="AC78" s="3"/>
      <c r="AD78">
        <v>1</v>
      </c>
      <c r="AE78" t="s">
        <v>37</v>
      </c>
      <c r="AF78" s="4"/>
    </row>
    <row r="79" spans="1:32" x14ac:dyDescent="0.3">
      <c r="A79" t="s">
        <v>168</v>
      </c>
      <c r="B79">
        <v>16</v>
      </c>
      <c r="C79" t="str">
        <f t="shared" si="1"/>
        <v>Teenager</v>
      </c>
      <c r="D79" t="s">
        <v>53</v>
      </c>
      <c r="E79">
        <v>5.7</v>
      </c>
      <c r="G79" t="s">
        <v>39</v>
      </c>
      <c r="H79" t="s">
        <v>93</v>
      </c>
      <c r="I79" t="s">
        <v>50</v>
      </c>
      <c r="J79">
        <v>6.8</v>
      </c>
      <c r="L79" t="s">
        <v>51</v>
      </c>
      <c r="M79" t="s">
        <v>33</v>
      </c>
      <c r="N79" t="s">
        <v>62</v>
      </c>
      <c r="O79">
        <v>2.48</v>
      </c>
      <c r="Q79" t="s">
        <v>80</v>
      </c>
      <c r="R79" t="s">
        <v>33</v>
      </c>
      <c r="S79" t="b">
        <v>0</v>
      </c>
      <c r="T79" t="b">
        <v>0</v>
      </c>
      <c r="U79" t="b">
        <v>0</v>
      </c>
      <c r="V79" t="b">
        <v>1</v>
      </c>
      <c r="W79" t="b">
        <v>1</v>
      </c>
      <c r="X79">
        <v>1.5</v>
      </c>
      <c r="Y79">
        <v>8.4</v>
      </c>
      <c r="Z79">
        <v>4</v>
      </c>
      <c r="AA79">
        <v>8.5</v>
      </c>
      <c r="AB79" s="3">
        <v>136.30000000000001</v>
      </c>
      <c r="AC79" s="3"/>
      <c r="AD79">
        <v>2</v>
      </c>
      <c r="AE79" t="s">
        <v>46</v>
      </c>
      <c r="AF79" s="4"/>
    </row>
    <row r="80" spans="1:32" x14ac:dyDescent="0.3">
      <c r="A80" t="s">
        <v>169</v>
      </c>
      <c r="B80">
        <v>19</v>
      </c>
      <c r="C80" t="str">
        <f t="shared" si="1"/>
        <v>Teenager</v>
      </c>
      <c r="D80" t="s">
        <v>152</v>
      </c>
      <c r="E80">
        <v>8.3000000000000007</v>
      </c>
      <c r="G80" t="s">
        <v>39</v>
      </c>
      <c r="H80" t="s">
        <v>93</v>
      </c>
      <c r="I80" t="s">
        <v>31</v>
      </c>
      <c r="J80">
        <v>5.5</v>
      </c>
      <c r="L80" t="s">
        <v>51</v>
      </c>
      <c r="M80" t="s">
        <v>74</v>
      </c>
      <c r="N80" t="s">
        <v>62</v>
      </c>
      <c r="O80">
        <v>1.17</v>
      </c>
      <c r="P80">
        <v>8</v>
      </c>
      <c r="Q80" t="s">
        <v>44</v>
      </c>
      <c r="R80" t="s">
        <v>36</v>
      </c>
      <c r="S80" t="b">
        <v>1</v>
      </c>
      <c r="T80" t="b">
        <v>0</v>
      </c>
      <c r="U80" t="b">
        <v>0</v>
      </c>
      <c r="V80" t="b">
        <v>0</v>
      </c>
      <c r="W80" t="b">
        <v>0</v>
      </c>
      <c r="X80">
        <v>3</v>
      </c>
      <c r="Y80">
        <v>4</v>
      </c>
      <c r="Z80">
        <v>7</v>
      </c>
      <c r="AA80">
        <v>3.9</v>
      </c>
      <c r="AB80" s="3">
        <v>82.29</v>
      </c>
      <c r="AC80" s="3"/>
      <c r="AD80">
        <v>6</v>
      </c>
      <c r="AE80" t="s">
        <v>64</v>
      </c>
      <c r="AF80" s="4"/>
    </row>
    <row r="81" spans="1:32" x14ac:dyDescent="0.3">
      <c r="A81" t="s">
        <v>170</v>
      </c>
      <c r="B81">
        <v>16</v>
      </c>
      <c r="C81" t="str">
        <f t="shared" si="1"/>
        <v>Teenager</v>
      </c>
      <c r="D81" t="s">
        <v>53</v>
      </c>
      <c r="E81">
        <v>9</v>
      </c>
      <c r="G81" t="s">
        <v>29</v>
      </c>
      <c r="H81" t="s">
        <v>73</v>
      </c>
      <c r="I81" t="s">
        <v>86</v>
      </c>
      <c r="J81">
        <v>5.8</v>
      </c>
      <c r="L81" t="s">
        <v>51</v>
      </c>
      <c r="M81" t="s">
        <v>36</v>
      </c>
      <c r="N81" t="s">
        <v>51</v>
      </c>
      <c r="O81">
        <v>2.3199999999999998</v>
      </c>
      <c r="Q81" t="s">
        <v>80</v>
      </c>
      <c r="R81" t="s">
        <v>45</v>
      </c>
      <c r="S81" t="b">
        <v>1</v>
      </c>
      <c r="T81" t="b">
        <v>0</v>
      </c>
      <c r="U81" t="b">
        <v>1</v>
      </c>
      <c r="V81" t="b">
        <v>1</v>
      </c>
      <c r="W81" t="b">
        <v>1</v>
      </c>
      <c r="X81">
        <v>3.7</v>
      </c>
      <c r="Y81">
        <v>3.8</v>
      </c>
      <c r="Z81">
        <v>5</v>
      </c>
      <c r="AA81">
        <v>6</v>
      </c>
      <c r="AB81" s="3">
        <v>192.38</v>
      </c>
      <c r="AC81" s="3"/>
      <c r="AD81">
        <v>1</v>
      </c>
      <c r="AE81" t="s">
        <v>37</v>
      </c>
      <c r="AF81" s="4"/>
    </row>
    <row r="82" spans="1:32" x14ac:dyDescent="0.3">
      <c r="A82" t="s">
        <v>171</v>
      </c>
      <c r="B82">
        <v>22</v>
      </c>
      <c r="C82" t="str">
        <f t="shared" si="1"/>
        <v>Young Adults</v>
      </c>
      <c r="D82" t="s">
        <v>53</v>
      </c>
      <c r="E82">
        <v>7.2</v>
      </c>
      <c r="G82" t="s">
        <v>29</v>
      </c>
      <c r="H82" t="s">
        <v>73</v>
      </c>
      <c r="I82" t="s">
        <v>50</v>
      </c>
      <c r="J82">
        <v>3.6</v>
      </c>
      <c r="L82" t="s">
        <v>32</v>
      </c>
      <c r="M82" t="s">
        <v>42</v>
      </c>
      <c r="N82" t="s">
        <v>51</v>
      </c>
      <c r="O82">
        <v>1.98</v>
      </c>
      <c r="P82">
        <v>1</v>
      </c>
      <c r="Q82" t="s">
        <v>44</v>
      </c>
      <c r="R82" t="s">
        <v>57</v>
      </c>
      <c r="S82" t="b">
        <v>1</v>
      </c>
      <c r="T82" t="b">
        <v>0</v>
      </c>
      <c r="U82" t="b">
        <v>0</v>
      </c>
      <c r="V82" t="b">
        <v>1</v>
      </c>
      <c r="W82" t="b">
        <v>0</v>
      </c>
      <c r="X82">
        <v>1.7</v>
      </c>
      <c r="Y82">
        <v>6.5</v>
      </c>
      <c r="Z82">
        <v>4</v>
      </c>
      <c r="AA82">
        <v>8</v>
      </c>
      <c r="AB82" s="3">
        <v>32.86</v>
      </c>
      <c r="AC82" s="3"/>
      <c r="AD82">
        <v>11</v>
      </c>
      <c r="AE82" t="s">
        <v>64</v>
      </c>
      <c r="AF82" s="4"/>
    </row>
    <row r="83" spans="1:32" x14ac:dyDescent="0.3">
      <c r="A83" t="s">
        <v>172</v>
      </c>
      <c r="B83">
        <v>17</v>
      </c>
      <c r="C83" t="str">
        <f t="shared" si="1"/>
        <v>Teenager</v>
      </c>
      <c r="D83" t="s">
        <v>53</v>
      </c>
      <c r="E83">
        <v>10.8</v>
      </c>
      <c r="G83" t="s">
        <v>76</v>
      </c>
      <c r="H83" t="s">
        <v>110</v>
      </c>
      <c r="I83" t="s">
        <v>50</v>
      </c>
      <c r="J83">
        <v>5</v>
      </c>
      <c r="L83" t="s">
        <v>41</v>
      </c>
      <c r="M83" t="s">
        <v>42</v>
      </c>
      <c r="N83" t="s">
        <v>51</v>
      </c>
      <c r="O83">
        <v>3.56</v>
      </c>
      <c r="Q83" t="s">
        <v>35</v>
      </c>
      <c r="R83" t="s">
        <v>45</v>
      </c>
      <c r="S83" t="b">
        <v>1</v>
      </c>
      <c r="T83" t="b">
        <v>0</v>
      </c>
      <c r="U83" t="b">
        <v>1</v>
      </c>
      <c r="V83" t="b">
        <v>1</v>
      </c>
      <c r="W83" t="b">
        <v>1</v>
      </c>
      <c r="X83">
        <v>0.4</v>
      </c>
      <c r="Y83">
        <v>2.9</v>
      </c>
      <c r="Z83">
        <v>7</v>
      </c>
      <c r="AA83">
        <v>0.8</v>
      </c>
      <c r="AB83" s="3">
        <v>462.43</v>
      </c>
      <c r="AC83" s="3"/>
      <c r="AD83">
        <v>3</v>
      </c>
      <c r="AE83" t="s">
        <v>37</v>
      </c>
      <c r="AF83" s="4"/>
    </row>
    <row r="84" spans="1:32" x14ac:dyDescent="0.3">
      <c r="A84" t="s">
        <v>173</v>
      </c>
      <c r="B84">
        <v>18</v>
      </c>
      <c r="C84" t="str">
        <f t="shared" si="1"/>
        <v>Teenager</v>
      </c>
      <c r="D84" t="s">
        <v>28</v>
      </c>
      <c r="E84">
        <v>9.3000000000000007</v>
      </c>
      <c r="G84" t="s">
        <v>54</v>
      </c>
      <c r="H84" t="s">
        <v>89</v>
      </c>
      <c r="I84" t="s">
        <v>50</v>
      </c>
      <c r="J84">
        <v>5.5</v>
      </c>
      <c r="L84" t="s">
        <v>78</v>
      </c>
      <c r="M84" t="s">
        <v>42</v>
      </c>
      <c r="N84" t="s">
        <v>51</v>
      </c>
      <c r="O84">
        <v>1.42</v>
      </c>
      <c r="Q84" t="s">
        <v>44</v>
      </c>
      <c r="R84" t="s">
        <v>33</v>
      </c>
      <c r="S84" t="b">
        <v>1</v>
      </c>
      <c r="T84" t="b">
        <v>0</v>
      </c>
      <c r="U84" t="b">
        <v>0</v>
      </c>
      <c r="V84" t="b">
        <v>0</v>
      </c>
      <c r="W84" t="b">
        <v>1</v>
      </c>
      <c r="X84">
        <v>0.9</v>
      </c>
      <c r="Y84">
        <v>6.3</v>
      </c>
      <c r="Z84">
        <v>6</v>
      </c>
      <c r="AA84">
        <v>1.5</v>
      </c>
      <c r="AB84" s="3">
        <v>404.23</v>
      </c>
      <c r="AC84" s="3"/>
      <c r="AD84">
        <v>2</v>
      </c>
      <c r="AE84" t="s">
        <v>58</v>
      </c>
      <c r="AF84" s="4"/>
    </row>
    <row r="85" spans="1:32" x14ac:dyDescent="0.3">
      <c r="A85" t="s">
        <v>174</v>
      </c>
      <c r="B85">
        <v>20</v>
      </c>
      <c r="C85" t="str">
        <f t="shared" si="1"/>
        <v>Young Adults</v>
      </c>
      <c r="D85" t="s">
        <v>28</v>
      </c>
      <c r="E85">
        <v>6.4</v>
      </c>
      <c r="G85" t="s">
        <v>54</v>
      </c>
      <c r="H85" t="s">
        <v>89</v>
      </c>
      <c r="I85" t="s">
        <v>50</v>
      </c>
      <c r="J85">
        <v>6.8</v>
      </c>
      <c r="L85" t="s">
        <v>41</v>
      </c>
      <c r="M85" t="s">
        <v>42</v>
      </c>
      <c r="N85" t="s">
        <v>62</v>
      </c>
      <c r="O85">
        <v>2.95</v>
      </c>
      <c r="P85">
        <v>8</v>
      </c>
      <c r="Q85" t="s">
        <v>66</v>
      </c>
      <c r="R85" t="s">
        <v>36</v>
      </c>
      <c r="S85" t="b">
        <v>0</v>
      </c>
      <c r="T85" t="b">
        <v>1</v>
      </c>
      <c r="U85" t="b">
        <v>0</v>
      </c>
      <c r="V85" t="b">
        <v>0</v>
      </c>
      <c r="W85" t="b">
        <v>1</v>
      </c>
      <c r="X85">
        <v>1.5</v>
      </c>
      <c r="Y85">
        <v>7.6</v>
      </c>
      <c r="Z85">
        <v>5</v>
      </c>
      <c r="AA85">
        <v>7.5</v>
      </c>
      <c r="AB85" s="3">
        <v>91.02</v>
      </c>
      <c r="AC85" s="3"/>
      <c r="AD85">
        <v>8</v>
      </c>
      <c r="AE85" t="s">
        <v>64</v>
      </c>
      <c r="AF85" s="4"/>
    </row>
    <row r="86" spans="1:32" x14ac:dyDescent="0.3">
      <c r="A86" t="s">
        <v>175</v>
      </c>
      <c r="B86">
        <v>26</v>
      </c>
      <c r="C86" t="str">
        <f t="shared" si="1"/>
        <v>Young Adults</v>
      </c>
      <c r="D86" t="s">
        <v>28</v>
      </c>
      <c r="E86">
        <v>1.1000000000000001</v>
      </c>
      <c r="G86" t="s">
        <v>29</v>
      </c>
      <c r="H86" t="s">
        <v>118</v>
      </c>
      <c r="I86" t="s">
        <v>50</v>
      </c>
      <c r="J86">
        <v>7.6</v>
      </c>
      <c r="L86" t="s">
        <v>43</v>
      </c>
      <c r="M86" t="s">
        <v>33</v>
      </c>
      <c r="N86" t="s">
        <v>43</v>
      </c>
      <c r="P86">
        <v>5</v>
      </c>
      <c r="Q86" t="s">
        <v>66</v>
      </c>
      <c r="R86" t="s">
        <v>45</v>
      </c>
      <c r="S86" t="b">
        <v>0</v>
      </c>
      <c r="T86" t="b">
        <v>0</v>
      </c>
      <c r="U86" t="b">
        <v>0</v>
      </c>
      <c r="V86" t="b">
        <v>0</v>
      </c>
      <c r="W86" t="b">
        <v>0</v>
      </c>
      <c r="X86">
        <v>0.4</v>
      </c>
      <c r="Y86">
        <v>9.5</v>
      </c>
      <c r="Z86">
        <v>1</v>
      </c>
      <c r="AA86">
        <v>15.5</v>
      </c>
      <c r="AB86" s="3">
        <v>24.99</v>
      </c>
      <c r="AC86" s="3"/>
      <c r="AD86">
        <v>10</v>
      </c>
      <c r="AE86" t="s">
        <v>46</v>
      </c>
      <c r="AF86" s="4"/>
    </row>
    <row r="87" spans="1:32" x14ac:dyDescent="0.3">
      <c r="A87" t="s">
        <v>176</v>
      </c>
      <c r="B87">
        <v>22</v>
      </c>
      <c r="C87" t="str">
        <f t="shared" si="1"/>
        <v>Young Adults</v>
      </c>
      <c r="D87" t="s">
        <v>28</v>
      </c>
      <c r="E87">
        <v>3</v>
      </c>
      <c r="G87" t="s">
        <v>60</v>
      </c>
      <c r="H87" t="s">
        <v>96</v>
      </c>
      <c r="I87" t="s">
        <v>86</v>
      </c>
      <c r="J87">
        <v>8.8000000000000007</v>
      </c>
      <c r="L87" t="s">
        <v>51</v>
      </c>
      <c r="M87" t="s">
        <v>42</v>
      </c>
      <c r="N87" t="s">
        <v>43</v>
      </c>
      <c r="O87">
        <v>2.4</v>
      </c>
      <c r="P87">
        <v>5</v>
      </c>
      <c r="Q87" t="s">
        <v>66</v>
      </c>
      <c r="R87" t="s">
        <v>42</v>
      </c>
      <c r="S87" t="b">
        <v>0</v>
      </c>
      <c r="T87" t="b">
        <v>0</v>
      </c>
      <c r="U87" t="b">
        <v>0</v>
      </c>
      <c r="V87" t="b">
        <v>0</v>
      </c>
      <c r="W87" t="b">
        <v>0</v>
      </c>
      <c r="X87">
        <v>1.1000000000000001</v>
      </c>
      <c r="Y87">
        <v>7.1</v>
      </c>
      <c r="Z87">
        <v>2</v>
      </c>
      <c r="AA87">
        <v>8.5</v>
      </c>
      <c r="AB87" s="3">
        <v>34.92</v>
      </c>
      <c r="AC87" s="3"/>
      <c r="AD87">
        <v>11</v>
      </c>
      <c r="AE87" t="s">
        <v>46</v>
      </c>
      <c r="AF87" s="4"/>
    </row>
    <row r="88" spans="1:32" x14ac:dyDescent="0.3">
      <c r="A88" t="s">
        <v>177</v>
      </c>
      <c r="B88">
        <v>14</v>
      </c>
      <c r="C88" t="str">
        <f t="shared" si="1"/>
        <v>Teenager</v>
      </c>
      <c r="D88" t="s">
        <v>28</v>
      </c>
      <c r="E88">
        <v>7.5</v>
      </c>
      <c r="G88" t="s">
        <v>76</v>
      </c>
      <c r="H88" t="s">
        <v>77</v>
      </c>
      <c r="I88" t="s">
        <v>50</v>
      </c>
      <c r="J88">
        <v>4.8</v>
      </c>
      <c r="L88" t="s">
        <v>41</v>
      </c>
      <c r="M88" t="s">
        <v>36</v>
      </c>
      <c r="N88" t="s">
        <v>51</v>
      </c>
      <c r="O88">
        <v>1.29</v>
      </c>
      <c r="Q88" t="s">
        <v>63</v>
      </c>
      <c r="R88" t="s">
        <v>45</v>
      </c>
      <c r="S88" t="b">
        <v>1</v>
      </c>
      <c r="T88" t="b">
        <v>1</v>
      </c>
      <c r="U88" t="b">
        <v>0</v>
      </c>
      <c r="V88" t="b">
        <v>1</v>
      </c>
      <c r="W88" t="b">
        <v>0</v>
      </c>
      <c r="X88">
        <v>0.7</v>
      </c>
      <c r="Y88">
        <v>7.9</v>
      </c>
      <c r="Z88">
        <v>5</v>
      </c>
      <c r="AA88">
        <v>6.6</v>
      </c>
      <c r="AB88" s="3">
        <v>123.8</v>
      </c>
      <c r="AC88" s="3"/>
      <c r="AD88">
        <v>3</v>
      </c>
      <c r="AE88" t="s">
        <v>58</v>
      </c>
      <c r="AF88" s="4"/>
    </row>
    <row r="89" spans="1:32" x14ac:dyDescent="0.3">
      <c r="A89" t="s">
        <v>178</v>
      </c>
      <c r="B89">
        <v>17</v>
      </c>
      <c r="C89" t="str">
        <f t="shared" si="1"/>
        <v>Teenager</v>
      </c>
      <c r="D89" t="s">
        <v>28</v>
      </c>
      <c r="E89">
        <v>6.1</v>
      </c>
      <c r="G89" t="s">
        <v>48</v>
      </c>
      <c r="H89" t="s">
        <v>68</v>
      </c>
      <c r="I89" t="s">
        <v>31</v>
      </c>
      <c r="J89">
        <v>6.7</v>
      </c>
      <c r="L89" t="s">
        <v>41</v>
      </c>
      <c r="M89" t="s">
        <v>45</v>
      </c>
      <c r="N89" t="s">
        <v>62</v>
      </c>
      <c r="O89">
        <v>3.06</v>
      </c>
      <c r="Q89" t="s">
        <v>66</v>
      </c>
      <c r="R89" t="s">
        <v>33</v>
      </c>
      <c r="S89" t="b">
        <v>0</v>
      </c>
      <c r="T89" t="b">
        <v>1</v>
      </c>
      <c r="U89" t="b">
        <v>0</v>
      </c>
      <c r="V89" t="b">
        <v>1</v>
      </c>
      <c r="W89" t="b">
        <v>1</v>
      </c>
      <c r="X89">
        <v>1.8</v>
      </c>
      <c r="Y89">
        <v>5.6</v>
      </c>
      <c r="Z89">
        <v>4</v>
      </c>
      <c r="AA89">
        <v>9.8000000000000007</v>
      </c>
      <c r="AB89" s="3">
        <v>71.69</v>
      </c>
      <c r="AC89" s="3"/>
      <c r="AD89">
        <v>1</v>
      </c>
      <c r="AE89" t="s">
        <v>64</v>
      </c>
      <c r="AF89" s="4"/>
    </row>
    <row r="90" spans="1:32" x14ac:dyDescent="0.3">
      <c r="A90" t="s">
        <v>179</v>
      </c>
      <c r="B90">
        <v>18</v>
      </c>
      <c r="C90" t="str">
        <f t="shared" si="1"/>
        <v>Teenager</v>
      </c>
      <c r="D90" t="s">
        <v>53</v>
      </c>
      <c r="E90">
        <v>5.9</v>
      </c>
      <c r="G90" t="s">
        <v>82</v>
      </c>
      <c r="H90" t="s">
        <v>83</v>
      </c>
      <c r="I90" t="s">
        <v>31</v>
      </c>
      <c r="J90">
        <v>6.5</v>
      </c>
      <c r="L90" t="s">
        <v>51</v>
      </c>
      <c r="M90" t="s">
        <v>42</v>
      </c>
      <c r="N90" t="s">
        <v>62</v>
      </c>
      <c r="O90">
        <v>2.46</v>
      </c>
      <c r="Q90" t="s">
        <v>66</v>
      </c>
      <c r="R90" t="s">
        <v>36</v>
      </c>
      <c r="S90" t="b">
        <v>0</v>
      </c>
      <c r="T90" t="b">
        <v>1</v>
      </c>
      <c r="U90" t="b">
        <v>0</v>
      </c>
      <c r="V90" t="b">
        <v>1</v>
      </c>
      <c r="W90" t="b">
        <v>0</v>
      </c>
      <c r="X90">
        <v>0.4</v>
      </c>
      <c r="Y90">
        <v>7.4</v>
      </c>
      <c r="Z90">
        <v>4</v>
      </c>
      <c r="AA90">
        <v>4.9000000000000004</v>
      </c>
      <c r="AB90" s="3">
        <v>96.37</v>
      </c>
      <c r="AC90" s="3"/>
      <c r="AD90">
        <v>4</v>
      </c>
      <c r="AE90" t="s">
        <v>64</v>
      </c>
      <c r="AF90" s="4"/>
    </row>
    <row r="91" spans="1:32" x14ac:dyDescent="0.3">
      <c r="A91" t="s">
        <v>180</v>
      </c>
      <c r="B91">
        <v>22</v>
      </c>
      <c r="C91" t="str">
        <f t="shared" si="1"/>
        <v>Young Adults</v>
      </c>
      <c r="D91" t="s">
        <v>53</v>
      </c>
      <c r="E91">
        <v>8.1</v>
      </c>
      <c r="G91" t="s">
        <v>29</v>
      </c>
      <c r="H91" t="s">
        <v>104</v>
      </c>
      <c r="I91" t="s">
        <v>86</v>
      </c>
      <c r="J91">
        <v>3.1</v>
      </c>
      <c r="L91" t="s">
        <v>41</v>
      </c>
      <c r="M91" t="s">
        <v>33</v>
      </c>
      <c r="N91" t="s">
        <v>129</v>
      </c>
      <c r="O91">
        <v>3.21</v>
      </c>
      <c r="P91">
        <v>6</v>
      </c>
      <c r="Q91" t="s">
        <v>35</v>
      </c>
      <c r="R91" t="s">
        <v>33</v>
      </c>
      <c r="S91" t="b">
        <v>0</v>
      </c>
      <c r="T91" t="b">
        <v>1</v>
      </c>
      <c r="U91" t="b">
        <v>0</v>
      </c>
      <c r="V91" t="b">
        <v>1</v>
      </c>
      <c r="W91" t="b">
        <v>0</v>
      </c>
      <c r="X91">
        <v>0.3</v>
      </c>
      <c r="Y91">
        <v>6.8</v>
      </c>
      <c r="Z91">
        <v>5</v>
      </c>
      <c r="AA91">
        <v>5.0999999999999996</v>
      </c>
      <c r="AB91" s="3">
        <v>67.48</v>
      </c>
      <c r="AC91" s="3"/>
      <c r="AD91">
        <v>1</v>
      </c>
      <c r="AE91" t="s">
        <v>64</v>
      </c>
      <c r="AF91" s="4"/>
    </row>
    <row r="92" spans="1:32" x14ac:dyDescent="0.3">
      <c r="A92" t="s">
        <v>181</v>
      </c>
      <c r="B92">
        <v>20</v>
      </c>
      <c r="C92" t="str">
        <f t="shared" si="1"/>
        <v>Young Adults</v>
      </c>
      <c r="D92" t="s">
        <v>28</v>
      </c>
      <c r="E92">
        <v>10.3</v>
      </c>
      <c r="G92" t="s">
        <v>76</v>
      </c>
      <c r="H92" t="s">
        <v>110</v>
      </c>
      <c r="I92" t="s">
        <v>31</v>
      </c>
      <c r="J92">
        <v>5.8</v>
      </c>
      <c r="L92" t="s">
        <v>51</v>
      </c>
      <c r="M92" t="s">
        <v>42</v>
      </c>
      <c r="N92" t="s">
        <v>34</v>
      </c>
      <c r="O92">
        <v>1.5</v>
      </c>
      <c r="P92">
        <v>1</v>
      </c>
      <c r="Q92" t="s">
        <v>63</v>
      </c>
      <c r="R92" t="s">
        <v>33</v>
      </c>
      <c r="S92" t="b">
        <v>0</v>
      </c>
      <c r="T92" t="b">
        <v>0</v>
      </c>
      <c r="U92" t="b">
        <v>0</v>
      </c>
      <c r="V92" t="b">
        <v>0</v>
      </c>
      <c r="W92" t="b">
        <v>1</v>
      </c>
      <c r="X92">
        <v>4.5</v>
      </c>
      <c r="Y92">
        <v>3.6</v>
      </c>
      <c r="Z92">
        <v>8</v>
      </c>
      <c r="AA92">
        <v>1.6</v>
      </c>
      <c r="AB92" s="3">
        <v>499.27</v>
      </c>
      <c r="AC92" s="3"/>
      <c r="AD92">
        <v>4</v>
      </c>
      <c r="AE92" t="s">
        <v>64</v>
      </c>
      <c r="AF92" s="4"/>
    </row>
    <row r="93" spans="1:32" x14ac:dyDescent="0.3">
      <c r="A93" t="s">
        <v>182</v>
      </c>
      <c r="B93">
        <v>17</v>
      </c>
      <c r="C93" t="str">
        <f t="shared" si="1"/>
        <v>Teenager</v>
      </c>
      <c r="D93" t="s">
        <v>53</v>
      </c>
      <c r="E93">
        <v>8.9</v>
      </c>
      <c r="G93" t="s">
        <v>82</v>
      </c>
      <c r="H93" t="s">
        <v>167</v>
      </c>
      <c r="I93" t="s">
        <v>31</v>
      </c>
      <c r="J93">
        <v>5.9</v>
      </c>
      <c r="L93" t="s">
        <v>41</v>
      </c>
      <c r="M93" t="s">
        <v>36</v>
      </c>
      <c r="N93" t="s">
        <v>43</v>
      </c>
      <c r="O93">
        <v>3.26</v>
      </c>
      <c r="Q93" t="s">
        <v>80</v>
      </c>
      <c r="R93" t="s">
        <v>36</v>
      </c>
      <c r="S93" t="b">
        <v>1</v>
      </c>
      <c r="T93" t="b">
        <v>0</v>
      </c>
      <c r="U93" t="b">
        <v>0</v>
      </c>
      <c r="V93" t="b">
        <v>1</v>
      </c>
      <c r="W93" t="b">
        <v>1</v>
      </c>
      <c r="X93">
        <v>5.7</v>
      </c>
      <c r="Y93">
        <v>5.3</v>
      </c>
      <c r="Z93">
        <v>5</v>
      </c>
      <c r="AA93">
        <v>2.7</v>
      </c>
      <c r="AB93" s="3">
        <v>254.42</v>
      </c>
      <c r="AC93" s="3"/>
      <c r="AD93">
        <v>5</v>
      </c>
      <c r="AE93" t="s">
        <v>58</v>
      </c>
      <c r="AF93" s="4"/>
    </row>
    <row r="94" spans="1:32" x14ac:dyDescent="0.3">
      <c r="A94" t="s">
        <v>183</v>
      </c>
      <c r="B94">
        <v>26</v>
      </c>
      <c r="C94" t="str">
        <f t="shared" si="1"/>
        <v>Young Adults</v>
      </c>
      <c r="D94" t="s">
        <v>53</v>
      </c>
      <c r="E94">
        <v>5.9</v>
      </c>
      <c r="G94" t="s">
        <v>29</v>
      </c>
      <c r="H94" t="s">
        <v>30</v>
      </c>
      <c r="I94" t="s">
        <v>71</v>
      </c>
      <c r="J94">
        <v>6.1</v>
      </c>
      <c r="L94" t="s">
        <v>43</v>
      </c>
      <c r="M94" t="s">
        <v>74</v>
      </c>
      <c r="N94" t="s">
        <v>43</v>
      </c>
      <c r="P94">
        <v>10</v>
      </c>
      <c r="Q94" t="s">
        <v>121</v>
      </c>
      <c r="R94" t="s">
        <v>33</v>
      </c>
      <c r="S94" t="b">
        <v>0</v>
      </c>
      <c r="T94" t="b">
        <v>1</v>
      </c>
      <c r="U94" t="b">
        <v>0</v>
      </c>
      <c r="V94" t="b">
        <v>0</v>
      </c>
      <c r="W94" t="b">
        <v>0</v>
      </c>
      <c r="X94">
        <v>0.5</v>
      </c>
      <c r="Y94">
        <v>5.2</v>
      </c>
      <c r="Z94">
        <v>5</v>
      </c>
      <c r="AA94">
        <v>8.4</v>
      </c>
      <c r="AB94" s="3">
        <v>83.67</v>
      </c>
      <c r="AC94" s="3"/>
      <c r="AD94">
        <v>14</v>
      </c>
      <c r="AE94" t="s">
        <v>64</v>
      </c>
      <c r="AF94" s="4"/>
    </row>
    <row r="95" spans="1:32" x14ac:dyDescent="0.3">
      <c r="A95" t="s">
        <v>184</v>
      </c>
      <c r="B95">
        <v>21</v>
      </c>
      <c r="C95" t="str">
        <f t="shared" si="1"/>
        <v>Young Adults</v>
      </c>
      <c r="D95" t="s">
        <v>53</v>
      </c>
      <c r="E95">
        <v>4.9000000000000004</v>
      </c>
      <c r="G95" t="s">
        <v>82</v>
      </c>
      <c r="H95" t="s">
        <v>83</v>
      </c>
      <c r="I95" t="s">
        <v>86</v>
      </c>
      <c r="J95">
        <v>6.1</v>
      </c>
      <c r="L95" t="s">
        <v>41</v>
      </c>
      <c r="M95" t="s">
        <v>74</v>
      </c>
      <c r="N95" t="s">
        <v>129</v>
      </c>
      <c r="O95">
        <v>3.53</v>
      </c>
      <c r="P95">
        <v>5</v>
      </c>
      <c r="Q95" t="s">
        <v>56</v>
      </c>
      <c r="R95" t="s">
        <v>42</v>
      </c>
      <c r="S95" t="b">
        <v>0</v>
      </c>
      <c r="T95" t="b">
        <v>0</v>
      </c>
      <c r="U95" t="b">
        <v>0</v>
      </c>
      <c r="V95" t="b">
        <v>1</v>
      </c>
      <c r="W95" t="b">
        <v>0</v>
      </c>
      <c r="X95">
        <v>0.3</v>
      </c>
      <c r="Y95">
        <v>9.1</v>
      </c>
      <c r="Z95">
        <v>2</v>
      </c>
      <c r="AA95">
        <v>7.6</v>
      </c>
      <c r="AB95" s="3">
        <v>56.37</v>
      </c>
      <c r="AC95" s="3"/>
      <c r="AD95">
        <v>8</v>
      </c>
      <c r="AE95" t="s">
        <v>46</v>
      </c>
      <c r="AF95" s="4"/>
    </row>
    <row r="96" spans="1:32" x14ac:dyDescent="0.3">
      <c r="A96" t="s">
        <v>185</v>
      </c>
      <c r="B96">
        <v>22</v>
      </c>
      <c r="C96" t="str">
        <f t="shared" si="1"/>
        <v>Young Adults</v>
      </c>
      <c r="D96" t="s">
        <v>28</v>
      </c>
      <c r="E96">
        <v>1.7</v>
      </c>
      <c r="G96" t="s">
        <v>54</v>
      </c>
      <c r="H96" t="s">
        <v>55</v>
      </c>
      <c r="I96" t="s">
        <v>71</v>
      </c>
      <c r="J96">
        <v>7.3</v>
      </c>
      <c r="L96" t="s">
        <v>41</v>
      </c>
      <c r="M96" t="s">
        <v>42</v>
      </c>
      <c r="N96" t="s">
        <v>62</v>
      </c>
      <c r="O96">
        <v>1.41</v>
      </c>
      <c r="P96">
        <v>7</v>
      </c>
      <c r="Q96" t="s">
        <v>66</v>
      </c>
      <c r="R96" t="s">
        <v>36</v>
      </c>
      <c r="S96" t="b">
        <v>0</v>
      </c>
      <c r="T96" t="b">
        <v>0</v>
      </c>
      <c r="U96" t="b">
        <v>0</v>
      </c>
      <c r="V96" t="b">
        <v>0</v>
      </c>
      <c r="W96" t="b">
        <v>0</v>
      </c>
      <c r="X96">
        <v>0.4</v>
      </c>
      <c r="Y96">
        <v>10.8</v>
      </c>
      <c r="Z96">
        <v>1</v>
      </c>
      <c r="AA96">
        <v>14.1</v>
      </c>
      <c r="AB96" s="3">
        <v>24.1</v>
      </c>
      <c r="AC96" s="3"/>
      <c r="AD96">
        <v>5</v>
      </c>
      <c r="AE96" t="s">
        <v>46</v>
      </c>
      <c r="AF96" s="4"/>
    </row>
    <row r="97" spans="1:32" x14ac:dyDescent="0.3">
      <c r="A97" t="s">
        <v>186</v>
      </c>
      <c r="B97">
        <v>19</v>
      </c>
      <c r="C97" t="str">
        <f t="shared" si="1"/>
        <v>Teenager</v>
      </c>
      <c r="D97" t="s">
        <v>28</v>
      </c>
      <c r="E97">
        <v>7</v>
      </c>
      <c r="G97" t="s">
        <v>29</v>
      </c>
      <c r="H97" t="s">
        <v>104</v>
      </c>
      <c r="I97" t="s">
        <v>86</v>
      </c>
      <c r="J97">
        <v>4.9000000000000004</v>
      </c>
      <c r="L97" t="s">
        <v>51</v>
      </c>
      <c r="M97" t="s">
        <v>45</v>
      </c>
      <c r="N97" t="s">
        <v>129</v>
      </c>
      <c r="O97">
        <v>3.92</v>
      </c>
      <c r="P97">
        <v>4</v>
      </c>
      <c r="Q97" t="s">
        <v>80</v>
      </c>
      <c r="R97" t="s">
        <v>57</v>
      </c>
      <c r="S97" t="b">
        <v>1</v>
      </c>
      <c r="T97" t="b">
        <v>1</v>
      </c>
      <c r="U97" t="b">
        <v>0</v>
      </c>
      <c r="V97" t="b">
        <v>1</v>
      </c>
      <c r="W97" t="b">
        <v>1</v>
      </c>
      <c r="X97">
        <v>0.4</v>
      </c>
      <c r="Y97">
        <v>4.5999999999999996</v>
      </c>
      <c r="Z97">
        <v>6</v>
      </c>
      <c r="AA97">
        <v>8.8000000000000007</v>
      </c>
      <c r="AB97" s="3">
        <v>115.12</v>
      </c>
      <c r="AC97" s="3"/>
      <c r="AD97">
        <v>1</v>
      </c>
      <c r="AE97" t="s">
        <v>58</v>
      </c>
      <c r="AF97" s="4"/>
    </row>
    <row r="98" spans="1:32" x14ac:dyDescent="0.3">
      <c r="A98" t="s">
        <v>187</v>
      </c>
      <c r="B98">
        <v>19</v>
      </c>
      <c r="C98" t="str">
        <f t="shared" si="1"/>
        <v>Teenager</v>
      </c>
      <c r="D98" t="s">
        <v>28</v>
      </c>
      <c r="E98">
        <v>3.2</v>
      </c>
      <c r="G98" t="s">
        <v>39</v>
      </c>
      <c r="H98" t="s">
        <v>120</v>
      </c>
      <c r="I98" t="s">
        <v>86</v>
      </c>
      <c r="J98">
        <v>7.3</v>
      </c>
      <c r="L98" t="s">
        <v>41</v>
      </c>
      <c r="M98" t="s">
        <v>45</v>
      </c>
      <c r="N98" t="s">
        <v>62</v>
      </c>
      <c r="O98">
        <v>2.0499999999999998</v>
      </c>
      <c r="P98">
        <v>9</v>
      </c>
      <c r="Q98" t="s">
        <v>80</v>
      </c>
      <c r="R98" t="s">
        <v>42</v>
      </c>
      <c r="S98" t="b">
        <v>0</v>
      </c>
      <c r="T98" t="b">
        <v>0</v>
      </c>
      <c r="U98" t="b">
        <v>0</v>
      </c>
      <c r="V98" t="b">
        <v>0</v>
      </c>
      <c r="W98" t="b">
        <v>0</v>
      </c>
      <c r="X98">
        <v>0.5</v>
      </c>
      <c r="Y98">
        <v>9.1</v>
      </c>
      <c r="Z98">
        <v>2</v>
      </c>
      <c r="AA98">
        <v>14.4</v>
      </c>
      <c r="AB98" s="3">
        <v>15.77</v>
      </c>
      <c r="AC98" s="3"/>
      <c r="AD98">
        <v>1</v>
      </c>
      <c r="AE98" t="s">
        <v>46</v>
      </c>
      <c r="AF98" s="4"/>
    </row>
    <row r="99" spans="1:32" x14ac:dyDescent="0.3">
      <c r="A99" t="s">
        <v>188</v>
      </c>
      <c r="B99">
        <v>23</v>
      </c>
      <c r="C99" t="str">
        <f t="shared" si="1"/>
        <v>Young Adults</v>
      </c>
      <c r="D99" t="s">
        <v>28</v>
      </c>
      <c r="E99">
        <v>10.4</v>
      </c>
      <c r="G99" t="s">
        <v>54</v>
      </c>
      <c r="H99" t="s">
        <v>98</v>
      </c>
      <c r="I99" t="s">
        <v>86</v>
      </c>
      <c r="J99">
        <v>5.6</v>
      </c>
      <c r="L99" t="s">
        <v>51</v>
      </c>
      <c r="M99" t="s">
        <v>45</v>
      </c>
      <c r="N99" t="s">
        <v>51</v>
      </c>
      <c r="P99">
        <v>10</v>
      </c>
      <c r="Q99" t="s">
        <v>35</v>
      </c>
      <c r="R99" t="s">
        <v>42</v>
      </c>
      <c r="S99" t="b">
        <v>0</v>
      </c>
      <c r="T99" t="b">
        <v>1</v>
      </c>
      <c r="U99" t="b">
        <v>1</v>
      </c>
      <c r="V99" t="b">
        <v>0</v>
      </c>
      <c r="W99" t="b">
        <v>0</v>
      </c>
      <c r="X99">
        <v>4.0999999999999996</v>
      </c>
      <c r="Y99">
        <v>3.7</v>
      </c>
      <c r="Z99">
        <v>5</v>
      </c>
      <c r="AA99">
        <v>3.9</v>
      </c>
      <c r="AB99" s="3">
        <v>197.03</v>
      </c>
      <c r="AC99" s="3"/>
      <c r="AD99">
        <v>5</v>
      </c>
      <c r="AE99" t="s">
        <v>37</v>
      </c>
      <c r="AF99" s="4"/>
    </row>
    <row r="100" spans="1:32" x14ac:dyDescent="0.3">
      <c r="A100" t="s">
        <v>189</v>
      </c>
      <c r="B100">
        <v>31</v>
      </c>
      <c r="C100" t="str">
        <f t="shared" si="1"/>
        <v>Old Adults</v>
      </c>
      <c r="D100" t="s">
        <v>28</v>
      </c>
      <c r="E100">
        <v>5.0999999999999996</v>
      </c>
      <c r="G100" t="s">
        <v>39</v>
      </c>
      <c r="H100" t="s">
        <v>120</v>
      </c>
      <c r="I100" t="s">
        <v>31</v>
      </c>
      <c r="J100">
        <v>6.5</v>
      </c>
      <c r="L100" t="s">
        <v>41</v>
      </c>
      <c r="M100" t="s">
        <v>45</v>
      </c>
      <c r="N100" t="s">
        <v>62</v>
      </c>
      <c r="P100">
        <v>1</v>
      </c>
      <c r="Q100" t="s">
        <v>63</v>
      </c>
      <c r="R100" t="s">
        <v>45</v>
      </c>
      <c r="S100" t="b">
        <v>0</v>
      </c>
      <c r="T100" t="b">
        <v>0</v>
      </c>
      <c r="U100" t="b">
        <v>0</v>
      </c>
      <c r="V100" t="b">
        <v>1</v>
      </c>
      <c r="W100" t="b">
        <v>0</v>
      </c>
      <c r="X100">
        <v>0.9</v>
      </c>
      <c r="Y100">
        <v>7.4</v>
      </c>
      <c r="Z100">
        <v>2</v>
      </c>
      <c r="AA100">
        <v>10.9</v>
      </c>
      <c r="AB100" s="3">
        <v>72.27</v>
      </c>
      <c r="AC100" s="3"/>
      <c r="AD100">
        <v>12</v>
      </c>
      <c r="AE100" t="s">
        <v>46</v>
      </c>
      <c r="AF100" s="4"/>
    </row>
    <row r="101" spans="1:32" x14ac:dyDescent="0.3">
      <c r="A101" t="s">
        <v>190</v>
      </c>
      <c r="B101">
        <v>27</v>
      </c>
      <c r="C101" t="str">
        <f t="shared" si="1"/>
        <v>Young Adults</v>
      </c>
      <c r="D101" t="s">
        <v>53</v>
      </c>
      <c r="E101">
        <v>6.3</v>
      </c>
      <c r="G101" t="s">
        <v>29</v>
      </c>
      <c r="H101" t="s">
        <v>104</v>
      </c>
      <c r="I101" t="s">
        <v>31</v>
      </c>
      <c r="J101">
        <v>6.3</v>
      </c>
      <c r="L101" t="s">
        <v>32</v>
      </c>
      <c r="M101" t="s">
        <v>45</v>
      </c>
      <c r="N101" t="s">
        <v>62</v>
      </c>
      <c r="P101">
        <v>10</v>
      </c>
      <c r="Q101" t="s">
        <v>105</v>
      </c>
      <c r="R101" t="s">
        <v>57</v>
      </c>
      <c r="S101" t="b">
        <v>0</v>
      </c>
      <c r="T101" t="b">
        <v>0</v>
      </c>
      <c r="U101" t="b">
        <v>0</v>
      </c>
      <c r="V101" t="b">
        <v>1</v>
      </c>
      <c r="W101" t="b">
        <v>0</v>
      </c>
      <c r="X101">
        <v>1.3</v>
      </c>
      <c r="Y101">
        <v>8</v>
      </c>
      <c r="Z101">
        <v>2</v>
      </c>
      <c r="AA101">
        <v>10.199999999999999</v>
      </c>
      <c r="AB101" s="3">
        <v>21.12</v>
      </c>
      <c r="AC101" s="3"/>
      <c r="AD101">
        <v>2</v>
      </c>
      <c r="AE101" t="s">
        <v>46</v>
      </c>
      <c r="AF101" s="4"/>
    </row>
    <row r="102" spans="1:32" x14ac:dyDescent="0.3">
      <c r="A102" t="s">
        <v>191</v>
      </c>
      <c r="B102">
        <v>21</v>
      </c>
      <c r="C102" t="str">
        <f t="shared" si="1"/>
        <v>Young Adults</v>
      </c>
      <c r="D102" t="s">
        <v>28</v>
      </c>
      <c r="E102">
        <v>5.4</v>
      </c>
      <c r="G102" t="s">
        <v>48</v>
      </c>
      <c r="H102" t="s">
        <v>128</v>
      </c>
      <c r="I102" t="s">
        <v>31</v>
      </c>
      <c r="J102">
        <v>6.6</v>
      </c>
      <c r="L102" t="s">
        <v>41</v>
      </c>
      <c r="M102" t="s">
        <v>42</v>
      </c>
      <c r="N102" t="s">
        <v>129</v>
      </c>
      <c r="O102">
        <v>3.51</v>
      </c>
      <c r="P102">
        <v>4</v>
      </c>
      <c r="Q102" t="s">
        <v>66</v>
      </c>
      <c r="R102" t="s">
        <v>42</v>
      </c>
      <c r="S102" t="b">
        <v>0</v>
      </c>
      <c r="T102" t="b">
        <v>0</v>
      </c>
      <c r="U102" t="b">
        <v>0</v>
      </c>
      <c r="V102" t="b">
        <v>1</v>
      </c>
      <c r="W102" t="b">
        <v>0</v>
      </c>
      <c r="X102">
        <v>1.3</v>
      </c>
      <c r="Y102">
        <v>5.7</v>
      </c>
      <c r="Z102">
        <v>1</v>
      </c>
      <c r="AA102">
        <v>11.2</v>
      </c>
      <c r="AB102" s="3">
        <v>33.119999999999997</v>
      </c>
      <c r="AC102" s="3"/>
      <c r="AD102">
        <v>11</v>
      </c>
      <c r="AE102" t="s">
        <v>46</v>
      </c>
      <c r="AF102" s="4"/>
    </row>
    <row r="103" spans="1:32" x14ac:dyDescent="0.3">
      <c r="A103" t="s">
        <v>192</v>
      </c>
      <c r="B103">
        <v>19</v>
      </c>
      <c r="C103" t="str">
        <f t="shared" si="1"/>
        <v>Teenager</v>
      </c>
      <c r="D103" t="s">
        <v>28</v>
      </c>
      <c r="E103">
        <v>6.1</v>
      </c>
      <c r="G103" t="s">
        <v>54</v>
      </c>
      <c r="H103" t="s">
        <v>89</v>
      </c>
      <c r="I103" t="s">
        <v>71</v>
      </c>
      <c r="J103">
        <v>5.5</v>
      </c>
      <c r="L103" t="s">
        <v>43</v>
      </c>
      <c r="M103" t="s">
        <v>74</v>
      </c>
      <c r="N103" t="s">
        <v>62</v>
      </c>
      <c r="O103">
        <v>3.22</v>
      </c>
      <c r="P103">
        <v>7</v>
      </c>
      <c r="Q103" t="s">
        <v>66</v>
      </c>
      <c r="R103" t="s">
        <v>42</v>
      </c>
      <c r="S103" t="b">
        <v>0</v>
      </c>
      <c r="T103" t="b">
        <v>0</v>
      </c>
      <c r="U103" t="b">
        <v>0</v>
      </c>
      <c r="V103" t="b">
        <v>1</v>
      </c>
      <c r="W103" t="b">
        <v>0</v>
      </c>
      <c r="X103">
        <v>0.6</v>
      </c>
      <c r="Y103">
        <v>8.1</v>
      </c>
      <c r="Z103">
        <v>5</v>
      </c>
      <c r="AA103">
        <v>7.9</v>
      </c>
      <c r="AB103" s="3">
        <v>110.19</v>
      </c>
      <c r="AC103" s="3"/>
      <c r="AD103">
        <v>3</v>
      </c>
      <c r="AE103" t="s">
        <v>46</v>
      </c>
      <c r="AF103" s="4"/>
    </row>
    <row r="104" spans="1:32" x14ac:dyDescent="0.3">
      <c r="A104" t="s">
        <v>193</v>
      </c>
      <c r="B104">
        <v>19</v>
      </c>
      <c r="C104" t="str">
        <f t="shared" si="1"/>
        <v>Teenager</v>
      </c>
      <c r="D104" t="s">
        <v>53</v>
      </c>
      <c r="E104">
        <v>7.1</v>
      </c>
      <c r="G104" t="s">
        <v>76</v>
      </c>
      <c r="H104" t="s">
        <v>126</v>
      </c>
      <c r="I104" t="s">
        <v>31</v>
      </c>
      <c r="J104">
        <v>5</v>
      </c>
      <c r="L104" t="s">
        <v>51</v>
      </c>
      <c r="M104" t="s">
        <v>42</v>
      </c>
      <c r="N104" t="s">
        <v>43</v>
      </c>
      <c r="O104">
        <v>2.66</v>
      </c>
      <c r="P104">
        <v>1</v>
      </c>
      <c r="Q104" t="s">
        <v>44</v>
      </c>
      <c r="R104" t="s">
        <v>33</v>
      </c>
      <c r="S104" t="b">
        <v>1</v>
      </c>
      <c r="T104" t="b">
        <v>1</v>
      </c>
      <c r="U104" t="b">
        <v>0</v>
      </c>
      <c r="V104" t="b">
        <v>0</v>
      </c>
      <c r="W104" t="b">
        <v>1</v>
      </c>
      <c r="X104">
        <v>0.1</v>
      </c>
      <c r="Y104">
        <v>5.3</v>
      </c>
      <c r="Z104">
        <v>4</v>
      </c>
      <c r="AA104">
        <v>6</v>
      </c>
      <c r="AB104" s="3">
        <v>112.86</v>
      </c>
      <c r="AC104" s="3"/>
      <c r="AD104">
        <v>8</v>
      </c>
      <c r="AE104" t="s">
        <v>58</v>
      </c>
      <c r="AF104" s="4"/>
    </row>
    <row r="105" spans="1:32" x14ac:dyDescent="0.3">
      <c r="A105" t="s">
        <v>194</v>
      </c>
      <c r="B105">
        <v>19</v>
      </c>
      <c r="C105" t="str">
        <f t="shared" si="1"/>
        <v>Teenager</v>
      </c>
      <c r="D105" t="s">
        <v>53</v>
      </c>
      <c r="E105">
        <v>8</v>
      </c>
      <c r="G105" t="s">
        <v>54</v>
      </c>
      <c r="H105" t="s">
        <v>89</v>
      </c>
      <c r="I105" t="s">
        <v>31</v>
      </c>
      <c r="J105">
        <v>3.4</v>
      </c>
      <c r="L105" t="s">
        <v>32</v>
      </c>
      <c r="M105" t="s">
        <v>36</v>
      </c>
      <c r="N105" t="s">
        <v>51</v>
      </c>
      <c r="O105">
        <v>2.5299999999999998</v>
      </c>
      <c r="P105">
        <v>6</v>
      </c>
      <c r="Q105" t="s">
        <v>80</v>
      </c>
      <c r="R105" t="s">
        <v>45</v>
      </c>
      <c r="S105" t="b">
        <v>1</v>
      </c>
      <c r="T105" t="b">
        <v>1</v>
      </c>
      <c r="U105" t="b">
        <v>0</v>
      </c>
      <c r="V105" t="b">
        <v>1</v>
      </c>
      <c r="W105" t="b">
        <v>1</v>
      </c>
      <c r="X105">
        <v>0</v>
      </c>
      <c r="Y105">
        <v>6.6</v>
      </c>
      <c r="Z105">
        <v>4</v>
      </c>
      <c r="AA105">
        <v>2.6</v>
      </c>
      <c r="AB105" s="3">
        <v>26.81</v>
      </c>
      <c r="AC105" s="3"/>
      <c r="AD105">
        <v>3</v>
      </c>
      <c r="AE105" t="s">
        <v>58</v>
      </c>
      <c r="AF105" s="4"/>
    </row>
    <row r="106" spans="1:32" x14ac:dyDescent="0.3">
      <c r="A106" t="s">
        <v>195</v>
      </c>
      <c r="B106">
        <v>21</v>
      </c>
      <c r="C106" t="str">
        <f t="shared" si="1"/>
        <v>Young Adults</v>
      </c>
      <c r="D106" t="s">
        <v>53</v>
      </c>
      <c r="E106">
        <v>4.8</v>
      </c>
      <c r="G106" t="s">
        <v>60</v>
      </c>
      <c r="H106" t="s">
        <v>96</v>
      </c>
      <c r="I106" t="s">
        <v>86</v>
      </c>
      <c r="J106">
        <v>6.6</v>
      </c>
      <c r="L106" t="s">
        <v>41</v>
      </c>
      <c r="M106" t="s">
        <v>45</v>
      </c>
      <c r="N106" t="s">
        <v>34</v>
      </c>
      <c r="O106">
        <v>1.08</v>
      </c>
      <c r="P106">
        <v>5</v>
      </c>
      <c r="Q106" t="s">
        <v>121</v>
      </c>
      <c r="R106" t="s">
        <v>42</v>
      </c>
      <c r="S106" t="b">
        <v>0</v>
      </c>
      <c r="T106" t="b">
        <v>0</v>
      </c>
      <c r="U106" t="b">
        <v>0</v>
      </c>
      <c r="V106" t="b">
        <v>0</v>
      </c>
      <c r="W106" t="b">
        <v>0</v>
      </c>
      <c r="X106">
        <v>3.6</v>
      </c>
      <c r="Y106">
        <v>6.1</v>
      </c>
      <c r="Z106">
        <v>2</v>
      </c>
      <c r="AA106">
        <v>10.9</v>
      </c>
      <c r="AB106" s="3">
        <v>48.19</v>
      </c>
      <c r="AC106" s="3"/>
      <c r="AD106">
        <v>1</v>
      </c>
      <c r="AE106" t="s">
        <v>46</v>
      </c>
      <c r="AF106" s="4"/>
    </row>
    <row r="107" spans="1:32" x14ac:dyDescent="0.3">
      <c r="A107" t="s">
        <v>196</v>
      </c>
      <c r="B107">
        <v>17</v>
      </c>
      <c r="C107" t="str">
        <f t="shared" si="1"/>
        <v>Teenager</v>
      </c>
      <c r="D107" t="s">
        <v>53</v>
      </c>
      <c r="E107">
        <v>9.8000000000000007</v>
      </c>
      <c r="G107" t="s">
        <v>60</v>
      </c>
      <c r="H107" t="s">
        <v>96</v>
      </c>
      <c r="I107" t="s">
        <v>31</v>
      </c>
      <c r="J107">
        <v>5</v>
      </c>
      <c r="L107" t="s">
        <v>32</v>
      </c>
      <c r="M107" t="s">
        <v>74</v>
      </c>
      <c r="N107" t="s">
        <v>51</v>
      </c>
      <c r="O107">
        <v>3.66</v>
      </c>
      <c r="Q107" t="s">
        <v>35</v>
      </c>
      <c r="R107" t="s">
        <v>57</v>
      </c>
      <c r="S107" t="b">
        <v>1</v>
      </c>
      <c r="T107" t="b">
        <v>1</v>
      </c>
      <c r="U107" t="b">
        <v>0</v>
      </c>
      <c r="V107" t="b">
        <v>0</v>
      </c>
      <c r="W107" t="b">
        <v>0</v>
      </c>
      <c r="X107">
        <v>5.2</v>
      </c>
      <c r="Y107">
        <v>6.8</v>
      </c>
      <c r="Z107">
        <v>7</v>
      </c>
      <c r="AA107">
        <v>3.4</v>
      </c>
      <c r="AB107" s="3">
        <v>114.88</v>
      </c>
      <c r="AC107" s="3"/>
      <c r="AD107">
        <v>7</v>
      </c>
      <c r="AE107" t="s">
        <v>37</v>
      </c>
      <c r="AF107" s="4"/>
    </row>
    <row r="108" spans="1:32" x14ac:dyDescent="0.3">
      <c r="A108" t="s">
        <v>197</v>
      </c>
      <c r="B108">
        <v>14</v>
      </c>
      <c r="C108" t="str">
        <f t="shared" si="1"/>
        <v>Teenager</v>
      </c>
      <c r="D108" t="s">
        <v>53</v>
      </c>
      <c r="E108">
        <v>2.9</v>
      </c>
      <c r="G108" t="s">
        <v>48</v>
      </c>
      <c r="H108" t="s">
        <v>128</v>
      </c>
      <c r="I108" t="s">
        <v>86</v>
      </c>
      <c r="J108">
        <v>7.9</v>
      </c>
      <c r="L108" t="s">
        <v>43</v>
      </c>
      <c r="M108" t="s">
        <v>36</v>
      </c>
      <c r="N108" t="s">
        <v>84</v>
      </c>
      <c r="O108">
        <v>1.37</v>
      </c>
      <c r="Q108" t="s">
        <v>105</v>
      </c>
      <c r="R108" t="s">
        <v>57</v>
      </c>
      <c r="S108" t="b">
        <v>0</v>
      </c>
      <c r="T108" t="b">
        <v>0</v>
      </c>
      <c r="U108" t="b">
        <v>0</v>
      </c>
      <c r="V108" t="b">
        <v>0</v>
      </c>
      <c r="W108" t="b">
        <v>0</v>
      </c>
      <c r="X108">
        <v>0.5</v>
      </c>
      <c r="Y108">
        <v>9.4</v>
      </c>
      <c r="Z108">
        <v>3</v>
      </c>
      <c r="AA108">
        <v>8.6999999999999993</v>
      </c>
      <c r="AB108" s="3">
        <v>24.6</v>
      </c>
      <c r="AC108" s="3"/>
      <c r="AD108">
        <v>3</v>
      </c>
      <c r="AE108" t="s">
        <v>46</v>
      </c>
      <c r="AF108" s="4"/>
    </row>
    <row r="109" spans="1:32" x14ac:dyDescent="0.3">
      <c r="A109" t="s">
        <v>198</v>
      </c>
      <c r="B109">
        <v>19</v>
      </c>
      <c r="C109" t="str">
        <f t="shared" si="1"/>
        <v>Teenager</v>
      </c>
      <c r="D109" t="s">
        <v>53</v>
      </c>
      <c r="E109">
        <v>6.8</v>
      </c>
      <c r="G109" t="s">
        <v>60</v>
      </c>
      <c r="H109" t="s">
        <v>102</v>
      </c>
      <c r="I109" t="s">
        <v>50</v>
      </c>
      <c r="J109">
        <v>3.7</v>
      </c>
      <c r="L109" t="s">
        <v>51</v>
      </c>
      <c r="M109" t="s">
        <v>36</v>
      </c>
      <c r="N109" t="s">
        <v>129</v>
      </c>
      <c r="O109">
        <v>2.96</v>
      </c>
      <c r="P109">
        <v>7</v>
      </c>
      <c r="Q109" t="s">
        <v>63</v>
      </c>
      <c r="R109" t="s">
        <v>42</v>
      </c>
      <c r="S109" t="b">
        <v>1</v>
      </c>
      <c r="T109" t="b">
        <v>0</v>
      </c>
      <c r="U109" t="b">
        <v>0</v>
      </c>
      <c r="V109" t="b">
        <v>1</v>
      </c>
      <c r="W109" t="b">
        <v>1</v>
      </c>
      <c r="X109">
        <v>1.9</v>
      </c>
      <c r="Y109">
        <v>6.4</v>
      </c>
      <c r="Z109">
        <v>4</v>
      </c>
      <c r="AA109">
        <v>4.7</v>
      </c>
      <c r="AB109" s="3">
        <v>127</v>
      </c>
      <c r="AC109" s="3"/>
      <c r="AD109">
        <v>9</v>
      </c>
      <c r="AE109" t="s">
        <v>64</v>
      </c>
      <c r="AF109" s="4"/>
    </row>
    <row r="110" spans="1:32" x14ac:dyDescent="0.3">
      <c r="A110" t="s">
        <v>199</v>
      </c>
      <c r="B110">
        <v>19</v>
      </c>
      <c r="C110" t="str">
        <f t="shared" si="1"/>
        <v>Teenager</v>
      </c>
      <c r="D110" t="s">
        <v>28</v>
      </c>
      <c r="E110">
        <v>4.5999999999999996</v>
      </c>
      <c r="G110" t="s">
        <v>60</v>
      </c>
      <c r="H110" t="s">
        <v>200</v>
      </c>
      <c r="I110" t="s">
        <v>71</v>
      </c>
      <c r="J110">
        <v>5.3</v>
      </c>
      <c r="L110" t="s">
        <v>41</v>
      </c>
      <c r="M110" t="s">
        <v>33</v>
      </c>
      <c r="N110" t="s">
        <v>84</v>
      </c>
      <c r="O110">
        <v>2.21</v>
      </c>
      <c r="P110">
        <v>4</v>
      </c>
      <c r="Q110" t="s">
        <v>44</v>
      </c>
      <c r="R110" t="s">
        <v>57</v>
      </c>
      <c r="S110" t="b">
        <v>0</v>
      </c>
      <c r="T110" t="b">
        <v>0</v>
      </c>
      <c r="U110" t="b">
        <v>0</v>
      </c>
      <c r="V110" t="b">
        <v>0</v>
      </c>
      <c r="W110" t="b">
        <v>0</v>
      </c>
      <c r="X110">
        <v>0.2</v>
      </c>
      <c r="Y110">
        <v>6.8</v>
      </c>
      <c r="Z110">
        <v>2</v>
      </c>
      <c r="AA110">
        <v>11.3</v>
      </c>
      <c r="AB110" s="3">
        <v>85.23</v>
      </c>
      <c r="AC110" s="3"/>
      <c r="AD110">
        <v>8</v>
      </c>
      <c r="AE110" t="s">
        <v>46</v>
      </c>
      <c r="AF110" s="4"/>
    </row>
    <row r="111" spans="1:32" x14ac:dyDescent="0.3">
      <c r="A111" t="s">
        <v>201</v>
      </c>
      <c r="B111">
        <v>26</v>
      </c>
      <c r="C111" t="str">
        <f t="shared" si="1"/>
        <v>Young Adults</v>
      </c>
      <c r="D111" t="s">
        <v>28</v>
      </c>
      <c r="E111">
        <v>12</v>
      </c>
      <c r="G111" t="s">
        <v>54</v>
      </c>
      <c r="H111" t="s">
        <v>98</v>
      </c>
      <c r="I111" t="s">
        <v>31</v>
      </c>
      <c r="J111">
        <v>4.4000000000000004</v>
      </c>
      <c r="L111" t="s">
        <v>51</v>
      </c>
      <c r="M111" t="s">
        <v>36</v>
      </c>
      <c r="N111" t="s">
        <v>129</v>
      </c>
      <c r="P111">
        <v>2</v>
      </c>
      <c r="Q111" t="s">
        <v>44</v>
      </c>
      <c r="R111" t="s">
        <v>33</v>
      </c>
      <c r="S111" t="b">
        <v>1</v>
      </c>
      <c r="T111" t="b">
        <v>0</v>
      </c>
      <c r="U111" t="b">
        <v>1</v>
      </c>
      <c r="V111" t="b">
        <v>1</v>
      </c>
      <c r="W111" t="b">
        <v>1</v>
      </c>
      <c r="X111">
        <v>1.8</v>
      </c>
      <c r="Y111">
        <v>5.2</v>
      </c>
      <c r="Z111">
        <v>9</v>
      </c>
      <c r="AA111">
        <v>2.5</v>
      </c>
      <c r="AB111" s="3">
        <v>326.95999999999998</v>
      </c>
      <c r="AC111" s="3"/>
      <c r="AD111">
        <v>15</v>
      </c>
      <c r="AE111" t="s">
        <v>37</v>
      </c>
      <c r="AF111" s="4"/>
    </row>
    <row r="112" spans="1:32" x14ac:dyDescent="0.3">
      <c r="A112" t="s">
        <v>202</v>
      </c>
      <c r="B112">
        <v>16</v>
      </c>
      <c r="C112" t="str">
        <f t="shared" si="1"/>
        <v>Teenager</v>
      </c>
      <c r="D112" t="s">
        <v>53</v>
      </c>
      <c r="E112">
        <v>5.4</v>
      </c>
      <c r="G112" t="s">
        <v>60</v>
      </c>
      <c r="H112" t="s">
        <v>200</v>
      </c>
      <c r="I112" t="s">
        <v>31</v>
      </c>
      <c r="J112">
        <v>6.7</v>
      </c>
      <c r="L112" t="s">
        <v>43</v>
      </c>
      <c r="M112" t="s">
        <v>42</v>
      </c>
      <c r="N112" t="s">
        <v>34</v>
      </c>
      <c r="O112">
        <v>2.85</v>
      </c>
      <c r="Q112" t="s">
        <v>66</v>
      </c>
      <c r="R112" t="s">
        <v>42</v>
      </c>
      <c r="S112" t="b">
        <v>0</v>
      </c>
      <c r="T112" t="b">
        <v>0</v>
      </c>
      <c r="U112" t="b">
        <v>0</v>
      </c>
      <c r="V112" t="b">
        <v>1</v>
      </c>
      <c r="W112" t="b">
        <v>0</v>
      </c>
      <c r="X112">
        <v>0.4</v>
      </c>
      <c r="Y112">
        <v>7.9</v>
      </c>
      <c r="Z112">
        <v>3</v>
      </c>
      <c r="AA112">
        <v>11</v>
      </c>
      <c r="AB112" s="3">
        <v>147.65</v>
      </c>
      <c r="AC112" s="3"/>
      <c r="AD112">
        <v>3</v>
      </c>
      <c r="AE112" t="s">
        <v>46</v>
      </c>
      <c r="AF112" s="4"/>
    </row>
    <row r="113" spans="1:32" x14ac:dyDescent="0.3">
      <c r="A113" t="s">
        <v>203</v>
      </c>
      <c r="B113">
        <v>31</v>
      </c>
      <c r="C113" t="str">
        <f t="shared" si="1"/>
        <v>Old Adults</v>
      </c>
      <c r="D113" t="s">
        <v>53</v>
      </c>
      <c r="E113">
        <v>5.5</v>
      </c>
      <c r="G113" t="s">
        <v>39</v>
      </c>
      <c r="H113" t="s">
        <v>93</v>
      </c>
      <c r="I113" t="s">
        <v>31</v>
      </c>
      <c r="J113">
        <v>6.8</v>
      </c>
      <c r="L113" t="s">
        <v>41</v>
      </c>
      <c r="M113" t="s">
        <v>42</v>
      </c>
      <c r="N113" t="s">
        <v>43</v>
      </c>
      <c r="P113">
        <v>8</v>
      </c>
      <c r="Q113" t="s">
        <v>66</v>
      </c>
      <c r="R113" t="s">
        <v>36</v>
      </c>
      <c r="S113" t="b">
        <v>0</v>
      </c>
      <c r="T113" t="b">
        <v>1</v>
      </c>
      <c r="U113" t="b">
        <v>0</v>
      </c>
      <c r="V113" t="b">
        <v>1</v>
      </c>
      <c r="W113" t="b">
        <v>1</v>
      </c>
      <c r="X113">
        <v>3.3</v>
      </c>
      <c r="Y113">
        <v>6.4</v>
      </c>
      <c r="Z113">
        <v>4</v>
      </c>
      <c r="AA113">
        <v>10.199999999999999</v>
      </c>
      <c r="AB113" s="3">
        <v>126.15</v>
      </c>
      <c r="AC113" s="3"/>
      <c r="AD113">
        <v>20</v>
      </c>
      <c r="AE113" t="s">
        <v>64</v>
      </c>
      <c r="AF113" s="4"/>
    </row>
    <row r="114" spans="1:32" x14ac:dyDescent="0.3">
      <c r="A114" t="s">
        <v>204</v>
      </c>
      <c r="B114">
        <v>16</v>
      </c>
      <c r="C114" t="str">
        <f t="shared" si="1"/>
        <v>Teenager</v>
      </c>
      <c r="D114" t="s">
        <v>28</v>
      </c>
      <c r="E114">
        <v>3.6</v>
      </c>
      <c r="G114" t="s">
        <v>82</v>
      </c>
      <c r="H114" t="s">
        <v>134</v>
      </c>
      <c r="I114" t="s">
        <v>50</v>
      </c>
      <c r="J114">
        <v>6.9</v>
      </c>
      <c r="L114" t="s">
        <v>41</v>
      </c>
      <c r="M114" t="s">
        <v>45</v>
      </c>
      <c r="N114" t="s">
        <v>34</v>
      </c>
      <c r="O114">
        <v>3.82</v>
      </c>
      <c r="Q114" t="s">
        <v>44</v>
      </c>
      <c r="R114" t="s">
        <v>45</v>
      </c>
      <c r="S114" t="b">
        <v>0</v>
      </c>
      <c r="T114" t="b">
        <v>0</v>
      </c>
      <c r="U114" t="b">
        <v>0</v>
      </c>
      <c r="V114" t="b">
        <v>0</v>
      </c>
      <c r="W114" t="b">
        <v>0</v>
      </c>
      <c r="X114">
        <v>0.2</v>
      </c>
      <c r="Y114">
        <v>9.9</v>
      </c>
      <c r="Z114">
        <v>1</v>
      </c>
      <c r="AA114">
        <v>9.6</v>
      </c>
      <c r="AB114" s="3">
        <v>40.4</v>
      </c>
      <c r="AC114" s="3"/>
      <c r="AD114">
        <v>5</v>
      </c>
      <c r="AE114" t="s">
        <v>46</v>
      </c>
      <c r="AF114" s="4"/>
    </row>
    <row r="115" spans="1:32" x14ac:dyDescent="0.3">
      <c r="A115" t="s">
        <v>205</v>
      </c>
      <c r="B115">
        <v>20</v>
      </c>
      <c r="C115" t="str">
        <f t="shared" si="1"/>
        <v>Young Adults</v>
      </c>
      <c r="D115" t="s">
        <v>53</v>
      </c>
      <c r="E115">
        <v>9.1999999999999993</v>
      </c>
      <c r="G115" t="s">
        <v>29</v>
      </c>
      <c r="H115" t="s">
        <v>73</v>
      </c>
      <c r="I115" t="s">
        <v>50</v>
      </c>
      <c r="J115">
        <v>5.8</v>
      </c>
      <c r="L115" t="s">
        <v>32</v>
      </c>
      <c r="M115" t="s">
        <v>45</v>
      </c>
      <c r="N115" t="s">
        <v>34</v>
      </c>
      <c r="O115">
        <v>2.98</v>
      </c>
      <c r="P115">
        <v>6</v>
      </c>
      <c r="Q115" t="s">
        <v>56</v>
      </c>
      <c r="R115" t="s">
        <v>57</v>
      </c>
      <c r="S115" t="b">
        <v>1</v>
      </c>
      <c r="T115" t="b">
        <v>0</v>
      </c>
      <c r="U115" t="b">
        <v>0</v>
      </c>
      <c r="V115" t="b">
        <v>1</v>
      </c>
      <c r="W115" t="b">
        <v>1</v>
      </c>
      <c r="X115">
        <v>0.3</v>
      </c>
      <c r="Y115">
        <v>7</v>
      </c>
      <c r="Z115">
        <v>6</v>
      </c>
      <c r="AA115">
        <v>3.6</v>
      </c>
      <c r="AB115" s="3">
        <v>177.45</v>
      </c>
      <c r="AC115" s="3"/>
      <c r="AD115">
        <v>5</v>
      </c>
      <c r="AE115" t="s">
        <v>58</v>
      </c>
      <c r="AF115" s="4"/>
    </row>
    <row r="116" spans="1:32" x14ac:dyDescent="0.3">
      <c r="A116" t="s">
        <v>206</v>
      </c>
      <c r="B116">
        <v>23</v>
      </c>
      <c r="C116" t="str">
        <f t="shared" si="1"/>
        <v>Young Adults</v>
      </c>
      <c r="D116" t="s">
        <v>28</v>
      </c>
      <c r="E116">
        <v>3.2</v>
      </c>
      <c r="G116" t="s">
        <v>29</v>
      </c>
      <c r="H116" t="s">
        <v>73</v>
      </c>
      <c r="I116" t="s">
        <v>71</v>
      </c>
      <c r="J116">
        <v>8.4</v>
      </c>
      <c r="L116" t="s">
        <v>41</v>
      </c>
      <c r="M116" t="s">
        <v>42</v>
      </c>
      <c r="N116" t="s">
        <v>84</v>
      </c>
      <c r="P116">
        <v>9</v>
      </c>
      <c r="Q116" t="s">
        <v>66</v>
      </c>
      <c r="R116" t="s">
        <v>57</v>
      </c>
      <c r="S116" t="b">
        <v>0</v>
      </c>
      <c r="T116" t="b">
        <v>0</v>
      </c>
      <c r="U116" t="b">
        <v>0</v>
      </c>
      <c r="V116" t="b">
        <v>0</v>
      </c>
      <c r="W116" t="b">
        <v>0</v>
      </c>
      <c r="X116">
        <v>0.3</v>
      </c>
      <c r="Y116">
        <v>10</v>
      </c>
      <c r="Z116">
        <v>3</v>
      </c>
      <c r="AA116">
        <v>11.7</v>
      </c>
      <c r="AB116" s="3">
        <v>49.01</v>
      </c>
      <c r="AC116" s="3"/>
      <c r="AD116">
        <v>5</v>
      </c>
      <c r="AE116" t="s">
        <v>46</v>
      </c>
      <c r="AF116" s="4"/>
    </row>
    <row r="117" spans="1:32" x14ac:dyDescent="0.3">
      <c r="A117" t="s">
        <v>207</v>
      </c>
      <c r="B117">
        <v>22</v>
      </c>
      <c r="C117" t="str">
        <f t="shared" si="1"/>
        <v>Young Adults</v>
      </c>
      <c r="D117" t="s">
        <v>53</v>
      </c>
      <c r="E117">
        <v>8.4</v>
      </c>
      <c r="G117" t="s">
        <v>76</v>
      </c>
      <c r="H117" t="s">
        <v>110</v>
      </c>
      <c r="I117" t="s">
        <v>86</v>
      </c>
      <c r="J117">
        <v>4.2</v>
      </c>
      <c r="L117" t="s">
        <v>32</v>
      </c>
      <c r="M117" t="s">
        <v>74</v>
      </c>
      <c r="N117" t="s">
        <v>129</v>
      </c>
      <c r="O117">
        <v>2.57</v>
      </c>
      <c r="P117">
        <v>3</v>
      </c>
      <c r="Q117" t="s">
        <v>44</v>
      </c>
      <c r="R117" t="s">
        <v>36</v>
      </c>
      <c r="S117" t="b">
        <v>0</v>
      </c>
      <c r="T117" t="b">
        <v>1</v>
      </c>
      <c r="U117" t="b">
        <v>1</v>
      </c>
      <c r="V117" t="b">
        <v>1</v>
      </c>
      <c r="W117" t="b">
        <v>0</v>
      </c>
      <c r="X117">
        <v>1.3</v>
      </c>
      <c r="Y117">
        <v>5.6</v>
      </c>
      <c r="Z117">
        <v>6</v>
      </c>
      <c r="AA117">
        <v>3.4</v>
      </c>
      <c r="AB117" s="3">
        <v>82.28</v>
      </c>
      <c r="AC117" s="3"/>
      <c r="AD117">
        <v>8</v>
      </c>
      <c r="AE117" t="s">
        <v>58</v>
      </c>
      <c r="AF117" s="4"/>
    </row>
    <row r="118" spans="1:32" x14ac:dyDescent="0.3">
      <c r="A118" t="s">
        <v>208</v>
      </c>
      <c r="B118">
        <v>15</v>
      </c>
      <c r="C118" t="str">
        <f t="shared" si="1"/>
        <v>Teenager</v>
      </c>
      <c r="D118" t="s">
        <v>28</v>
      </c>
      <c r="E118">
        <v>13</v>
      </c>
      <c r="G118" t="s">
        <v>60</v>
      </c>
      <c r="H118" t="s">
        <v>61</v>
      </c>
      <c r="I118" t="s">
        <v>50</v>
      </c>
      <c r="J118">
        <v>5.4</v>
      </c>
      <c r="L118" t="s">
        <v>32</v>
      </c>
      <c r="M118" t="s">
        <v>33</v>
      </c>
      <c r="N118" t="s">
        <v>34</v>
      </c>
      <c r="O118">
        <v>2.6</v>
      </c>
      <c r="Q118" t="s">
        <v>105</v>
      </c>
      <c r="R118" t="s">
        <v>33</v>
      </c>
      <c r="S118" t="b">
        <v>0</v>
      </c>
      <c r="T118" t="b">
        <v>1</v>
      </c>
      <c r="U118" t="b">
        <v>1</v>
      </c>
      <c r="V118" t="b">
        <v>0</v>
      </c>
      <c r="W118" t="b">
        <v>1</v>
      </c>
      <c r="X118">
        <v>3.4</v>
      </c>
      <c r="Y118">
        <v>4</v>
      </c>
      <c r="Z118">
        <v>9</v>
      </c>
      <c r="AA118">
        <v>0.9</v>
      </c>
      <c r="AB118" s="3">
        <v>224.87</v>
      </c>
      <c r="AC118" s="3"/>
      <c r="AD118">
        <v>3</v>
      </c>
      <c r="AE118" t="s">
        <v>37</v>
      </c>
      <c r="AF118" s="4"/>
    </row>
    <row r="119" spans="1:32" x14ac:dyDescent="0.3">
      <c r="A119" t="s">
        <v>209</v>
      </c>
      <c r="B119">
        <v>15</v>
      </c>
      <c r="C119" t="str">
        <f t="shared" si="1"/>
        <v>Teenager</v>
      </c>
      <c r="D119" t="s">
        <v>28</v>
      </c>
      <c r="E119">
        <v>5.7</v>
      </c>
      <c r="G119" t="s">
        <v>54</v>
      </c>
      <c r="H119" t="s">
        <v>55</v>
      </c>
      <c r="I119" t="s">
        <v>71</v>
      </c>
      <c r="J119">
        <v>5.5</v>
      </c>
      <c r="L119" t="s">
        <v>51</v>
      </c>
      <c r="M119" t="s">
        <v>36</v>
      </c>
      <c r="N119" t="s">
        <v>34</v>
      </c>
      <c r="O119">
        <v>1.32</v>
      </c>
      <c r="Q119" t="s">
        <v>35</v>
      </c>
      <c r="R119" t="s">
        <v>57</v>
      </c>
      <c r="S119" t="b">
        <v>0</v>
      </c>
      <c r="T119" t="b">
        <v>1</v>
      </c>
      <c r="U119" t="b">
        <v>0</v>
      </c>
      <c r="V119" t="b">
        <v>1</v>
      </c>
      <c r="W119" t="b">
        <v>1</v>
      </c>
      <c r="X119">
        <v>3</v>
      </c>
      <c r="Y119">
        <v>7.7</v>
      </c>
      <c r="Z119">
        <v>4</v>
      </c>
      <c r="AA119">
        <v>9.1</v>
      </c>
      <c r="AB119" s="3">
        <v>61.16</v>
      </c>
      <c r="AC119" s="3"/>
      <c r="AD119">
        <v>1</v>
      </c>
      <c r="AE119" t="s">
        <v>64</v>
      </c>
      <c r="AF119" s="4"/>
    </row>
    <row r="120" spans="1:32" x14ac:dyDescent="0.3">
      <c r="A120" t="s">
        <v>210</v>
      </c>
      <c r="B120">
        <v>16</v>
      </c>
      <c r="C120" t="str">
        <f t="shared" si="1"/>
        <v>Teenager</v>
      </c>
      <c r="D120" t="s">
        <v>152</v>
      </c>
      <c r="E120">
        <v>0.9</v>
      </c>
      <c r="G120" t="s">
        <v>76</v>
      </c>
      <c r="H120" t="s">
        <v>110</v>
      </c>
      <c r="I120" t="s">
        <v>86</v>
      </c>
      <c r="J120">
        <v>8</v>
      </c>
      <c r="L120" t="s">
        <v>41</v>
      </c>
      <c r="M120" t="s">
        <v>33</v>
      </c>
      <c r="N120" t="s">
        <v>43</v>
      </c>
      <c r="O120">
        <v>1.75</v>
      </c>
      <c r="Q120" t="s">
        <v>56</v>
      </c>
      <c r="R120" t="s">
        <v>33</v>
      </c>
      <c r="S120" t="b">
        <v>0</v>
      </c>
      <c r="T120" t="b">
        <v>0</v>
      </c>
      <c r="U120" t="b">
        <v>0</v>
      </c>
      <c r="V120" t="b">
        <v>0</v>
      </c>
      <c r="W120" t="b">
        <v>0</v>
      </c>
      <c r="X120">
        <v>0.4</v>
      </c>
      <c r="Y120">
        <v>10.8</v>
      </c>
      <c r="Z120">
        <v>1</v>
      </c>
      <c r="AA120">
        <v>15.2</v>
      </c>
      <c r="AB120" s="3">
        <v>35.369999999999997</v>
      </c>
      <c r="AC120" s="3"/>
      <c r="AD120">
        <v>1</v>
      </c>
      <c r="AE120" t="s">
        <v>46</v>
      </c>
      <c r="AF120" s="4"/>
    </row>
    <row r="121" spans="1:32" x14ac:dyDescent="0.3">
      <c r="A121" t="s">
        <v>211</v>
      </c>
      <c r="B121">
        <v>19</v>
      </c>
      <c r="C121" t="str">
        <f t="shared" si="1"/>
        <v>Teenager</v>
      </c>
      <c r="D121" t="s">
        <v>28</v>
      </c>
      <c r="E121">
        <v>4.8</v>
      </c>
      <c r="G121" t="s">
        <v>29</v>
      </c>
      <c r="H121" t="s">
        <v>30</v>
      </c>
      <c r="I121" t="s">
        <v>71</v>
      </c>
      <c r="J121">
        <v>6.3</v>
      </c>
      <c r="L121" t="s">
        <v>51</v>
      </c>
      <c r="M121" t="s">
        <v>33</v>
      </c>
      <c r="N121" t="s">
        <v>62</v>
      </c>
      <c r="O121">
        <v>2.86</v>
      </c>
      <c r="P121">
        <v>6</v>
      </c>
      <c r="Q121" t="s">
        <v>66</v>
      </c>
      <c r="R121" t="s">
        <v>45</v>
      </c>
      <c r="S121" t="b">
        <v>0</v>
      </c>
      <c r="T121" t="b">
        <v>0</v>
      </c>
      <c r="U121" t="b">
        <v>0</v>
      </c>
      <c r="V121" t="b">
        <v>1</v>
      </c>
      <c r="W121" t="b">
        <v>0</v>
      </c>
      <c r="X121">
        <v>3</v>
      </c>
      <c r="Y121">
        <v>6.9</v>
      </c>
      <c r="Z121">
        <v>4</v>
      </c>
      <c r="AA121">
        <v>9.9</v>
      </c>
      <c r="AB121" s="3">
        <v>29.59</v>
      </c>
      <c r="AC121" s="3"/>
      <c r="AD121">
        <v>1</v>
      </c>
      <c r="AE121" t="s">
        <v>46</v>
      </c>
      <c r="AF121" s="4"/>
    </row>
    <row r="122" spans="1:32" x14ac:dyDescent="0.3">
      <c r="A122" t="s">
        <v>212</v>
      </c>
      <c r="B122">
        <v>23</v>
      </c>
      <c r="C122" t="str">
        <f t="shared" si="1"/>
        <v>Young Adults</v>
      </c>
      <c r="D122" t="s">
        <v>28</v>
      </c>
      <c r="E122">
        <v>11.8</v>
      </c>
      <c r="G122" t="s">
        <v>60</v>
      </c>
      <c r="H122" t="s">
        <v>200</v>
      </c>
      <c r="I122" t="s">
        <v>31</v>
      </c>
      <c r="J122">
        <v>3.8</v>
      </c>
      <c r="L122" t="s">
        <v>32</v>
      </c>
      <c r="M122" t="s">
        <v>45</v>
      </c>
      <c r="N122" t="s">
        <v>51</v>
      </c>
      <c r="P122">
        <v>6</v>
      </c>
      <c r="Q122" t="s">
        <v>69</v>
      </c>
      <c r="R122" t="s">
        <v>33</v>
      </c>
      <c r="S122" t="b">
        <v>1</v>
      </c>
      <c r="T122" t="b">
        <v>0</v>
      </c>
      <c r="U122" t="b">
        <v>0</v>
      </c>
      <c r="V122" t="b">
        <v>1</v>
      </c>
      <c r="W122" t="b">
        <v>1</v>
      </c>
      <c r="X122">
        <v>6.1</v>
      </c>
      <c r="Y122">
        <v>5.4</v>
      </c>
      <c r="Z122">
        <v>8</v>
      </c>
      <c r="AA122">
        <v>2.5</v>
      </c>
      <c r="AB122" s="3">
        <v>391.88</v>
      </c>
      <c r="AC122" s="3"/>
      <c r="AD122">
        <v>1</v>
      </c>
      <c r="AE122" t="s">
        <v>58</v>
      </c>
      <c r="AF122" s="4"/>
    </row>
    <row r="123" spans="1:32" x14ac:dyDescent="0.3">
      <c r="A123" t="s">
        <v>213</v>
      </c>
      <c r="B123">
        <v>17</v>
      </c>
      <c r="C123" t="str">
        <f t="shared" si="1"/>
        <v>Teenager</v>
      </c>
      <c r="D123" t="s">
        <v>28</v>
      </c>
      <c r="E123">
        <v>6</v>
      </c>
      <c r="G123" t="s">
        <v>48</v>
      </c>
      <c r="H123" t="s">
        <v>214</v>
      </c>
      <c r="I123" t="s">
        <v>86</v>
      </c>
      <c r="J123">
        <v>6.7</v>
      </c>
      <c r="L123" t="s">
        <v>51</v>
      </c>
      <c r="M123" t="s">
        <v>33</v>
      </c>
      <c r="N123" t="s">
        <v>84</v>
      </c>
      <c r="O123">
        <v>3.71</v>
      </c>
      <c r="Q123" t="s">
        <v>63</v>
      </c>
      <c r="R123" t="s">
        <v>45</v>
      </c>
      <c r="S123" t="b">
        <v>0</v>
      </c>
      <c r="T123" t="b">
        <v>1</v>
      </c>
      <c r="U123" t="b">
        <v>0</v>
      </c>
      <c r="V123" t="b">
        <v>1</v>
      </c>
      <c r="W123" t="b">
        <v>1</v>
      </c>
      <c r="X123">
        <v>2.2000000000000002</v>
      </c>
      <c r="Y123">
        <v>7.6</v>
      </c>
      <c r="Z123">
        <v>5</v>
      </c>
      <c r="AA123">
        <v>10.4</v>
      </c>
      <c r="AB123" s="3">
        <v>147.47</v>
      </c>
      <c r="AC123" s="3"/>
      <c r="AD123">
        <v>7</v>
      </c>
      <c r="AE123" t="s">
        <v>64</v>
      </c>
      <c r="AF123" s="4"/>
    </row>
    <row r="124" spans="1:32" x14ac:dyDescent="0.3">
      <c r="A124" t="s">
        <v>215</v>
      </c>
      <c r="B124">
        <v>18</v>
      </c>
      <c r="C124" t="str">
        <f t="shared" si="1"/>
        <v>Teenager</v>
      </c>
      <c r="D124" t="s">
        <v>28</v>
      </c>
      <c r="E124">
        <v>2.6</v>
      </c>
      <c r="G124" t="s">
        <v>39</v>
      </c>
      <c r="H124" t="s">
        <v>120</v>
      </c>
      <c r="I124" t="s">
        <v>50</v>
      </c>
      <c r="J124">
        <v>7.3</v>
      </c>
      <c r="L124" t="s">
        <v>41</v>
      </c>
      <c r="M124" t="s">
        <v>45</v>
      </c>
      <c r="N124" t="s">
        <v>43</v>
      </c>
      <c r="O124">
        <v>1.1000000000000001</v>
      </c>
      <c r="Q124" t="s">
        <v>66</v>
      </c>
      <c r="R124" t="s">
        <v>36</v>
      </c>
      <c r="S124" t="b">
        <v>0</v>
      </c>
      <c r="T124" t="b">
        <v>0</v>
      </c>
      <c r="U124" t="b">
        <v>0</v>
      </c>
      <c r="V124" t="b">
        <v>0</v>
      </c>
      <c r="W124" t="b">
        <v>0</v>
      </c>
      <c r="X124">
        <v>0.9</v>
      </c>
      <c r="Y124">
        <v>7.8</v>
      </c>
      <c r="Z124">
        <v>2</v>
      </c>
      <c r="AA124">
        <v>12.6</v>
      </c>
      <c r="AB124" s="3">
        <v>37.299999999999997</v>
      </c>
      <c r="AC124" s="3"/>
      <c r="AD124">
        <v>1</v>
      </c>
      <c r="AE124" t="s">
        <v>46</v>
      </c>
      <c r="AF124" s="4"/>
    </row>
    <row r="125" spans="1:32" x14ac:dyDescent="0.3">
      <c r="A125" t="s">
        <v>216</v>
      </c>
      <c r="B125">
        <v>14</v>
      </c>
      <c r="C125" t="str">
        <f t="shared" si="1"/>
        <v>Teenager</v>
      </c>
      <c r="D125" t="s">
        <v>53</v>
      </c>
      <c r="E125">
        <v>7.7</v>
      </c>
      <c r="G125" t="s">
        <v>54</v>
      </c>
      <c r="H125" t="s">
        <v>55</v>
      </c>
      <c r="I125" t="s">
        <v>50</v>
      </c>
      <c r="J125">
        <v>5.6</v>
      </c>
      <c r="L125" t="s">
        <v>51</v>
      </c>
      <c r="M125" t="s">
        <v>36</v>
      </c>
      <c r="N125" t="s">
        <v>51</v>
      </c>
      <c r="O125">
        <v>1.96</v>
      </c>
      <c r="Q125" t="s">
        <v>80</v>
      </c>
      <c r="R125" t="s">
        <v>36</v>
      </c>
      <c r="S125" t="b">
        <v>1</v>
      </c>
      <c r="T125" t="b">
        <v>1</v>
      </c>
      <c r="U125" t="b">
        <v>0</v>
      </c>
      <c r="V125" t="b">
        <v>1</v>
      </c>
      <c r="W125" t="b">
        <v>1</v>
      </c>
      <c r="X125">
        <v>3.8</v>
      </c>
      <c r="Y125">
        <v>6.5</v>
      </c>
      <c r="Z125">
        <v>5</v>
      </c>
      <c r="AA125">
        <v>8.1</v>
      </c>
      <c r="AB125" s="3">
        <v>25.58</v>
      </c>
      <c r="AC125" s="3"/>
      <c r="AD125">
        <v>2</v>
      </c>
      <c r="AE125" t="s">
        <v>58</v>
      </c>
      <c r="AF125" s="4"/>
    </row>
    <row r="126" spans="1:32" x14ac:dyDescent="0.3">
      <c r="A126" t="s">
        <v>217</v>
      </c>
      <c r="B126">
        <v>20</v>
      </c>
      <c r="C126" t="str">
        <f t="shared" si="1"/>
        <v>Young Adults</v>
      </c>
      <c r="D126" t="s">
        <v>53</v>
      </c>
      <c r="E126">
        <v>10</v>
      </c>
      <c r="G126" t="s">
        <v>76</v>
      </c>
      <c r="H126" t="s">
        <v>77</v>
      </c>
      <c r="I126" t="s">
        <v>71</v>
      </c>
      <c r="J126">
        <v>5.5</v>
      </c>
      <c r="L126" t="s">
        <v>43</v>
      </c>
      <c r="M126" t="s">
        <v>74</v>
      </c>
      <c r="N126" t="s">
        <v>51</v>
      </c>
      <c r="O126">
        <v>2.19</v>
      </c>
      <c r="P126">
        <v>4</v>
      </c>
      <c r="Q126" t="s">
        <v>56</v>
      </c>
      <c r="R126" t="s">
        <v>33</v>
      </c>
      <c r="S126" t="b">
        <v>1</v>
      </c>
      <c r="T126" t="b">
        <v>0</v>
      </c>
      <c r="U126" t="b">
        <v>1</v>
      </c>
      <c r="V126" t="b">
        <v>0</v>
      </c>
      <c r="W126" t="b">
        <v>0</v>
      </c>
      <c r="X126">
        <v>4.4000000000000004</v>
      </c>
      <c r="Y126">
        <v>3.6</v>
      </c>
      <c r="Z126">
        <v>6</v>
      </c>
      <c r="AA126">
        <v>2</v>
      </c>
      <c r="AB126" s="3">
        <v>358.72</v>
      </c>
      <c r="AC126" s="3"/>
      <c r="AD126">
        <v>5</v>
      </c>
      <c r="AE126" t="s">
        <v>37</v>
      </c>
      <c r="AF126" s="4"/>
    </row>
    <row r="127" spans="1:32" x14ac:dyDescent="0.3">
      <c r="A127" t="s">
        <v>218</v>
      </c>
      <c r="B127">
        <v>19</v>
      </c>
      <c r="C127" t="str">
        <f t="shared" si="1"/>
        <v>Teenager</v>
      </c>
      <c r="D127" t="s">
        <v>28</v>
      </c>
      <c r="E127">
        <v>5</v>
      </c>
      <c r="G127" t="s">
        <v>29</v>
      </c>
      <c r="H127" t="s">
        <v>30</v>
      </c>
      <c r="I127" t="s">
        <v>50</v>
      </c>
      <c r="J127">
        <v>6.7</v>
      </c>
      <c r="L127" t="s">
        <v>51</v>
      </c>
      <c r="M127" t="s">
        <v>74</v>
      </c>
      <c r="N127" t="s">
        <v>43</v>
      </c>
      <c r="O127">
        <v>1.1100000000000001</v>
      </c>
      <c r="P127">
        <v>10</v>
      </c>
      <c r="Q127" t="s">
        <v>66</v>
      </c>
      <c r="R127" t="s">
        <v>33</v>
      </c>
      <c r="S127" t="b">
        <v>0</v>
      </c>
      <c r="T127" t="b">
        <v>0</v>
      </c>
      <c r="U127" t="b">
        <v>0</v>
      </c>
      <c r="V127" t="b">
        <v>1</v>
      </c>
      <c r="W127" t="b">
        <v>0</v>
      </c>
      <c r="X127">
        <v>1.5</v>
      </c>
      <c r="Y127">
        <v>8.9</v>
      </c>
      <c r="Z127">
        <v>3</v>
      </c>
      <c r="AA127">
        <v>11.8</v>
      </c>
      <c r="AB127" s="3">
        <v>143.86000000000001</v>
      </c>
      <c r="AC127" s="3"/>
      <c r="AD127">
        <v>9</v>
      </c>
      <c r="AE127" t="s">
        <v>46</v>
      </c>
      <c r="AF127" s="4"/>
    </row>
    <row r="128" spans="1:32" x14ac:dyDescent="0.3">
      <c r="A128" t="s">
        <v>219</v>
      </c>
      <c r="B128">
        <v>22</v>
      </c>
      <c r="C128" t="str">
        <f t="shared" si="1"/>
        <v>Young Adults</v>
      </c>
      <c r="D128" t="s">
        <v>28</v>
      </c>
      <c r="E128">
        <v>5.6</v>
      </c>
      <c r="G128" t="s">
        <v>60</v>
      </c>
      <c r="H128" t="s">
        <v>96</v>
      </c>
      <c r="I128" t="s">
        <v>71</v>
      </c>
      <c r="J128">
        <v>5.0999999999999996</v>
      </c>
      <c r="L128" t="s">
        <v>51</v>
      </c>
      <c r="M128" t="s">
        <v>42</v>
      </c>
      <c r="N128" t="s">
        <v>34</v>
      </c>
      <c r="O128">
        <v>1.69</v>
      </c>
      <c r="P128">
        <v>4</v>
      </c>
      <c r="Q128" t="s">
        <v>35</v>
      </c>
      <c r="R128" t="s">
        <v>57</v>
      </c>
      <c r="S128" t="b">
        <v>0</v>
      </c>
      <c r="T128" t="b">
        <v>0</v>
      </c>
      <c r="U128" t="b">
        <v>0</v>
      </c>
      <c r="V128" t="b">
        <v>0</v>
      </c>
      <c r="W128" t="b">
        <v>0</v>
      </c>
      <c r="X128">
        <v>4.4000000000000004</v>
      </c>
      <c r="Y128">
        <v>8.3000000000000007</v>
      </c>
      <c r="Z128">
        <v>5</v>
      </c>
      <c r="AA128">
        <v>5.7</v>
      </c>
      <c r="AB128" s="3">
        <v>44.63</v>
      </c>
      <c r="AC128" s="3"/>
      <c r="AD128">
        <v>1</v>
      </c>
      <c r="AE128" t="s">
        <v>46</v>
      </c>
      <c r="AF128" s="4"/>
    </row>
    <row r="129" spans="1:32" x14ac:dyDescent="0.3">
      <c r="A129" t="s">
        <v>220</v>
      </c>
      <c r="B129">
        <v>19</v>
      </c>
      <c r="C129" t="str">
        <f t="shared" si="1"/>
        <v>Teenager</v>
      </c>
      <c r="D129" t="s">
        <v>53</v>
      </c>
      <c r="E129">
        <v>4.3</v>
      </c>
      <c r="G129" t="s">
        <v>76</v>
      </c>
      <c r="H129" t="s">
        <v>110</v>
      </c>
      <c r="I129" t="s">
        <v>71</v>
      </c>
      <c r="J129">
        <v>6.7</v>
      </c>
      <c r="L129" t="s">
        <v>32</v>
      </c>
      <c r="M129" t="s">
        <v>33</v>
      </c>
      <c r="N129" t="s">
        <v>62</v>
      </c>
      <c r="O129">
        <v>3.31</v>
      </c>
      <c r="P129">
        <v>8</v>
      </c>
      <c r="Q129" t="s">
        <v>66</v>
      </c>
      <c r="R129" t="s">
        <v>36</v>
      </c>
      <c r="S129" t="b">
        <v>0</v>
      </c>
      <c r="T129" t="b">
        <v>0</v>
      </c>
      <c r="U129" t="b">
        <v>0</v>
      </c>
      <c r="V129" t="b">
        <v>0</v>
      </c>
      <c r="W129" t="b">
        <v>0</v>
      </c>
      <c r="X129">
        <v>1.5</v>
      </c>
      <c r="Y129">
        <v>9.6</v>
      </c>
      <c r="Z129">
        <v>2</v>
      </c>
      <c r="AA129">
        <v>13</v>
      </c>
      <c r="AB129" s="3">
        <v>48</v>
      </c>
      <c r="AC129" s="3"/>
      <c r="AD129">
        <v>6</v>
      </c>
      <c r="AE129" t="s">
        <v>46</v>
      </c>
      <c r="AF129" s="4"/>
    </row>
    <row r="130" spans="1:32" x14ac:dyDescent="0.3">
      <c r="A130" t="s">
        <v>221</v>
      </c>
      <c r="B130">
        <v>35</v>
      </c>
      <c r="C130" t="str">
        <f t="shared" si="1"/>
        <v>Old Adults</v>
      </c>
      <c r="D130" t="s">
        <v>28</v>
      </c>
      <c r="E130">
        <v>3.1</v>
      </c>
      <c r="G130" t="s">
        <v>39</v>
      </c>
      <c r="H130" t="s">
        <v>93</v>
      </c>
      <c r="I130" t="s">
        <v>71</v>
      </c>
      <c r="J130">
        <v>7.6</v>
      </c>
      <c r="L130" t="s">
        <v>43</v>
      </c>
      <c r="M130" t="s">
        <v>74</v>
      </c>
      <c r="N130" t="s">
        <v>34</v>
      </c>
      <c r="P130">
        <v>9</v>
      </c>
      <c r="Q130" t="s">
        <v>121</v>
      </c>
      <c r="R130" t="s">
        <v>57</v>
      </c>
      <c r="S130" t="b">
        <v>0</v>
      </c>
      <c r="T130" t="b">
        <v>0</v>
      </c>
      <c r="U130" t="b">
        <v>0</v>
      </c>
      <c r="V130" t="b">
        <v>0</v>
      </c>
      <c r="W130" t="b">
        <v>0</v>
      </c>
      <c r="X130">
        <v>1.8</v>
      </c>
      <c r="Y130">
        <v>7.8</v>
      </c>
      <c r="Z130">
        <v>3</v>
      </c>
      <c r="AA130">
        <v>8.6999999999999993</v>
      </c>
      <c r="AB130" s="3">
        <v>27.92</v>
      </c>
      <c r="AC130" s="3"/>
      <c r="AD130">
        <v>15</v>
      </c>
      <c r="AE130" t="s">
        <v>46</v>
      </c>
      <c r="AF130" s="4"/>
    </row>
    <row r="131" spans="1:32" x14ac:dyDescent="0.3">
      <c r="A131" t="s">
        <v>222</v>
      </c>
      <c r="B131">
        <v>18</v>
      </c>
      <c r="C131" t="str">
        <f t="shared" ref="C131:C194" si="2">IF(B131&lt;=19,"Teenager",IF(B131&lt;=30,"Young Adults",IF(B131&gt;30,"Old Adults")))</f>
        <v>Teenager</v>
      </c>
      <c r="D131" t="s">
        <v>53</v>
      </c>
      <c r="E131">
        <v>3.6</v>
      </c>
      <c r="G131" t="s">
        <v>29</v>
      </c>
      <c r="H131" t="s">
        <v>30</v>
      </c>
      <c r="I131" t="s">
        <v>71</v>
      </c>
      <c r="J131">
        <v>6.3</v>
      </c>
      <c r="L131" t="s">
        <v>41</v>
      </c>
      <c r="M131" t="s">
        <v>36</v>
      </c>
      <c r="N131" t="s">
        <v>34</v>
      </c>
      <c r="O131">
        <v>1.74</v>
      </c>
      <c r="Q131" t="s">
        <v>105</v>
      </c>
      <c r="R131" t="s">
        <v>45</v>
      </c>
      <c r="S131" t="b">
        <v>0</v>
      </c>
      <c r="T131" t="b">
        <v>0</v>
      </c>
      <c r="U131" t="b">
        <v>0</v>
      </c>
      <c r="V131" t="b">
        <v>0</v>
      </c>
      <c r="W131" t="b">
        <v>0</v>
      </c>
      <c r="X131">
        <v>0.7</v>
      </c>
      <c r="Y131">
        <v>6</v>
      </c>
      <c r="Z131">
        <v>2</v>
      </c>
      <c r="AA131">
        <v>8.6999999999999993</v>
      </c>
      <c r="AB131" s="3">
        <v>13.53</v>
      </c>
      <c r="AC131" s="3"/>
      <c r="AD131">
        <v>3</v>
      </c>
      <c r="AE131" t="s">
        <v>46</v>
      </c>
      <c r="AF131" s="4"/>
    </row>
    <row r="132" spans="1:32" x14ac:dyDescent="0.3">
      <c r="A132" t="s">
        <v>223</v>
      </c>
      <c r="B132">
        <v>20</v>
      </c>
      <c r="C132" t="str">
        <f t="shared" si="2"/>
        <v>Young Adults</v>
      </c>
      <c r="D132" t="s">
        <v>53</v>
      </c>
      <c r="E132">
        <v>6.9</v>
      </c>
      <c r="G132" t="s">
        <v>54</v>
      </c>
      <c r="H132" t="s">
        <v>98</v>
      </c>
      <c r="I132" t="s">
        <v>50</v>
      </c>
      <c r="J132">
        <v>4.9000000000000004</v>
      </c>
      <c r="L132" t="s">
        <v>43</v>
      </c>
      <c r="M132" t="s">
        <v>45</v>
      </c>
      <c r="N132" t="s">
        <v>43</v>
      </c>
      <c r="O132">
        <v>3.11</v>
      </c>
      <c r="P132">
        <v>10</v>
      </c>
      <c r="Q132" t="s">
        <v>35</v>
      </c>
      <c r="R132" t="s">
        <v>57</v>
      </c>
      <c r="S132" t="b">
        <v>0</v>
      </c>
      <c r="T132" t="b">
        <v>0</v>
      </c>
      <c r="U132" t="b">
        <v>0</v>
      </c>
      <c r="V132" t="b">
        <v>1</v>
      </c>
      <c r="W132" t="b">
        <v>1</v>
      </c>
      <c r="X132">
        <v>1</v>
      </c>
      <c r="Y132">
        <v>6.9</v>
      </c>
      <c r="Z132">
        <v>4</v>
      </c>
      <c r="AA132">
        <v>6.5</v>
      </c>
      <c r="AB132" s="3">
        <v>22.1</v>
      </c>
      <c r="AC132" s="3"/>
      <c r="AD132">
        <v>10</v>
      </c>
      <c r="AE132" t="s">
        <v>46</v>
      </c>
      <c r="AF132" s="4"/>
    </row>
    <row r="133" spans="1:32" x14ac:dyDescent="0.3">
      <c r="A133" t="s">
        <v>224</v>
      </c>
      <c r="B133">
        <v>16</v>
      </c>
      <c r="C133" t="str">
        <f t="shared" si="2"/>
        <v>Teenager</v>
      </c>
      <c r="D133" t="s">
        <v>28</v>
      </c>
      <c r="E133">
        <v>5.2</v>
      </c>
      <c r="G133" t="s">
        <v>29</v>
      </c>
      <c r="H133" t="s">
        <v>30</v>
      </c>
      <c r="I133" t="s">
        <v>31</v>
      </c>
      <c r="J133">
        <v>5.7</v>
      </c>
      <c r="L133" t="s">
        <v>41</v>
      </c>
      <c r="M133" t="s">
        <v>33</v>
      </c>
      <c r="N133" t="s">
        <v>62</v>
      </c>
      <c r="O133">
        <v>1.03</v>
      </c>
      <c r="Q133" t="s">
        <v>35</v>
      </c>
      <c r="R133" t="s">
        <v>36</v>
      </c>
      <c r="S133" t="b">
        <v>0</v>
      </c>
      <c r="T133" t="b">
        <v>0</v>
      </c>
      <c r="U133" t="b">
        <v>0</v>
      </c>
      <c r="V133" t="b">
        <v>1</v>
      </c>
      <c r="W133" t="b">
        <v>0</v>
      </c>
      <c r="X133">
        <v>0.4</v>
      </c>
      <c r="Y133">
        <v>9.1</v>
      </c>
      <c r="Z133">
        <v>2</v>
      </c>
      <c r="AA133">
        <v>6.7</v>
      </c>
      <c r="AB133" s="3">
        <v>20.36</v>
      </c>
      <c r="AC133" s="3"/>
      <c r="AD133">
        <v>4</v>
      </c>
      <c r="AE133" t="s">
        <v>46</v>
      </c>
      <c r="AF133" s="4"/>
    </row>
    <row r="134" spans="1:32" x14ac:dyDescent="0.3">
      <c r="A134" t="s">
        <v>225</v>
      </c>
      <c r="B134">
        <v>13</v>
      </c>
      <c r="C134" t="str">
        <f t="shared" si="2"/>
        <v>Teenager</v>
      </c>
      <c r="D134" t="s">
        <v>28</v>
      </c>
      <c r="E134">
        <v>4</v>
      </c>
      <c r="G134" t="s">
        <v>60</v>
      </c>
      <c r="H134" t="s">
        <v>102</v>
      </c>
      <c r="I134" t="s">
        <v>71</v>
      </c>
      <c r="J134">
        <v>5.0999999999999996</v>
      </c>
      <c r="L134" t="s">
        <v>51</v>
      </c>
      <c r="M134" t="s">
        <v>74</v>
      </c>
      <c r="N134" t="s">
        <v>62</v>
      </c>
      <c r="O134">
        <v>1.42</v>
      </c>
      <c r="Q134" t="s">
        <v>35</v>
      </c>
      <c r="R134" t="s">
        <v>57</v>
      </c>
      <c r="S134" t="b">
        <v>0</v>
      </c>
      <c r="T134" t="b">
        <v>0</v>
      </c>
      <c r="U134" t="b">
        <v>0</v>
      </c>
      <c r="V134" t="b">
        <v>0</v>
      </c>
      <c r="W134" t="b">
        <v>0</v>
      </c>
      <c r="X134">
        <v>0.4</v>
      </c>
      <c r="Y134">
        <v>6.4</v>
      </c>
      <c r="Z134">
        <v>2</v>
      </c>
      <c r="AA134">
        <v>12.1</v>
      </c>
      <c r="AB134" s="3">
        <v>27.46</v>
      </c>
      <c r="AC134" s="3"/>
      <c r="AD134">
        <v>1</v>
      </c>
      <c r="AE134" t="s">
        <v>46</v>
      </c>
      <c r="AF134" s="4"/>
    </row>
    <row r="135" spans="1:32" x14ac:dyDescent="0.3">
      <c r="A135" t="s">
        <v>226</v>
      </c>
      <c r="B135">
        <v>26</v>
      </c>
      <c r="C135" t="str">
        <f t="shared" si="2"/>
        <v>Young Adults</v>
      </c>
      <c r="D135" t="s">
        <v>28</v>
      </c>
      <c r="E135">
        <v>8.3000000000000007</v>
      </c>
      <c r="G135" t="s">
        <v>54</v>
      </c>
      <c r="H135" t="s">
        <v>89</v>
      </c>
      <c r="I135" t="s">
        <v>50</v>
      </c>
      <c r="J135">
        <v>5.4</v>
      </c>
      <c r="L135" t="s">
        <v>51</v>
      </c>
      <c r="M135" t="s">
        <v>45</v>
      </c>
      <c r="N135" t="s">
        <v>62</v>
      </c>
      <c r="P135">
        <v>4</v>
      </c>
      <c r="Q135" t="s">
        <v>56</v>
      </c>
      <c r="R135" t="s">
        <v>36</v>
      </c>
      <c r="S135" t="b">
        <v>0</v>
      </c>
      <c r="T135" t="b">
        <v>1</v>
      </c>
      <c r="U135" t="b">
        <v>1</v>
      </c>
      <c r="V135" t="b">
        <v>1</v>
      </c>
      <c r="W135" t="b">
        <v>0</v>
      </c>
      <c r="X135">
        <v>4.4000000000000004</v>
      </c>
      <c r="Y135">
        <v>7.6</v>
      </c>
      <c r="Z135">
        <v>5</v>
      </c>
      <c r="AA135">
        <v>3.5</v>
      </c>
      <c r="AB135" s="3">
        <v>49.13</v>
      </c>
      <c r="AC135" s="3"/>
      <c r="AD135">
        <v>1</v>
      </c>
      <c r="AE135" t="s">
        <v>58</v>
      </c>
      <c r="AF135" s="4"/>
    </row>
    <row r="136" spans="1:32" x14ac:dyDescent="0.3">
      <c r="A136" t="s">
        <v>227</v>
      </c>
      <c r="B136">
        <v>16</v>
      </c>
      <c r="C136" t="str">
        <f t="shared" si="2"/>
        <v>Teenager</v>
      </c>
      <c r="D136" t="s">
        <v>53</v>
      </c>
      <c r="E136">
        <v>3.6</v>
      </c>
      <c r="G136" t="s">
        <v>82</v>
      </c>
      <c r="H136" t="s">
        <v>167</v>
      </c>
      <c r="I136" t="s">
        <v>86</v>
      </c>
      <c r="J136">
        <v>5.5</v>
      </c>
      <c r="L136" t="s">
        <v>32</v>
      </c>
      <c r="M136" t="s">
        <v>74</v>
      </c>
      <c r="N136" t="s">
        <v>43</v>
      </c>
      <c r="O136">
        <v>4</v>
      </c>
      <c r="Q136" t="s">
        <v>69</v>
      </c>
      <c r="R136" t="s">
        <v>57</v>
      </c>
      <c r="S136" t="b">
        <v>0</v>
      </c>
      <c r="T136" t="b">
        <v>0</v>
      </c>
      <c r="U136" t="b">
        <v>0</v>
      </c>
      <c r="V136" t="b">
        <v>0</v>
      </c>
      <c r="W136" t="b">
        <v>0</v>
      </c>
      <c r="X136">
        <v>0.6</v>
      </c>
      <c r="Y136">
        <v>9.8000000000000007</v>
      </c>
      <c r="Z136">
        <v>3</v>
      </c>
      <c r="AA136">
        <v>10.199999999999999</v>
      </c>
      <c r="AB136" s="3">
        <v>20.78</v>
      </c>
      <c r="AC136" s="3"/>
      <c r="AD136">
        <v>4</v>
      </c>
      <c r="AE136" t="s">
        <v>46</v>
      </c>
      <c r="AF136" s="4"/>
    </row>
    <row r="137" spans="1:32" x14ac:dyDescent="0.3">
      <c r="A137" t="s">
        <v>228</v>
      </c>
      <c r="B137">
        <v>24</v>
      </c>
      <c r="C137" t="str">
        <f t="shared" si="2"/>
        <v>Young Adults</v>
      </c>
      <c r="D137" t="s">
        <v>28</v>
      </c>
      <c r="E137">
        <v>7.9</v>
      </c>
      <c r="G137" t="s">
        <v>76</v>
      </c>
      <c r="H137" t="s">
        <v>77</v>
      </c>
      <c r="I137" t="s">
        <v>71</v>
      </c>
      <c r="J137">
        <v>4.5999999999999996</v>
      </c>
      <c r="L137" t="s">
        <v>43</v>
      </c>
      <c r="M137" t="s">
        <v>45</v>
      </c>
      <c r="N137" t="s">
        <v>62</v>
      </c>
      <c r="P137">
        <v>2</v>
      </c>
      <c r="Q137" t="s">
        <v>56</v>
      </c>
      <c r="R137" t="s">
        <v>42</v>
      </c>
      <c r="S137" t="b">
        <v>1</v>
      </c>
      <c r="T137" t="b">
        <v>1</v>
      </c>
      <c r="U137" t="b">
        <v>0</v>
      </c>
      <c r="V137" t="b">
        <v>1</v>
      </c>
      <c r="W137" t="b">
        <v>1</v>
      </c>
      <c r="X137">
        <v>0.9</v>
      </c>
      <c r="Y137">
        <v>5.3</v>
      </c>
      <c r="Z137">
        <v>5</v>
      </c>
      <c r="AA137">
        <v>5</v>
      </c>
      <c r="AB137" s="3">
        <v>30.7</v>
      </c>
      <c r="AC137" s="3"/>
      <c r="AD137">
        <v>11</v>
      </c>
      <c r="AE137" t="s">
        <v>58</v>
      </c>
      <c r="AF137" s="4"/>
    </row>
    <row r="138" spans="1:32" x14ac:dyDescent="0.3">
      <c r="A138" t="s">
        <v>229</v>
      </c>
      <c r="B138">
        <v>19</v>
      </c>
      <c r="C138" t="str">
        <f t="shared" si="2"/>
        <v>Teenager</v>
      </c>
      <c r="D138" t="s">
        <v>28</v>
      </c>
      <c r="E138">
        <v>8</v>
      </c>
      <c r="G138" t="s">
        <v>54</v>
      </c>
      <c r="H138" t="s">
        <v>98</v>
      </c>
      <c r="I138" t="s">
        <v>71</v>
      </c>
      <c r="J138">
        <v>3.4</v>
      </c>
      <c r="L138" t="s">
        <v>51</v>
      </c>
      <c r="M138" t="s">
        <v>45</v>
      </c>
      <c r="N138" t="s">
        <v>34</v>
      </c>
      <c r="O138">
        <v>2.1</v>
      </c>
      <c r="P138">
        <v>4</v>
      </c>
      <c r="Q138" t="s">
        <v>80</v>
      </c>
      <c r="R138" t="s">
        <v>45</v>
      </c>
      <c r="S138" t="b">
        <v>1</v>
      </c>
      <c r="T138" t="b">
        <v>1</v>
      </c>
      <c r="U138" t="b">
        <v>1</v>
      </c>
      <c r="V138" t="b">
        <v>1</v>
      </c>
      <c r="W138" t="b">
        <v>0</v>
      </c>
      <c r="X138">
        <v>1.4</v>
      </c>
      <c r="Y138">
        <v>4.0999999999999996</v>
      </c>
      <c r="Z138">
        <v>7</v>
      </c>
      <c r="AA138">
        <v>6.4</v>
      </c>
      <c r="AB138" s="3">
        <v>104.41</v>
      </c>
      <c r="AC138" s="3"/>
      <c r="AD138">
        <v>9</v>
      </c>
      <c r="AE138" t="s">
        <v>37</v>
      </c>
      <c r="AF138" s="4"/>
    </row>
    <row r="139" spans="1:32" x14ac:dyDescent="0.3">
      <c r="A139" t="s">
        <v>230</v>
      </c>
      <c r="B139">
        <v>19</v>
      </c>
      <c r="C139" t="str">
        <f t="shared" si="2"/>
        <v>Teenager</v>
      </c>
      <c r="D139" t="s">
        <v>28</v>
      </c>
      <c r="E139">
        <v>9.3000000000000007</v>
      </c>
      <c r="G139" t="s">
        <v>29</v>
      </c>
      <c r="H139" t="s">
        <v>30</v>
      </c>
      <c r="I139" t="s">
        <v>50</v>
      </c>
      <c r="J139">
        <v>4.8</v>
      </c>
      <c r="L139" t="s">
        <v>32</v>
      </c>
      <c r="M139" t="s">
        <v>74</v>
      </c>
      <c r="N139" t="s">
        <v>34</v>
      </c>
      <c r="O139">
        <v>3.59</v>
      </c>
      <c r="P139">
        <v>2</v>
      </c>
      <c r="Q139" t="s">
        <v>69</v>
      </c>
      <c r="R139" t="s">
        <v>33</v>
      </c>
      <c r="S139" t="b">
        <v>1</v>
      </c>
      <c r="T139" t="b">
        <v>0</v>
      </c>
      <c r="U139" t="b">
        <v>1</v>
      </c>
      <c r="V139" t="b">
        <v>1</v>
      </c>
      <c r="W139" t="b">
        <v>1</v>
      </c>
      <c r="X139">
        <v>2.7</v>
      </c>
      <c r="Y139">
        <v>4</v>
      </c>
      <c r="Z139">
        <v>7</v>
      </c>
      <c r="AA139">
        <v>5.7</v>
      </c>
      <c r="AB139" s="3">
        <v>113.26</v>
      </c>
      <c r="AC139" s="3"/>
      <c r="AD139">
        <v>2</v>
      </c>
      <c r="AE139" t="s">
        <v>37</v>
      </c>
      <c r="AF139" s="4"/>
    </row>
    <row r="140" spans="1:32" x14ac:dyDescent="0.3">
      <c r="A140" t="s">
        <v>231</v>
      </c>
      <c r="B140">
        <v>20</v>
      </c>
      <c r="C140" t="str">
        <f t="shared" si="2"/>
        <v>Young Adults</v>
      </c>
      <c r="D140" t="s">
        <v>28</v>
      </c>
      <c r="E140">
        <v>10.199999999999999</v>
      </c>
      <c r="G140" t="s">
        <v>54</v>
      </c>
      <c r="H140" t="s">
        <v>89</v>
      </c>
      <c r="I140" t="s">
        <v>86</v>
      </c>
      <c r="J140">
        <v>5.0999999999999996</v>
      </c>
      <c r="L140" t="s">
        <v>51</v>
      </c>
      <c r="M140" t="s">
        <v>36</v>
      </c>
      <c r="N140" t="s">
        <v>51</v>
      </c>
      <c r="O140">
        <v>3.47</v>
      </c>
      <c r="P140">
        <v>7</v>
      </c>
      <c r="Q140" t="s">
        <v>44</v>
      </c>
      <c r="R140" t="s">
        <v>57</v>
      </c>
      <c r="S140" t="b">
        <v>0</v>
      </c>
      <c r="T140" t="b">
        <v>0</v>
      </c>
      <c r="U140" t="b">
        <v>0</v>
      </c>
      <c r="V140" t="b">
        <v>0</v>
      </c>
      <c r="W140" t="b">
        <v>1</v>
      </c>
      <c r="X140">
        <v>1.8</v>
      </c>
      <c r="Y140">
        <v>3</v>
      </c>
      <c r="Z140">
        <v>7</v>
      </c>
      <c r="AA140">
        <v>4.5</v>
      </c>
      <c r="AB140" s="3">
        <v>314.14</v>
      </c>
      <c r="AC140" s="3"/>
      <c r="AD140">
        <v>6</v>
      </c>
      <c r="AE140" t="s">
        <v>64</v>
      </c>
      <c r="AF140" s="4"/>
    </row>
    <row r="141" spans="1:32" x14ac:dyDescent="0.3">
      <c r="A141" t="s">
        <v>232</v>
      </c>
      <c r="B141">
        <v>24</v>
      </c>
      <c r="C141" t="str">
        <f t="shared" si="2"/>
        <v>Young Adults</v>
      </c>
      <c r="D141" t="s">
        <v>28</v>
      </c>
      <c r="E141">
        <v>7.2</v>
      </c>
      <c r="G141" t="s">
        <v>39</v>
      </c>
      <c r="H141" t="s">
        <v>40</v>
      </c>
      <c r="I141" t="s">
        <v>71</v>
      </c>
      <c r="J141">
        <v>4.5999999999999996</v>
      </c>
      <c r="L141" t="s">
        <v>78</v>
      </c>
      <c r="M141" t="s">
        <v>33</v>
      </c>
      <c r="N141" t="s">
        <v>51</v>
      </c>
      <c r="P141">
        <v>1</v>
      </c>
      <c r="Q141" t="s">
        <v>80</v>
      </c>
      <c r="R141" t="s">
        <v>36</v>
      </c>
      <c r="S141" t="b">
        <v>1</v>
      </c>
      <c r="T141" t="b">
        <v>1</v>
      </c>
      <c r="U141" t="b">
        <v>0</v>
      </c>
      <c r="V141" t="b">
        <v>1</v>
      </c>
      <c r="W141" t="b">
        <v>1</v>
      </c>
      <c r="X141">
        <v>3.4</v>
      </c>
      <c r="Y141">
        <v>7.5</v>
      </c>
      <c r="Z141">
        <v>5</v>
      </c>
      <c r="AA141">
        <v>6.7</v>
      </c>
      <c r="AB141" s="3">
        <v>83.77</v>
      </c>
      <c r="AC141" s="3"/>
      <c r="AD141">
        <v>5</v>
      </c>
      <c r="AE141" t="s">
        <v>58</v>
      </c>
      <c r="AF141" s="4"/>
    </row>
    <row r="142" spans="1:32" x14ac:dyDescent="0.3">
      <c r="A142" t="s">
        <v>233</v>
      </c>
      <c r="B142">
        <v>15</v>
      </c>
      <c r="C142" t="str">
        <f t="shared" si="2"/>
        <v>Teenager</v>
      </c>
      <c r="D142" t="s">
        <v>28</v>
      </c>
      <c r="E142">
        <v>7</v>
      </c>
      <c r="G142" t="s">
        <v>39</v>
      </c>
      <c r="H142" t="s">
        <v>93</v>
      </c>
      <c r="I142" t="s">
        <v>31</v>
      </c>
      <c r="J142">
        <v>4.7</v>
      </c>
      <c r="L142" t="s">
        <v>41</v>
      </c>
      <c r="M142" t="s">
        <v>36</v>
      </c>
      <c r="N142" t="s">
        <v>62</v>
      </c>
      <c r="O142">
        <v>1.91</v>
      </c>
      <c r="Q142" t="s">
        <v>35</v>
      </c>
      <c r="R142" t="s">
        <v>36</v>
      </c>
      <c r="S142" t="b">
        <v>1</v>
      </c>
      <c r="T142" t="b">
        <v>0</v>
      </c>
      <c r="U142" t="b">
        <v>0</v>
      </c>
      <c r="V142" t="b">
        <v>1</v>
      </c>
      <c r="W142" t="b">
        <v>1</v>
      </c>
      <c r="X142">
        <v>3.2</v>
      </c>
      <c r="Y142">
        <v>6.3</v>
      </c>
      <c r="Z142">
        <v>4</v>
      </c>
      <c r="AA142">
        <v>8.9</v>
      </c>
      <c r="AB142" s="3">
        <v>80.95</v>
      </c>
      <c r="AC142" s="3"/>
      <c r="AD142">
        <v>4</v>
      </c>
      <c r="AE142" t="s">
        <v>64</v>
      </c>
      <c r="AF142" s="4"/>
    </row>
    <row r="143" spans="1:32" x14ac:dyDescent="0.3">
      <c r="A143" t="s">
        <v>234</v>
      </c>
      <c r="B143">
        <v>21</v>
      </c>
      <c r="C143" t="str">
        <f t="shared" si="2"/>
        <v>Young Adults</v>
      </c>
      <c r="D143" t="s">
        <v>28</v>
      </c>
      <c r="E143">
        <v>8.1999999999999993</v>
      </c>
      <c r="G143" t="s">
        <v>29</v>
      </c>
      <c r="H143" t="s">
        <v>30</v>
      </c>
      <c r="I143" t="s">
        <v>50</v>
      </c>
      <c r="J143">
        <v>3.7</v>
      </c>
      <c r="L143" t="s">
        <v>51</v>
      </c>
      <c r="M143" t="s">
        <v>45</v>
      </c>
      <c r="N143" t="s">
        <v>51</v>
      </c>
      <c r="O143">
        <v>1.78</v>
      </c>
      <c r="P143">
        <v>8</v>
      </c>
      <c r="Q143" t="s">
        <v>63</v>
      </c>
      <c r="R143" t="s">
        <v>45</v>
      </c>
      <c r="S143" t="b">
        <v>1</v>
      </c>
      <c r="T143" t="b">
        <v>0</v>
      </c>
      <c r="U143" t="b">
        <v>0</v>
      </c>
      <c r="V143" t="b">
        <v>1</v>
      </c>
      <c r="W143" t="b">
        <v>1</v>
      </c>
      <c r="X143">
        <v>0.8</v>
      </c>
      <c r="Y143">
        <v>4</v>
      </c>
      <c r="Z143">
        <v>4</v>
      </c>
      <c r="AA143">
        <v>5.5</v>
      </c>
      <c r="AB143" s="3">
        <v>52.5</v>
      </c>
      <c r="AC143" s="3"/>
      <c r="AD143">
        <v>1</v>
      </c>
      <c r="AE143" t="s">
        <v>64</v>
      </c>
      <c r="AF143" s="4"/>
    </row>
    <row r="144" spans="1:32" x14ac:dyDescent="0.3">
      <c r="A144" t="s">
        <v>235</v>
      </c>
      <c r="B144">
        <v>22</v>
      </c>
      <c r="C144" t="str">
        <f t="shared" si="2"/>
        <v>Young Adults</v>
      </c>
      <c r="D144" t="s">
        <v>28</v>
      </c>
      <c r="E144">
        <v>4.4000000000000004</v>
      </c>
      <c r="G144" t="s">
        <v>48</v>
      </c>
      <c r="H144" t="s">
        <v>49</v>
      </c>
      <c r="I144" t="s">
        <v>86</v>
      </c>
      <c r="J144">
        <v>5.2</v>
      </c>
      <c r="L144" t="s">
        <v>51</v>
      </c>
      <c r="M144" t="s">
        <v>45</v>
      </c>
      <c r="N144" t="s">
        <v>43</v>
      </c>
      <c r="O144">
        <v>1.85</v>
      </c>
      <c r="P144">
        <v>7</v>
      </c>
      <c r="Q144" t="s">
        <v>80</v>
      </c>
      <c r="R144" t="s">
        <v>36</v>
      </c>
      <c r="S144" t="b">
        <v>0</v>
      </c>
      <c r="T144" t="b">
        <v>0</v>
      </c>
      <c r="U144" t="b">
        <v>0</v>
      </c>
      <c r="V144" t="b">
        <v>0</v>
      </c>
      <c r="W144" t="b">
        <v>0</v>
      </c>
      <c r="X144">
        <v>1.4</v>
      </c>
      <c r="Y144">
        <v>9.3000000000000007</v>
      </c>
      <c r="Z144">
        <v>3</v>
      </c>
      <c r="AA144">
        <v>8</v>
      </c>
      <c r="AB144" s="3">
        <v>21.43</v>
      </c>
      <c r="AC144" s="3"/>
      <c r="AD144">
        <v>5</v>
      </c>
      <c r="AE144" t="s">
        <v>46</v>
      </c>
      <c r="AF144" s="4"/>
    </row>
    <row r="145" spans="1:32" x14ac:dyDescent="0.3">
      <c r="A145" t="s">
        <v>236</v>
      </c>
      <c r="B145">
        <v>20</v>
      </c>
      <c r="C145" t="str">
        <f t="shared" si="2"/>
        <v>Young Adults</v>
      </c>
      <c r="D145" t="s">
        <v>28</v>
      </c>
      <c r="E145">
        <v>5.8</v>
      </c>
      <c r="G145" t="s">
        <v>39</v>
      </c>
      <c r="H145" t="s">
        <v>93</v>
      </c>
      <c r="I145" t="s">
        <v>50</v>
      </c>
      <c r="J145">
        <v>6</v>
      </c>
      <c r="L145" t="s">
        <v>41</v>
      </c>
      <c r="M145" t="s">
        <v>33</v>
      </c>
      <c r="N145" t="s">
        <v>43</v>
      </c>
      <c r="O145">
        <v>1.08</v>
      </c>
      <c r="P145">
        <v>5</v>
      </c>
      <c r="Q145" t="s">
        <v>66</v>
      </c>
      <c r="R145" t="s">
        <v>57</v>
      </c>
      <c r="S145" t="b">
        <v>0</v>
      </c>
      <c r="T145" t="b">
        <v>1</v>
      </c>
      <c r="U145" t="b">
        <v>0</v>
      </c>
      <c r="V145" t="b">
        <v>0</v>
      </c>
      <c r="W145" t="b">
        <v>1</v>
      </c>
      <c r="X145">
        <v>2.6</v>
      </c>
      <c r="Y145">
        <v>6</v>
      </c>
      <c r="Z145">
        <v>5</v>
      </c>
      <c r="AA145">
        <v>6.6</v>
      </c>
      <c r="AB145" s="3">
        <v>111.06</v>
      </c>
      <c r="AC145" s="3"/>
      <c r="AD145">
        <v>10</v>
      </c>
      <c r="AE145" t="s">
        <v>64</v>
      </c>
      <c r="AF145" s="4"/>
    </row>
    <row r="146" spans="1:32" x14ac:dyDescent="0.3">
      <c r="A146" t="s">
        <v>237</v>
      </c>
      <c r="B146">
        <v>21</v>
      </c>
      <c r="C146" t="str">
        <f t="shared" si="2"/>
        <v>Young Adults</v>
      </c>
      <c r="D146" t="s">
        <v>28</v>
      </c>
      <c r="E146">
        <v>9.6999999999999993</v>
      </c>
      <c r="G146" t="s">
        <v>60</v>
      </c>
      <c r="H146" t="s">
        <v>102</v>
      </c>
      <c r="I146" t="s">
        <v>86</v>
      </c>
      <c r="J146">
        <v>4.5</v>
      </c>
      <c r="L146" t="s">
        <v>78</v>
      </c>
      <c r="M146" t="s">
        <v>36</v>
      </c>
      <c r="N146" t="s">
        <v>34</v>
      </c>
      <c r="O146">
        <v>3.37</v>
      </c>
      <c r="P146">
        <v>8</v>
      </c>
      <c r="Q146" t="s">
        <v>69</v>
      </c>
      <c r="R146" t="s">
        <v>33</v>
      </c>
      <c r="S146" t="b">
        <v>1</v>
      </c>
      <c r="T146" t="b">
        <v>0</v>
      </c>
      <c r="U146" t="b">
        <v>0</v>
      </c>
      <c r="V146" t="b">
        <v>0</v>
      </c>
      <c r="W146" t="b">
        <v>0</v>
      </c>
      <c r="X146">
        <v>0.5</v>
      </c>
      <c r="Y146">
        <v>3.7</v>
      </c>
      <c r="Z146">
        <v>8</v>
      </c>
      <c r="AA146">
        <v>2.5</v>
      </c>
      <c r="AB146" s="3">
        <v>276.24</v>
      </c>
      <c r="AC146" s="3"/>
      <c r="AD146">
        <v>7</v>
      </c>
      <c r="AE146" t="s">
        <v>58</v>
      </c>
      <c r="AF146" s="4"/>
    </row>
    <row r="147" spans="1:32" x14ac:dyDescent="0.3">
      <c r="A147" t="s">
        <v>238</v>
      </c>
      <c r="B147">
        <v>17</v>
      </c>
      <c r="C147" t="str">
        <f t="shared" si="2"/>
        <v>Teenager</v>
      </c>
      <c r="D147" t="s">
        <v>152</v>
      </c>
      <c r="E147">
        <v>3.2</v>
      </c>
      <c r="G147" t="s">
        <v>39</v>
      </c>
      <c r="H147" t="s">
        <v>93</v>
      </c>
      <c r="I147" t="s">
        <v>86</v>
      </c>
      <c r="J147">
        <v>7.2</v>
      </c>
      <c r="L147" t="s">
        <v>41</v>
      </c>
      <c r="M147" t="s">
        <v>36</v>
      </c>
      <c r="N147" t="s">
        <v>62</v>
      </c>
      <c r="O147">
        <v>2.58</v>
      </c>
      <c r="Q147" t="s">
        <v>66</v>
      </c>
      <c r="R147" t="s">
        <v>45</v>
      </c>
      <c r="S147" t="b">
        <v>0</v>
      </c>
      <c r="T147" t="b">
        <v>0</v>
      </c>
      <c r="U147" t="b">
        <v>0</v>
      </c>
      <c r="V147" t="b">
        <v>0</v>
      </c>
      <c r="W147" t="b">
        <v>0</v>
      </c>
      <c r="X147">
        <v>1.5</v>
      </c>
      <c r="Y147">
        <v>7.6</v>
      </c>
      <c r="Z147">
        <v>1</v>
      </c>
      <c r="AA147">
        <v>9.1999999999999993</v>
      </c>
      <c r="AB147" s="3">
        <v>39.130000000000003</v>
      </c>
      <c r="AC147" s="3"/>
      <c r="AD147">
        <v>2</v>
      </c>
      <c r="AE147" t="s">
        <v>46</v>
      </c>
      <c r="AF147" s="4"/>
    </row>
    <row r="148" spans="1:32" x14ac:dyDescent="0.3">
      <c r="A148" t="s">
        <v>239</v>
      </c>
      <c r="B148">
        <v>18</v>
      </c>
      <c r="C148" t="str">
        <f t="shared" si="2"/>
        <v>Teenager</v>
      </c>
      <c r="D148" t="s">
        <v>28</v>
      </c>
      <c r="E148">
        <v>8.9</v>
      </c>
      <c r="G148" t="s">
        <v>82</v>
      </c>
      <c r="H148" t="s">
        <v>167</v>
      </c>
      <c r="I148" t="s">
        <v>71</v>
      </c>
      <c r="J148">
        <v>3.5</v>
      </c>
      <c r="L148" t="s">
        <v>43</v>
      </c>
      <c r="M148" t="s">
        <v>74</v>
      </c>
      <c r="N148" t="s">
        <v>43</v>
      </c>
      <c r="O148">
        <v>1.34</v>
      </c>
      <c r="Q148" t="s">
        <v>63</v>
      </c>
      <c r="R148" t="s">
        <v>36</v>
      </c>
      <c r="S148" t="b">
        <v>1</v>
      </c>
      <c r="T148" t="b">
        <v>0</v>
      </c>
      <c r="U148" t="b">
        <v>0</v>
      </c>
      <c r="V148" t="b">
        <v>1</v>
      </c>
      <c r="W148" t="b">
        <v>1</v>
      </c>
      <c r="X148">
        <v>2.7</v>
      </c>
      <c r="Y148">
        <v>4.9000000000000004</v>
      </c>
      <c r="Z148">
        <v>5</v>
      </c>
      <c r="AA148">
        <v>5.0999999999999996</v>
      </c>
      <c r="AB148" s="3">
        <v>342.1</v>
      </c>
      <c r="AC148" s="3"/>
      <c r="AD148">
        <v>2</v>
      </c>
      <c r="AE148" t="s">
        <v>58</v>
      </c>
      <c r="AF148" s="4"/>
    </row>
    <row r="149" spans="1:32" x14ac:dyDescent="0.3">
      <c r="A149" t="s">
        <v>240</v>
      </c>
      <c r="B149">
        <v>30</v>
      </c>
      <c r="C149" t="str">
        <f t="shared" si="2"/>
        <v>Young Adults</v>
      </c>
      <c r="D149" t="s">
        <v>53</v>
      </c>
      <c r="E149">
        <v>6.6</v>
      </c>
      <c r="G149" t="s">
        <v>76</v>
      </c>
      <c r="H149" t="s">
        <v>77</v>
      </c>
      <c r="I149" t="s">
        <v>31</v>
      </c>
      <c r="J149">
        <v>5.2</v>
      </c>
      <c r="L149" t="s">
        <v>32</v>
      </c>
      <c r="M149" t="s">
        <v>42</v>
      </c>
      <c r="N149" t="s">
        <v>51</v>
      </c>
      <c r="P149">
        <v>7</v>
      </c>
      <c r="Q149" t="s">
        <v>121</v>
      </c>
      <c r="R149" t="s">
        <v>36</v>
      </c>
      <c r="S149" t="b">
        <v>1</v>
      </c>
      <c r="T149" t="b">
        <v>0</v>
      </c>
      <c r="U149" t="b">
        <v>0</v>
      </c>
      <c r="V149" t="b">
        <v>1</v>
      </c>
      <c r="W149" t="b">
        <v>1</v>
      </c>
      <c r="X149">
        <v>1.3</v>
      </c>
      <c r="Y149">
        <v>6.5</v>
      </c>
      <c r="Z149">
        <v>5</v>
      </c>
      <c r="AA149">
        <v>6.8</v>
      </c>
      <c r="AB149" s="3">
        <v>11.24</v>
      </c>
      <c r="AC149" s="3"/>
      <c r="AD149">
        <v>15</v>
      </c>
      <c r="AE149" t="s">
        <v>64</v>
      </c>
      <c r="AF149" s="4"/>
    </row>
    <row r="150" spans="1:32" x14ac:dyDescent="0.3">
      <c r="A150" t="s">
        <v>241</v>
      </c>
      <c r="B150">
        <v>18</v>
      </c>
      <c r="C150" t="str">
        <f t="shared" si="2"/>
        <v>Teenager</v>
      </c>
      <c r="D150" t="s">
        <v>28</v>
      </c>
      <c r="E150">
        <v>3.9</v>
      </c>
      <c r="G150" t="s">
        <v>54</v>
      </c>
      <c r="H150" t="s">
        <v>98</v>
      </c>
      <c r="I150" t="s">
        <v>50</v>
      </c>
      <c r="J150">
        <v>6.5</v>
      </c>
      <c r="L150" t="s">
        <v>51</v>
      </c>
      <c r="M150" t="s">
        <v>36</v>
      </c>
      <c r="N150" t="s">
        <v>34</v>
      </c>
      <c r="O150">
        <v>2.73</v>
      </c>
      <c r="Q150" t="s">
        <v>66</v>
      </c>
      <c r="R150" t="s">
        <v>45</v>
      </c>
      <c r="S150" t="b">
        <v>0</v>
      </c>
      <c r="T150" t="b">
        <v>0</v>
      </c>
      <c r="U150" t="b">
        <v>0</v>
      </c>
      <c r="V150" t="b">
        <v>0</v>
      </c>
      <c r="W150" t="b">
        <v>0</v>
      </c>
      <c r="X150">
        <v>0.3</v>
      </c>
      <c r="Y150">
        <v>9.4</v>
      </c>
      <c r="Z150">
        <v>3</v>
      </c>
      <c r="AA150">
        <v>10.9</v>
      </c>
      <c r="AB150" s="3">
        <v>23.79</v>
      </c>
      <c r="AC150" s="3"/>
      <c r="AD150">
        <v>6</v>
      </c>
      <c r="AE150" t="s">
        <v>46</v>
      </c>
      <c r="AF150" s="4"/>
    </row>
    <row r="151" spans="1:32" x14ac:dyDescent="0.3">
      <c r="A151" t="s">
        <v>242</v>
      </c>
      <c r="B151">
        <v>19</v>
      </c>
      <c r="C151" t="str">
        <f t="shared" si="2"/>
        <v>Teenager</v>
      </c>
      <c r="D151" t="s">
        <v>28</v>
      </c>
      <c r="E151">
        <v>10.4</v>
      </c>
      <c r="G151" t="s">
        <v>82</v>
      </c>
      <c r="H151" t="s">
        <v>83</v>
      </c>
      <c r="I151" t="s">
        <v>86</v>
      </c>
      <c r="J151">
        <v>5.0999999999999996</v>
      </c>
      <c r="L151" t="s">
        <v>32</v>
      </c>
      <c r="M151" t="s">
        <v>45</v>
      </c>
      <c r="N151" t="s">
        <v>129</v>
      </c>
      <c r="O151">
        <v>1.76</v>
      </c>
      <c r="P151">
        <v>3</v>
      </c>
      <c r="Q151" t="s">
        <v>56</v>
      </c>
      <c r="R151" t="s">
        <v>33</v>
      </c>
      <c r="S151" t="b">
        <v>1</v>
      </c>
      <c r="T151" t="b">
        <v>1</v>
      </c>
      <c r="U151" t="b">
        <v>0</v>
      </c>
      <c r="V151" t="b">
        <v>0</v>
      </c>
      <c r="W151" t="b">
        <v>1</v>
      </c>
      <c r="X151">
        <v>5</v>
      </c>
      <c r="Y151">
        <v>5.6</v>
      </c>
      <c r="Z151">
        <v>8</v>
      </c>
      <c r="AA151">
        <v>5.9</v>
      </c>
      <c r="AB151" s="3">
        <v>412.09</v>
      </c>
      <c r="AC151" s="3"/>
      <c r="AD151">
        <v>5</v>
      </c>
      <c r="AE151" t="s">
        <v>37</v>
      </c>
      <c r="AF151" s="4"/>
    </row>
    <row r="152" spans="1:32" x14ac:dyDescent="0.3">
      <c r="A152" t="s">
        <v>243</v>
      </c>
      <c r="B152">
        <v>19</v>
      </c>
      <c r="C152" t="str">
        <f t="shared" si="2"/>
        <v>Teenager</v>
      </c>
      <c r="D152" t="s">
        <v>28</v>
      </c>
      <c r="E152">
        <v>5.3</v>
      </c>
      <c r="G152" t="s">
        <v>39</v>
      </c>
      <c r="H152" t="s">
        <v>93</v>
      </c>
      <c r="I152" t="s">
        <v>50</v>
      </c>
      <c r="J152">
        <v>6.4</v>
      </c>
      <c r="L152" t="s">
        <v>51</v>
      </c>
      <c r="M152" t="s">
        <v>42</v>
      </c>
      <c r="N152" t="s">
        <v>62</v>
      </c>
      <c r="O152">
        <v>1.43</v>
      </c>
      <c r="P152">
        <v>8</v>
      </c>
      <c r="Q152" t="s">
        <v>44</v>
      </c>
      <c r="R152" t="s">
        <v>36</v>
      </c>
      <c r="S152" t="b">
        <v>0</v>
      </c>
      <c r="T152" t="b">
        <v>0</v>
      </c>
      <c r="U152" t="b">
        <v>0</v>
      </c>
      <c r="V152" t="b">
        <v>1</v>
      </c>
      <c r="W152" t="b">
        <v>0</v>
      </c>
      <c r="X152">
        <v>2.4</v>
      </c>
      <c r="Y152">
        <v>7.9</v>
      </c>
      <c r="Z152">
        <v>4</v>
      </c>
      <c r="AA152">
        <v>9.6</v>
      </c>
      <c r="AB152" s="3">
        <v>39.82</v>
      </c>
      <c r="AC152" s="3"/>
      <c r="AD152">
        <v>1</v>
      </c>
      <c r="AE152" t="s">
        <v>46</v>
      </c>
      <c r="AF152" s="4"/>
    </row>
    <row r="153" spans="1:32" x14ac:dyDescent="0.3">
      <c r="A153" t="s">
        <v>244</v>
      </c>
      <c r="B153">
        <v>16</v>
      </c>
      <c r="C153" t="str">
        <f t="shared" si="2"/>
        <v>Teenager</v>
      </c>
      <c r="D153" t="s">
        <v>28</v>
      </c>
      <c r="E153">
        <v>4.8</v>
      </c>
      <c r="G153" t="s">
        <v>39</v>
      </c>
      <c r="H153" t="s">
        <v>93</v>
      </c>
      <c r="I153" t="s">
        <v>71</v>
      </c>
      <c r="J153">
        <v>5.3</v>
      </c>
      <c r="L153" t="s">
        <v>41</v>
      </c>
      <c r="M153" t="s">
        <v>36</v>
      </c>
      <c r="N153" t="s">
        <v>84</v>
      </c>
      <c r="O153">
        <v>1.61</v>
      </c>
      <c r="Q153" t="s">
        <v>105</v>
      </c>
      <c r="R153" t="s">
        <v>57</v>
      </c>
      <c r="S153" t="b">
        <v>0</v>
      </c>
      <c r="T153" t="b">
        <v>0</v>
      </c>
      <c r="U153" t="b">
        <v>0</v>
      </c>
      <c r="V153" t="b">
        <v>1</v>
      </c>
      <c r="W153" t="b">
        <v>0</v>
      </c>
      <c r="X153">
        <v>0.9</v>
      </c>
      <c r="Y153">
        <v>7.5</v>
      </c>
      <c r="Z153">
        <v>4</v>
      </c>
      <c r="AA153">
        <v>9.4</v>
      </c>
      <c r="AB153" s="3">
        <v>69.97</v>
      </c>
      <c r="AC153" s="3"/>
      <c r="AD153">
        <v>2</v>
      </c>
      <c r="AE153" t="s">
        <v>46</v>
      </c>
      <c r="AF153" s="4"/>
    </row>
    <row r="154" spans="1:32" x14ac:dyDescent="0.3">
      <c r="A154" t="s">
        <v>245</v>
      </c>
      <c r="B154">
        <v>16</v>
      </c>
      <c r="C154" t="str">
        <f t="shared" si="2"/>
        <v>Teenager</v>
      </c>
      <c r="D154" t="s">
        <v>53</v>
      </c>
      <c r="E154">
        <v>6.4</v>
      </c>
      <c r="G154" t="s">
        <v>39</v>
      </c>
      <c r="H154" t="s">
        <v>120</v>
      </c>
      <c r="I154" t="s">
        <v>31</v>
      </c>
      <c r="J154">
        <v>5.4</v>
      </c>
      <c r="L154" t="s">
        <v>41</v>
      </c>
      <c r="M154" t="s">
        <v>42</v>
      </c>
      <c r="N154" t="s">
        <v>34</v>
      </c>
      <c r="O154">
        <v>3.34</v>
      </c>
      <c r="Q154" t="s">
        <v>66</v>
      </c>
      <c r="R154" t="s">
        <v>45</v>
      </c>
      <c r="S154" t="b">
        <v>0</v>
      </c>
      <c r="T154" t="b">
        <v>0</v>
      </c>
      <c r="U154" t="b">
        <v>0</v>
      </c>
      <c r="V154" t="b">
        <v>0</v>
      </c>
      <c r="W154" t="b">
        <v>0</v>
      </c>
      <c r="X154">
        <v>0.1</v>
      </c>
      <c r="Y154">
        <v>8.3000000000000007</v>
      </c>
      <c r="Z154">
        <v>3</v>
      </c>
      <c r="AA154">
        <v>8</v>
      </c>
      <c r="AB154" s="3">
        <v>34.14</v>
      </c>
      <c r="AC154" s="3"/>
      <c r="AD154">
        <v>6</v>
      </c>
      <c r="AE154" t="s">
        <v>46</v>
      </c>
      <c r="AF154" s="4"/>
    </row>
    <row r="155" spans="1:32" x14ac:dyDescent="0.3">
      <c r="A155" t="s">
        <v>246</v>
      </c>
      <c r="B155">
        <v>17</v>
      </c>
      <c r="C155" t="str">
        <f t="shared" si="2"/>
        <v>Teenager</v>
      </c>
      <c r="D155" t="s">
        <v>28</v>
      </c>
      <c r="E155">
        <v>10.6</v>
      </c>
      <c r="G155" t="s">
        <v>54</v>
      </c>
      <c r="H155" t="s">
        <v>89</v>
      </c>
      <c r="I155" t="s">
        <v>86</v>
      </c>
      <c r="J155">
        <v>4.0999999999999996</v>
      </c>
      <c r="L155" t="s">
        <v>78</v>
      </c>
      <c r="M155" t="s">
        <v>45</v>
      </c>
      <c r="N155" t="s">
        <v>51</v>
      </c>
      <c r="O155">
        <v>1.06</v>
      </c>
      <c r="Q155" t="s">
        <v>63</v>
      </c>
      <c r="R155" t="s">
        <v>45</v>
      </c>
      <c r="S155" t="b">
        <v>0</v>
      </c>
      <c r="T155" t="b">
        <v>1</v>
      </c>
      <c r="U155" t="b">
        <v>1</v>
      </c>
      <c r="V155" t="b">
        <v>0</v>
      </c>
      <c r="W155" t="b">
        <v>1</v>
      </c>
      <c r="X155">
        <v>1.8</v>
      </c>
      <c r="Y155">
        <v>6.2</v>
      </c>
      <c r="Z155">
        <v>8</v>
      </c>
      <c r="AA155">
        <v>3</v>
      </c>
      <c r="AB155" s="3">
        <v>247.77</v>
      </c>
      <c r="AC155" s="3"/>
      <c r="AD155">
        <v>1</v>
      </c>
      <c r="AE155" t="s">
        <v>37</v>
      </c>
      <c r="AF155" s="4"/>
    </row>
    <row r="156" spans="1:32" x14ac:dyDescent="0.3">
      <c r="A156" t="s">
        <v>247</v>
      </c>
      <c r="B156">
        <v>17</v>
      </c>
      <c r="C156" t="str">
        <f t="shared" si="2"/>
        <v>Teenager</v>
      </c>
      <c r="D156" t="s">
        <v>28</v>
      </c>
      <c r="E156">
        <v>6.7</v>
      </c>
      <c r="G156" t="s">
        <v>48</v>
      </c>
      <c r="H156" t="s">
        <v>68</v>
      </c>
      <c r="I156" t="s">
        <v>86</v>
      </c>
      <c r="J156">
        <v>5.3</v>
      </c>
      <c r="L156" t="s">
        <v>78</v>
      </c>
      <c r="M156" t="s">
        <v>45</v>
      </c>
      <c r="N156" t="s">
        <v>62</v>
      </c>
      <c r="O156">
        <v>1.21</v>
      </c>
      <c r="Q156" t="s">
        <v>80</v>
      </c>
      <c r="R156" t="s">
        <v>36</v>
      </c>
      <c r="S156" t="b">
        <v>0</v>
      </c>
      <c r="T156" t="b">
        <v>0</v>
      </c>
      <c r="U156" t="b">
        <v>0</v>
      </c>
      <c r="V156" t="b">
        <v>1</v>
      </c>
      <c r="W156" t="b">
        <v>1</v>
      </c>
      <c r="X156">
        <v>1.4</v>
      </c>
      <c r="Y156">
        <v>8.1</v>
      </c>
      <c r="Z156">
        <v>4</v>
      </c>
      <c r="AA156">
        <v>8.6</v>
      </c>
      <c r="AB156" s="3">
        <v>34.130000000000003</v>
      </c>
      <c r="AC156" s="3"/>
      <c r="AD156">
        <v>1</v>
      </c>
      <c r="AE156" t="s">
        <v>46</v>
      </c>
      <c r="AF156" s="4"/>
    </row>
    <row r="157" spans="1:32" x14ac:dyDescent="0.3">
      <c r="A157" t="s">
        <v>248</v>
      </c>
      <c r="B157">
        <v>20</v>
      </c>
      <c r="C157" t="str">
        <f t="shared" si="2"/>
        <v>Young Adults</v>
      </c>
      <c r="D157" t="s">
        <v>28</v>
      </c>
      <c r="E157">
        <v>6.9</v>
      </c>
      <c r="G157" t="s">
        <v>60</v>
      </c>
      <c r="H157" t="s">
        <v>200</v>
      </c>
      <c r="I157" t="s">
        <v>71</v>
      </c>
      <c r="J157">
        <v>4.7</v>
      </c>
      <c r="L157" t="s">
        <v>78</v>
      </c>
      <c r="M157" t="s">
        <v>74</v>
      </c>
      <c r="N157" t="s">
        <v>34</v>
      </c>
      <c r="O157">
        <v>3.29</v>
      </c>
      <c r="P157">
        <v>2</v>
      </c>
      <c r="Q157" t="s">
        <v>80</v>
      </c>
      <c r="R157" t="s">
        <v>33</v>
      </c>
      <c r="S157" t="b">
        <v>1</v>
      </c>
      <c r="T157" t="b">
        <v>0</v>
      </c>
      <c r="U157" t="b">
        <v>0</v>
      </c>
      <c r="V157" t="b">
        <v>0</v>
      </c>
      <c r="W157" t="b">
        <v>0</v>
      </c>
      <c r="X157">
        <v>1.1000000000000001</v>
      </c>
      <c r="Y157">
        <v>8</v>
      </c>
      <c r="Z157">
        <v>4</v>
      </c>
      <c r="AA157">
        <v>6.4</v>
      </c>
      <c r="AB157" s="3">
        <v>59.03</v>
      </c>
      <c r="AC157" s="3"/>
      <c r="AD157">
        <v>10</v>
      </c>
      <c r="AE157" t="s">
        <v>64</v>
      </c>
      <c r="AF157" s="4"/>
    </row>
    <row r="158" spans="1:32" x14ac:dyDescent="0.3">
      <c r="A158" t="s">
        <v>249</v>
      </c>
      <c r="B158">
        <v>16</v>
      </c>
      <c r="C158" t="str">
        <f t="shared" si="2"/>
        <v>Teenager</v>
      </c>
      <c r="D158" t="s">
        <v>53</v>
      </c>
      <c r="E158">
        <v>2.2000000000000002</v>
      </c>
      <c r="G158" t="s">
        <v>48</v>
      </c>
      <c r="H158" t="s">
        <v>68</v>
      </c>
      <c r="I158" t="s">
        <v>50</v>
      </c>
      <c r="J158">
        <v>7.7</v>
      </c>
      <c r="L158" t="s">
        <v>41</v>
      </c>
      <c r="M158" t="s">
        <v>33</v>
      </c>
      <c r="N158" t="s">
        <v>84</v>
      </c>
      <c r="O158">
        <v>1.45</v>
      </c>
      <c r="Q158" t="s">
        <v>66</v>
      </c>
      <c r="R158" t="s">
        <v>33</v>
      </c>
      <c r="S158" t="b">
        <v>0</v>
      </c>
      <c r="T158" t="b">
        <v>0</v>
      </c>
      <c r="U158" t="b">
        <v>0</v>
      </c>
      <c r="V158" t="b">
        <v>0</v>
      </c>
      <c r="W158" t="b">
        <v>0</v>
      </c>
      <c r="X158">
        <v>0.1</v>
      </c>
      <c r="Y158">
        <v>8.6</v>
      </c>
      <c r="Z158">
        <v>1</v>
      </c>
      <c r="AA158">
        <v>11.1</v>
      </c>
      <c r="AB158" s="3">
        <v>31.73</v>
      </c>
      <c r="AC158" s="3"/>
      <c r="AD158">
        <v>6</v>
      </c>
      <c r="AE158" t="s">
        <v>46</v>
      </c>
      <c r="AF158" s="4"/>
    </row>
    <row r="159" spans="1:32" x14ac:dyDescent="0.3">
      <c r="A159" t="s">
        <v>250</v>
      </c>
      <c r="B159">
        <v>22</v>
      </c>
      <c r="C159" t="str">
        <f t="shared" si="2"/>
        <v>Young Adults</v>
      </c>
      <c r="D159" t="s">
        <v>28</v>
      </c>
      <c r="E159">
        <v>9</v>
      </c>
      <c r="G159" t="s">
        <v>39</v>
      </c>
      <c r="H159" t="s">
        <v>120</v>
      </c>
      <c r="I159" t="s">
        <v>71</v>
      </c>
      <c r="J159">
        <v>5.3</v>
      </c>
      <c r="L159" t="s">
        <v>51</v>
      </c>
      <c r="M159" t="s">
        <v>33</v>
      </c>
      <c r="N159" t="s">
        <v>51</v>
      </c>
      <c r="O159">
        <v>1.1100000000000001</v>
      </c>
      <c r="P159">
        <v>2</v>
      </c>
      <c r="Q159" t="s">
        <v>105</v>
      </c>
      <c r="R159" t="s">
        <v>36</v>
      </c>
      <c r="S159" t="b">
        <v>1</v>
      </c>
      <c r="T159" t="b">
        <v>0</v>
      </c>
      <c r="U159" t="b">
        <v>0</v>
      </c>
      <c r="V159" t="b">
        <v>0</v>
      </c>
      <c r="W159" t="b">
        <v>1</v>
      </c>
      <c r="X159">
        <v>3.3</v>
      </c>
      <c r="Y159">
        <v>7.2</v>
      </c>
      <c r="Z159">
        <v>5</v>
      </c>
      <c r="AA159">
        <v>1.6</v>
      </c>
      <c r="AB159" s="3">
        <v>168.77</v>
      </c>
      <c r="AC159" s="3"/>
      <c r="AD159">
        <v>12</v>
      </c>
      <c r="AE159" t="s">
        <v>58</v>
      </c>
      <c r="AF159" s="4"/>
    </row>
    <row r="160" spans="1:32" x14ac:dyDescent="0.3">
      <c r="A160" t="s">
        <v>251</v>
      </c>
      <c r="B160">
        <v>25</v>
      </c>
      <c r="C160" t="str">
        <f t="shared" si="2"/>
        <v>Young Adults</v>
      </c>
      <c r="D160" t="s">
        <v>152</v>
      </c>
      <c r="E160">
        <v>4.7</v>
      </c>
      <c r="G160" t="s">
        <v>54</v>
      </c>
      <c r="H160" t="s">
        <v>98</v>
      </c>
      <c r="I160" t="s">
        <v>50</v>
      </c>
      <c r="J160">
        <v>7</v>
      </c>
      <c r="L160" t="s">
        <v>43</v>
      </c>
      <c r="M160" t="s">
        <v>36</v>
      </c>
      <c r="N160" t="s">
        <v>62</v>
      </c>
      <c r="P160">
        <v>1</v>
      </c>
      <c r="Q160" t="s">
        <v>44</v>
      </c>
      <c r="R160" t="s">
        <v>36</v>
      </c>
      <c r="S160" t="b">
        <v>0</v>
      </c>
      <c r="T160" t="b">
        <v>0</v>
      </c>
      <c r="U160" t="b">
        <v>0</v>
      </c>
      <c r="V160" t="b">
        <v>1</v>
      </c>
      <c r="W160" t="b">
        <v>0</v>
      </c>
      <c r="X160">
        <v>0.6</v>
      </c>
      <c r="Y160">
        <v>7.4</v>
      </c>
      <c r="Z160">
        <v>4</v>
      </c>
      <c r="AA160">
        <v>9.1</v>
      </c>
      <c r="AB160" s="3">
        <v>110.14</v>
      </c>
      <c r="AC160" s="3"/>
      <c r="AD160">
        <v>9</v>
      </c>
      <c r="AE160" t="s">
        <v>46</v>
      </c>
      <c r="AF160" s="4"/>
    </row>
    <row r="161" spans="1:32" x14ac:dyDescent="0.3">
      <c r="A161" t="s">
        <v>252</v>
      </c>
      <c r="B161">
        <v>18</v>
      </c>
      <c r="C161" t="str">
        <f t="shared" si="2"/>
        <v>Teenager</v>
      </c>
      <c r="D161" t="s">
        <v>28</v>
      </c>
      <c r="E161">
        <v>10.4</v>
      </c>
      <c r="G161" t="s">
        <v>39</v>
      </c>
      <c r="H161" t="s">
        <v>120</v>
      </c>
      <c r="I161" t="s">
        <v>31</v>
      </c>
      <c r="J161">
        <v>4.7</v>
      </c>
      <c r="L161" t="s">
        <v>51</v>
      </c>
      <c r="M161" t="s">
        <v>36</v>
      </c>
      <c r="N161" t="s">
        <v>51</v>
      </c>
      <c r="O161">
        <v>3.55</v>
      </c>
      <c r="Q161" t="s">
        <v>35</v>
      </c>
      <c r="R161" t="s">
        <v>57</v>
      </c>
      <c r="S161" t="b">
        <v>1</v>
      </c>
      <c r="T161" t="b">
        <v>1</v>
      </c>
      <c r="U161" t="b">
        <v>0</v>
      </c>
      <c r="V161" t="b">
        <v>1</v>
      </c>
      <c r="W161" t="b">
        <v>1</v>
      </c>
      <c r="X161">
        <v>1</v>
      </c>
      <c r="Y161">
        <v>6.6</v>
      </c>
      <c r="Z161">
        <v>6</v>
      </c>
      <c r="AA161">
        <v>5.7</v>
      </c>
      <c r="AB161" s="3">
        <v>326.87</v>
      </c>
      <c r="AC161" s="3"/>
      <c r="AD161">
        <v>5</v>
      </c>
      <c r="AE161" t="s">
        <v>37</v>
      </c>
      <c r="AF161" s="4"/>
    </row>
    <row r="162" spans="1:32" x14ac:dyDescent="0.3">
      <c r="A162" t="s">
        <v>253</v>
      </c>
      <c r="B162">
        <v>19</v>
      </c>
      <c r="C162" t="str">
        <f t="shared" si="2"/>
        <v>Teenager</v>
      </c>
      <c r="D162" t="s">
        <v>28</v>
      </c>
      <c r="E162">
        <v>12.2</v>
      </c>
      <c r="G162" t="s">
        <v>39</v>
      </c>
      <c r="H162" t="s">
        <v>40</v>
      </c>
      <c r="I162" t="s">
        <v>86</v>
      </c>
      <c r="J162">
        <v>5.9</v>
      </c>
      <c r="L162" t="s">
        <v>41</v>
      </c>
      <c r="M162" t="s">
        <v>45</v>
      </c>
      <c r="N162" t="s">
        <v>34</v>
      </c>
      <c r="O162">
        <v>3.72</v>
      </c>
      <c r="P162">
        <v>10</v>
      </c>
      <c r="Q162" t="s">
        <v>105</v>
      </c>
      <c r="R162" t="s">
        <v>33</v>
      </c>
      <c r="S162" t="b">
        <v>1</v>
      </c>
      <c r="T162" t="b">
        <v>1</v>
      </c>
      <c r="U162" t="b">
        <v>0</v>
      </c>
      <c r="V162" t="b">
        <v>0</v>
      </c>
      <c r="W162" t="b">
        <v>1</v>
      </c>
      <c r="X162">
        <v>2.1</v>
      </c>
      <c r="Y162">
        <v>4.7</v>
      </c>
      <c r="Z162">
        <v>7</v>
      </c>
      <c r="AA162">
        <v>0.5</v>
      </c>
      <c r="AB162" s="3">
        <v>473.21</v>
      </c>
      <c r="AC162" s="3"/>
      <c r="AD162">
        <v>5</v>
      </c>
      <c r="AE162" t="s">
        <v>37</v>
      </c>
      <c r="AF162" s="4"/>
    </row>
    <row r="163" spans="1:32" x14ac:dyDescent="0.3">
      <c r="A163" t="s">
        <v>254</v>
      </c>
      <c r="B163">
        <v>27</v>
      </c>
      <c r="C163" t="str">
        <f t="shared" si="2"/>
        <v>Young Adults</v>
      </c>
      <c r="D163" t="s">
        <v>28</v>
      </c>
      <c r="E163">
        <v>4.3</v>
      </c>
      <c r="G163" t="s">
        <v>82</v>
      </c>
      <c r="H163" t="s">
        <v>83</v>
      </c>
      <c r="I163" t="s">
        <v>31</v>
      </c>
      <c r="J163">
        <v>5.3</v>
      </c>
      <c r="L163" t="s">
        <v>32</v>
      </c>
      <c r="M163" t="s">
        <v>42</v>
      </c>
      <c r="N163" t="s">
        <v>43</v>
      </c>
      <c r="P163">
        <v>5</v>
      </c>
      <c r="Q163" t="s">
        <v>66</v>
      </c>
      <c r="R163" t="s">
        <v>57</v>
      </c>
      <c r="S163" t="b">
        <v>0</v>
      </c>
      <c r="T163" t="b">
        <v>0</v>
      </c>
      <c r="U163" t="b">
        <v>0</v>
      </c>
      <c r="V163" t="b">
        <v>0</v>
      </c>
      <c r="W163" t="b">
        <v>0</v>
      </c>
      <c r="X163">
        <v>2.8</v>
      </c>
      <c r="Y163">
        <v>7.9</v>
      </c>
      <c r="Z163">
        <v>2</v>
      </c>
      <c r="AA163">
        <v>8</v>
      </c>
      <c r="AB163" s="3">
        <v>44.35</v>
      </c>
      <c r="AC163" s="3"/>
      <c r="AD163">
        <v>7</v>
      </c>
      <c r="AE163" t="s">
        <v>46</v>
      </c>
      <c r="AF163" s="4"/>
    </row>
    <row r="164" spans="1:32" x14ac:dyDescent="0.3">
      <c r="A164" t="s">
        <v>255</v>
      </c>
      <c r="B164">
        <v>22</v>
      </c>
      <c r="C164" t="str">
        <f t="shared" si="2"/>
        <v>Young Adults</v>
      </c>
      <c r="D164" t="s">
        <v>53</v>
      </c>
      <c r="E164">
        <v>6.3</v>
      </c>
      <c r="G164" t="s">
        <v>39</v>
      </c>
      <c r="H164" t="s">
        <v>120</v>
      </c>
      <c r="I164" t="s">
        <v>71</v>
      </c>
      <c r="J164">
        <v>5.5</v>
      </c>
      <c r="L164" t="s">
        <v>41</v>
      </c>
      <c r="M164" t="s">
        <v>33</v>
      </c>
      <c r="N164" t="s">
        <v>34</v>
      </c>
      <c r="O164">
        <v>3.98</v>
      </c>
      <c r="P164">
        <v>4</v>
      </c>
      <c r="Q164" t="s">
        <v>80</v>
      </c>
      <c r="R164" t="s">
        <v>36</v>
      </c>
      <c r="S164" t="b">
        <v>0</v>
      </c>
      <c r="T164" t="b">
        <v>0</v>
      </c>
      <c r="U164" t="b">
        <v>0</v>
      </c>
      <c r="V164" t="b">
        <v>1</v>
      </c>
      <c r="W164" t="b">
        <v>1</v>
      </c>
      <c r="X164">
        <v>0.2</v>
      </c>
      <c r="Y164">
        <v>9</v>
      </c>
      <c r="Z164">
        <v>2</v>
      </c>
      <c r="AA164">
        <v>9.6999999999999993</v>
      </c>
      <c r="AB164" s="3">
        <v>53.06</v>
      </c>
      <c r="AC164" s="3"/>
      <c r="AD164">
        <v>7</v>
      </c>
      <c r="AE164" t="s">
        <v>46</v>
      </c>
      <c r="AF164" s="4"/>
    </row>
    <row r="165" spans="1:32" x14ac:dyDescent="0.3">
      <c r="A165" t="s">
        <v>256</v>
      </c>
      <c r="B165">
        <v>18</v>
      </c>
      <c r="C165" t="str">
        <f t="shared" si="2"/>
        <v>Teenager</v>
      </c>
      <c r="D165" t="s">
        <v>28</v>
      </c>
      <c r="E165">
        <v>7.7</v>
      </c>
      <c r="G165" t="s">
        <v>82</v>
      </c>
      <c r="H165" t="s">
        <v>167</v>
      </c>
      <c r="I165" t="s">
        <v>50</v>
      </c>
      <c r="J165">
        <v>5.6</v>
      </c>
      <c r="L165" t="s">
        <v>51</v>
      </c>
      <c r="M165" t="s">
        <v>33</v>
      </c>
      <c r="N165" t="s">
        <v>34</v>
      </c>
      <c r="O165">
        <v>3.22</v>
      </c>
      <c r="Q165" t="s">
        <v>35</v>
      </c>
      <c r="R165" t="s">
        <v>57</v>
      </c>
      <c r="S165" t="b">
        <v>0</v>
      </c>
      <c r="T165" t="b">
        <v>1</v>
      </c>
      <c r="U165" t="b">
        <v>1</v>
      </c>
      <c r="V165" t="b">
        <v>1</v>
      </c>
      <c r="W165" t="b">
        <v>1</v>
      </c>
      <c r="X165">
        <v>0.3</v>
      </c>
      <c r="Y165">
        <v>4.8</v>
      </c>
      <c r="Z165">
        <v>7</v>
      </c>
      <c r="AA165">
        <v>5.6</v>
      </c>
      <c r="AB165" s="3">
        <v>110.52</v>
      </c>
      <c r="AC165" s="3"/>
      <c r="AD165">
        <v>5</v>
      </c>
      <c r="AE165" t="s">
        <v>58</v>
      </c>
      <c r="AF165" s="4"/>
    </row>
    <row r="166" spans="1:32" x14ac:dyDescent="0.3">
      <c r="A166" t="s">
        <v>257</v>
      </c>
      <c r="B166">
        <v>21</v>
      </c>
      <c r="C166" t="str">
        <f t="shared" si="2"/>
        <v>Young Adults</v>
      </c>
      <c r="D166" t="s">
        <v>53</v>
      </c>
      <c r="E166">
        <v>8.4</v>
      </c>
      <c r="G166" t="s">
        <v>54</v>
      </c>
      <c r="H166" t="s">
        <v>89</v>
      </c>
      <c r="I166" t="s">
        <v>71</v>
      </c>
      <c r="J166">
        <v>5.7</v>
      </c>
      <c r="L166" t="s">
        <v>51</v>
      </c>
      <c r="M166" t="s">
        <v>45</v>
      </c>
      <c r="N166" t="s">
        <v>129</v>
      </c>
      <c r="O166">
        <v>3.14</v>
      </c>
      <c r="P166">
        <v>9</v>
      </c>
      <c r="Q166" t="s">
        <v>35</v>
      </c>
      <c r="R166" t="s">
        <v>42</v>
      </c>
      <c r="S166" t="b">
        <v>1</v>
      </c>
      <c r="T166" t="b">
        <v>1</v>
      </c>
      <c r="U166" t="b">
        <v>0</v>
      </c>
      <c r="V166" t="b">
        <v>1</v>
      </c>
      <c r="W166" t="b">
        <v>0</v>
      </c>
      <c r="X166">
        <v>0.6</v>
      </c>
      <c r="Y166">
        <v>4.8</v>
      </c>
      <c r="Z166">
        <v>5</v>
      </c>
      <c r="AA166">
        <v>6.3</v>
      </c>
      <c r="AB166" s="3">
        <v>128.87</v>
      </c>
      <c r="AC166" s="3"/>
      <c r="AD166">
        <v>2</v>
      </c>
      <c r="AE166" t="s">
        <v>58</v>
      </c>
      <c r="AF166" s="4"/>
    </row>
    <row r="167" spans="1:32" x14ac:dyDescent="0.3">
      <c r="A167" t="s">
        <v>258</v>
      </c>
      <c r="B167">
        <v>18</v>
      </c>
      <c r="C167" t="str">
        <f t="shared" si="2"/>
        <v>Teenager</v>
      </c>
      <c r="D167" t="s">
        <v>28</v>
      </c>
      <c r="E167">
        <v>7.2</v>
      </c>
      <c r="G167" t="s">
        <v>82</v>
      </c>
      <c r="H167" t="s">
        <v>167</v>
      </c>
      <c r="I167" t="s">
        <v>31</v>
      </c>
      <c r="J167">
        <v>3.9</v>
      </c>
      <c r="L167" t="s">
        <v>51</v>
      </c>
      <c r="M167" t="s">
        <v>45</v>
      </c>
      <c r="N167" t="s">
        <v>34</v>
      </c>
      <c r="O167">
        <v>3.97</v>
      </c>
      <c r="Q167" t="s">
        <v>105</v>
      </c>
      <c r="R167" t="s">
        <v>36</v>
      </c>
      <c r="S167" t="b">
        <v>1</v>
      </c>
      <c r="T167" t="b">
        <v>0</v>
      </c>
      <c r="U167" t="b">
        <v>0</v>
      </c>
      <c r="V167" t="b">
        <v>1</v>
      </c>
      <c r="W167" t="b">
        <v>1</v>
      </c>
      <c r="X167">
        <v>0.4</v>
      </c>
      <c r="Y167">
        <v>4.5999999999999996</v>
      </c>
      <c r="Z167">
        <v>6</v>
      </c>
      <c r="AA167">
        <v>5.2</v>
      </c>
      <c r="AB167" s="3">
        <v>130.82</v>
      </c>
      <c r="AC167" s="3"/>
      <c r="AD167">
        <v>7</v>
      </c>
      <c r="AE167" t="s">
        <v>64</v>
      </c>
      <c r="AF167" s="4"/>
    </row>
    <row r="168" spans="1:32" x14ac:dyDescent="0.3">
      <c r="A168" t="s">
        <v>259</v>
      </c>
      <c r="B168">
        <v>21</v>
      </c>
      <c r="C168" t="str">
        <f t="shared" si="2"/>
        <v>Young Adults</v>
      </c>
      <c r="D168" t="s">
        <v>28</v>
      </c>
      <c r="E168">
        <v>5.0999999999999996</v>
      </c>
      <c r="G168" t="s">
        <v>54</v>
      </c>
      <c r="H168" t="s">
        <v>55</v>
      </c>
      <c r="I168" t="s">
        <v>50</v>
      </c>
      <c r="J168">
        <v>5.8</v>
      </c>
      <c r="L168" t="s">
        <v>41</v>
      </c>
      <c r="M168" t="s">
        <v>36</v>
      </c>
      <c r="N168" t="s">
        <v>43</v>
      </c>
      <c r="O168">
        <v>2.72</v>
      </c>
      <c r="P168">
        <v>10</v>
      </c>
      <c r="Q168" t="s">
        <v>44</v>
      </c>
      <c r="R168" t="s">
        <v>36</v>
      </c>
      <c r="S168" t="b">
        <v>0</v>
      </c>
      <c r="T168" t="b">
        <v>0</v>
      </c>
      <c r="U168" t="b">
        <v>0</v>
      </c>
      <c r="V168" t="b">
        <v>0</v>
      </c>
      <c r="W168" t="b">
        <v>0</v>
      </c>
      <c r="X168">
        <v>1.1000000000000001</v>
      </c>
      <c r="Y168">
        <v>7.3</v>
      </c>
      <c r="Z168">
        <v>3</v>
      </c>
      <c r="AA168">
        <v>11.3</v>
      </c>
      <c r="AB168" s="3">
        <v>20.68</v>
      </c>
      <c r="AC168" s="3"/>
      <c r="AD168">
        <v>5</v>
      </c>
      <c r="AE168" t="s">
        <v>46</v>
      </c>
      <c r="AF168" s="4"/>
    </row>
    <row r="169" spans="1:32" x14ac:dyDescent="0.3">
      <c r="A169" t="s">
        <v>260</v>
      </c>
      <c r="B169">
        <v>25</v>
      </c>
      <c r="C169" t="str">
        <f t="shared" si="2"/>
        <v>Young Adults</v>
      </c>
      <c r="D169" t="s">
        <v>28</v>
      </c>
      <c r="E169">
        <v>5.8</v>
      </c>
      <c r="G169" t="s">
        <v>39</v>
      </c>
      <c r="H169" t="s">
        <v>40</v>
      </c>
      <c r="I169" t="s">
        <v>86</v>
      </c>
      <c r="J169">
        <v>5.3</v>
      </c>
      <c r="L169" t="s">
        <v>41</v>
      </c>
      <c r="M169" t="s">
        <v>42</v>
      </c>
      <c r="N169" t="s">
        <v>34</v>
      </c>
      <c r="P169">
        <v>3</v>
      </c>
      <c r="Q169" t="s">
        <v>121</v>
      </c>
      <c r="R169" t="s">
        <v>42</v>
      </c>
      <c r="S169" t="b">
        <v>0</v>
      </c>
      <c r="T169" t="b">
        <v>1</v>
      </c>
      <c r="U169" t="b">
        <v>0</v>
      </c>
      <c r="V169" t="b">
        <v>1</v>
      </c>
      <c r="W169" t="b">
        <v>0</v>
      </c>
      <c r="X169">
        <v>0.5</v>
      </c>
      <c r="Y169">
        <v>6.6</v>
      </c>
      <c r="Z169">
        <v>5</v>
      </c>
      <c r="AA169">
        <v>9.1999999999999993</v>
      </c>
      <c r="AB169" s="3">
        <v>55.18</v>
      </c>
      <c r="AC169" s="3"/>
      <c r="AD169">
        <v>11</v>
      </c>
      <c r="AE169" t="s">
        <v>64</v>
      </c>
      <c r="AF169" s="4"/>
    </row>
    <row r="170" spans="1:32" x14ac:dyDescent="0.3">
      <c r="A170" t="s">
        <v>261</v>
      </c>
      <c r="B170">
        <v>21</v>
      </c>
      <c r="C170" t="str">
        <f t="shared" si="2"/>
        <v>Young Adults</v>
      </c>
      <c r="D170" t="s">
        <v>28</v>
      </c>
      <c r="E170">
        <v>7.6</v>
      </c>
      <c r="G170" t="s">
        <v>48</v>
      </c>
      <c r="H170" t="s">
        <v>214</v>
      </c>
      <c r="I170" t="s">
        <v>86</v>
      </c>
      <c r="J170">
        <v>5.6</v>
      </c>
      <c r="L170" t="s">
        <v>32</v>
      </c>
      <c r="M170" t="s">
        <v>45</v>
      </c>
      <c r="N170" t="s">
        <v>51</v>
      </c>
      <c r="O170">
        <v>1.5</v>
      </c>
      <c r="P170">
        <v>9</v>
      </c>
      <c r="Q170" t="s">
        <v>69</v>
      </c>
      <c r="R170" t="s">
        <v>42</v>
      </c>
      <c r="S170" t="b">
        <v>1</v>
      </c>
      <c r="T170" t="b">
        <v>0</v>
      </c>
      <c r="U170" t="b">
        <v>1</v>
      </c>
      <c r="V170" t="b">
        <v>1</v>
      </c>
      <c r="W170" t="b">
        <v>1</v>
      </c>
      <c r="X170">
        <v>0.7</v>
      </c>
      <c r="Y170">
        <v>4.7</v>
      </c>
      <c r="Z170">
        <v>6</v>
      </c>
      <c r="AA170">
        <v>4.5999999999999996</v>
      </c>
      <c r="AB170" s="3">
        <v>38.69</v>
      </c>
      <c r="AC170" s="3"/>
      <c r="AD170">
        <v>6</v>
      </c>
      <c r="AE170" t="s">
        <v>58</v>
      </c>
      <c r="AF170" s="4"/>
    </row>
    <row r="171" spans="1:32" x14ac:dyDescent="0.3">
      <c r="A171" t="s">
        <v>262</v>
      </c>
      <c r="B171">
        <v>23</v>
      </c>
      <c r="C171" t="str">
        <f t="shared" si="2"/>
        <v>Young Adults</v>
      </c>
      <c r="D171" t="s">
        <v>28</v>
      </c>
      <c r="E171">
        <v>2.6</v>
      </c>
      <c r="G171" t="s">
        <v>48</v>
      </c>
      <c r="H171" t="s">
        <v>68</v>
      </c>
      <c r="I171" t="s">
        <v>86</v>
      </c>
      <c r="J171">
        <v>8.3000000000000007</v>
      </c>
      <c r="L171" t="s">
        <v>51</v>
      </c>
      <c r="M171" t="s">
        <v>74</v>
      </c>
      <c r="N171" t="s">
        <v>43</v>
      </c>
      <c r="P171">
        <v>4</v>
      </c>
      <c r="Q171" t="s">
        <v>66</v>
      </c>
      <c r="R171" t="s">
        <v>36</v>
      </c>
      <c r="S171" t="b">
        <v>0</v>
      </c>
      <c r="T171" t="b">
        <v>0</v>
      </c>
      <c r="U171" t="b">
        <v>0</v>
      </c>
      <c r="V171" t="b">
        <v>0</v>
      </c>
      <c r="W171" t="b">
        <v>0</v>
      </c>
      <c r="X171">
        <v>0.4</v>
      </c>
      <c r="Y171">
        <v>8.8000000000000007</v>
      </c>
      <c r="Z171">
        <v>1</v>
      </c>
      <c r="AA171">
        <v>14</v>
      </c>
      <c r="AB171" s="3">
        <v>6.45</v>
      </c>
      <c r="AC171" s="3"/>
      <c r="AD171">
        <v>3</v>
      </c>
      <c r="AE171" t="s">
        <v>46</v>
      </c>
      <c r="AF171" s="4"/>
    </row>
    <row r="172" spans="1:32" x14ac:dyDescent="0.3">
      <c r="A172" t="s">
        <v>263</v>
      </c>
      <c r="B172">
        <v>21</v>
      </c>
      <c r="C172" t="str">
        <f t="shared" si="2"/>
        <v>Young Adults</v>
      </c>
      <c r="D172" t="s">
        <v>28</v>
      </c>
      <c r="E172">
        <v>1.3</v>
      </c>
      <c r="G172" t="s">
        <v>60</v>
      </c>
      <c r="H172" t="s">
        <v>96</v>
      </c>
      <c r="I172" t="s">
        <v>31</v>
      </c>
      <c r="J172">
        <v>8.4</v>
      </c>
      <c r="L172" t="s">
        <v>41</v>
      </c>
      <c r="M172" t="s">
        <v>42</v>
      </c>
      <c r="N172" t="s">
        <v>43</v>
      </c>
      <c r="O172">
        <v>1.44</v>
      </c>
      <c r="P172">
        <v>5</v>
      </c>
      <c r="Q172" t="s">
        <v>66</v>
      </c>
      <c r="R172" t="s">
        <v>45</v>
      </c>
      <c r="S172" t="b">
        <v>0</v>
      </c>
      <c r="T172" t="b">
        <v>0</v>
      </c>
      <c r="U172" t="b">
        <v>0</v>
      </c>
      <c r="V172" t="b">
        <v>0</v>
      </c>
      <c r="W172" t="b">
        <v>0</v>
      </c>
      <c r="X172">
        <v>0.5</v>
      </c>
      <c r="Y172">
        <v>9.6</v>
      </c>
      <c r="Z172">
        <v>1</v>
      </c>
      <c r="AA172">
        <v>12.6</v>
      </c>
      <c r="AB172" s="3">
        <v>15.07</v>
      </c>
      <c r="AC172" s="3"/>
      <c r="AD172">
        <v>8</v>
      </c>
      <c r="AE172" t="s">
        <v>46</v>
      </c>
      <c r="AF172" s="4"/>
    </row>
    <row r="173" spans="1:32" x14ac:dyDescent="0.3">
      <c r="A173" t="s">
        <v>264</v>
      </c>
      <c r="B173">
        <v>24</v>
      </c>
      <c r="C173" t="str">
        <f t="shared" si="2"/>
        <v>Young Adults</v>
      </c>
      <c r="D173" t="s">
        <v>28</v>
      </c>
      <c r="E173">
        <v>6.2</v>
      </c>
      <c r="G173" t="s">
        <v>54</v>
      </c>
      <c r="H173" t="s">
        <v>98</v>
      </c>
      <c r="I173" t="s">
        <v>50</v>
      </c>
      <c r="J173">
        <v>5.9</v>
      </c>
      <c r="L173" t="s">
        <v>41</v>
      </c>
      <c r="M173" t="s">
        <v>45</v>
      </c>
      <c r="N173" t="s">
        <v>62</v>
      </c>
      <c r="P173">
        <v>10</v>
      </c>
      <c r="Q173" t="s">
        <v>35</v>
      </c>
      <c r="R173" t="s">
        <v>42</v>
      </c>
      <c r="S173" t="b">
        <v>0</v>
      </c>
      <c r="T173" t="b">
        <v>1</v>
      </c>
      <c r="U173" t="b">
        <v>0</v>
      </c>
      <c r="V173" t="b">
        <v>0</v>
      </c>
      <c r="W173" t="b">
        <v>0</v>
      </c>
      <c r="X173">
        <v>0.8</v>
      </c>
      <c r="Y173">
        <v>6.5</v>
      </c>
      <c r="Z173">
        <v>6</v>
      </c>
      <c r="AA173">
        <v>4.9000000000000004</v>
      </c>
      <c r="AB173" s="3">
        <v>135.88</v>
      </c>
      <c r="AC173" s="3"/>
      <c r="AD173">
        <v>14</v>
      </c>
      <c r="AE173" t="s">
        <v>64</v>
      </c>
      <c r="AF173" s="4"/>
    </row>
    <row r="174" spans="1:32" x14ac:dyDescent="0.3">
      <c r="A174" t="s">
        <v>265</v>
      </c>
      <c r="B174">
        <v>21</v>
      </c>
      <c r="C174" t="str">
        <f t="shared" si="2"/>
        <v>Young Adults</v>
      </c>
      <c r="D174" t="s">
        <v>28</v>
      </c>
      <c r="E174">
        <v>9.1</v>
      </c>
      <c r="G174" t="s">
        <v>54</v>
      </c>
      <c r="H174" t="s">
        <v>89</v>
      </c>
      <c r="I174" t="s">
        <v>31</v>
      </c>
      <c r="J174">
        <v>3.2</v>
      </c>
      <c r="L174" t="s">
        <v>32</v>
      </c>
      <c r="M174" t="s">
        <v>36</v>
      </c>
      <c r="N174" t="s">
        <v>62</v>
      </c>
      <c r="O174">
        <v>2.92</v>
      </c>
      <c r="P174">
        <v>1</v>
      </c>
      <c r="Q174" t="s">
        <v>44</v>
      </c>
      <c r="R174" t="s">
        <v>42</v>
      </c>
      <c r="S174" t="b">
        <v>1</v>
      </c>
      <c r="T174" t="b">
        <v>1</v>
      </c>
      <c r="U174" t="b">
        <v>0</v>
      </c>
      <c r="V174" t="b">
        <v>1</v>
      </c>
      <c r="W174" t="b">
        <v>1</v>
      </c>
      <c r="X174">
        <v>1.4</v>
      </c>
      <c r="Y174">
        <v>4.9000000000000004</v>
      </c>
      <c r="Z174">
        <v>7</v>
      </c>
      <c r="AA174">
        <v>3.8</v>
      </c>
      <c r="AB174" s="3">
        <v>396.01</v>
      </c>
      <c r="AC174" s="3"/>
      <c r="AD174">
        <v>1</v>
      </c>
      <c r="AE174" t="s">
        <v>37</v>
      </c>
      <c r="AF174" s="4"/>
    </row>
    <row r="175" spans="1:32" x14ac:dyDescent="0.3">
      <c r="A175" t="s">
        <v>266</v>
      </c>
      <c r="B175">
        <v>22</v>
      </c>
      <c r="C175" t="str">
        <f t="shared" si="2"/>
        <v>Young Adults</v>
      </c>
      <c r="D175" t="s">
        <v>28</v>
      </c>
      <c r="E175">
        <v>10.1</v>
      </c>
      <c r="G175" t="s">
        <v>39</v>
      </c>
      <c r="H175" t="s">
        <v>40</v>
      </c>
      <c r="I175" t="s">
        <v>50</v>
      </c>
      <c r="J175">
        <v>3.4</v>
      </c>
      <c r="L175" t="s">
        <v>51</v>
      </c>
      <c r="M175" t="s">
        <v>33</v>
      </c>
      <c r="N175" t="s">
        <v>34</v>
      </c>
      <c r="O175">
        <v>1.1000000000000001</v>
      </c>
      <c r="P175">
        <v>2</v>
      </c>
      <c r="Q175" t="s">
        <v>63</v>
      </c>
      <c r="R175" t="s">
        <v>33</v>
      </c>
      <c r="S175" t="b">
        <v>1</v>
      </c>
      <c r="T175" t="b">
        <v>1</v>
      </c>
      <c r="U175" t="b">
        <v>0</v>
      </c>
      <c r="V175" t="b">
        <v>1</v>
      </c>
      <c r="W175" t="b">
        <v>0</v>
      </c>
      <c r="X175">
        <v>2.8</v>
      </c>
      <c r="Y175">
        <v>4.2</v>
      </c>
      <c r="Z175">
        <v>8</v>
      </c>
      <c r="AA175">
        <v>2</v>
      </c>
      <c r="AB175" s="3">
        <v>358.37</v>
      </c>
      <c r="AC175" s="3"/>
      <c r="AD175">
        <v>3</v>
      </c>
      <c r="AE175" t="s">
        <v>37</v>
      </c>
      <c r="AF175" s="4"/>
    </row>
    <row r="176" spans="1:32" x14ac:dyDescent="0.3">
      <c r="A176" t="s">
        <v>267</v>
      </c>
      <c r="B176">
        <v>25</v>
      </c>
      <c r="C176" t="str">
        <f t="shared" si="2"/>
        <v>Young Adults</v>
      </c>
      <c r="D176" t="s">
        <v>28</v>
      </c>
      <c r="E176">
        <v>7.9</v>
      </c>
      <c r="G176" t="s">
        <v>48</v>
      </c>
      <c r="H176" t="s">
        <v>128</v>
      </c>
      <c r="I176" t="s">
        <v>50</v>
      </c>
      <c r="J176">
        <v>5.0999999999999996</v>
      </c>
      <c r="L176" t="s">
        <v>41</v>
      </c>
      <c r="M176" t="s">
        <v>33</v>
      </c>
      <c r="N176" t="s">
        <v>62</v>
      </c>
      <c r="P176">
        <v>6</v>
      </c>
      <c r="Q176" t="s">
        <v>63</v>
      </c>
      <c r="R176" t="s">
        <v>42</v>
      </c>
      <c r="S176" t="b">
        <v>1</v>
      </c>
      <c r="T176" t="b">
        <v>0</v>
      </c>
      <c r="U176" t="b">
        <v>0</v>
      </c>
      <c r="V176" t="b">
        <v>1</v>
      </c>
      <c r="W176" t="b">
        <v>0</v>
      </c>
      <c r="X176">
        <v>0.5</v>
      </c>
      <c r="Y176">
        <v>7.4</v>
      </c>
      <c r="Z176">
        <v>5</v>
      </c>
      <c r="AA176">
        <v>3.3</v>
      </c>
      <c r="AB176" s="3">
        <v>53.96</v>
      </c>
      <c r="AC176" s="3"/>
      <c r="AD176">
        <v>7</v>
      </c>
      <c r="AE176" t="s">
        <v>64</v>
      </c>
      <c r="AF176" s="4"/>
    </row>
    <row r="177" spans="1:32" x14ac:dyDescent="0.3">
      <c r="A177" t="s">
        <v>268</v>
      </c>
      <c r="B177">
        <v>19</v>
      </c>
      <c r="C177" t="str">
        <f t="shared" si="2"/>
        <v>Teenager</v>
      </c>
      <c r="D177" t="s">
        <v>53</v>
      </c>
      <c r="E177">
        <v>2.9</v>
      </c>
      <c r="G177" t="s">
        <v>82</v>
      </c>
      <c r="H177" t="s">
        <v>167</v>
      </c>
      <c r="I177" t="s">
        <v>50</v>
      </c>
      <c r="J177">
        <v>8</v>
      </c>
      <c r="L177" t="s">
        <v>43</v>
      </c>
      <c r="M177" t="s">
        <v>74</v>
      </c>
      <c r="N177" t="s">
        <v>84</v>
      </c>
      <c r="O177">
        <v>3.29</v>
      </c>
      <c r="P177">
        <v>10</v>
      </c>
      <c r="Q177" t="s">
        <v>63</v>
      </c>
      <c r="R177" t="s">
        <v>42</v>
      </c>
      <c r="S177" t="b">
        <v>0</v>
      </c>
      <c r="T177" t="b">
        <v>0</v>
      </c>
      <c r="U177" t="b">
        <v>0</v>
      </c>
      <c r="V177" t="b">
        <v>0</v>
      </c>
      <c r="W177" t="b">
        <v>0</v>
      </c>
      <c r="X177">
        <v>0</v>
      </c>
      <c r="Y177">
        <v>8.8000000000000007</v>
      </c>
      <c r="Z177">
        <v>1</v>
      </c>
      <c r="AA177">
        <v>9.6999999999999993</v>
      </c>
      <c r="AB177" s="3">
        <v>35.81</v>
      </c>
      <c r="AC177" s="3"/>
      <c r="AD177">
        <v>9</v>
      </c>
      <c r="AE177" t="s">
        <v>46</v>
      </c>
      <c r="AF177" s="4"/>
    </row>
    <row r="178" spans="1:32" x14ac:dyDescent="0.3">
      <c r="A178" t="s">
        <v>269</v>
      </c>
      <c r="B178">
        <v>19</v>
      </c>
      <c r="C178" t="str">
        <f t="shared" si="2"/>
        <v>Teenager</v>
      </c>
      <c r="D178" t="s">
        <v>28</v>
      </c>
      <c r="E178">
        <v>4.5999999999999996</v>
      </c>
      <c r="G178" t="s">
        <v>82</v>
      </c>
      <c r="H178" t="s">
        <v>83</v>
      </c>
      <c r="I178" t="s">
        <v>31</v>
      </c>
      <c r="J178">
        <v>5.9</v>
      </c>
      <c r="L178" t="s">
        <v>41</v>
      </c>
      <c r="M178" t="s">
        <v>42</v>
      </c>
      <c r="N178" t="s">
        <v>34</v>
      </c>
      <c r="O178">
        <v>2.1</v>
      </c>
      <c r="P178">
        <v>6</v>
      </c>
      <c r="Q178" t="s">
        <v>66</v>
      </c>
      <c r="R178" t="s">
        <v>36</v>
      </c>
      <c r="S178" t="b">
        <v>0</v>
      </c>
      <c r="T178" t="b">
        <v>0</v>
      </c>
      <c r="U178" t="b">
        <v>0</v>
      </c>
      <c r="V178" t="b">
        <v>0</v>
      </c>
      <c r="W178" t="b">
        <v>0</v>
      </c>
      <c r="X178">
        <v>1</v>
      </c>
      <c r="Y178">
        <v>8.5</v>
      </c>
      <c r="Z178">
        <v>3</v>
      </c>
      <c r="AA178">
        <v>9</v>
      </c>
      <c r="AB178" s="3">
        <v>10.06</v>
      </c>
      <c r="AC178" s="3"/>
      <c r="AD178">
        <v>1</v>
      </c>
      <c r="AE178" t="s">
        <v>46</v>
      </c>
      <c r="AF178" s="4"/>
    </row>
    <row r="179" spans="1:32" x14ac:dyDescent="0.3">
      <c r="A179" t="s">
        <v>270</v>
      </c>
      <c r="B179">
        <v>21</v>
      </c>
      <c r="C179" t="str">
        <f t="shared" si="2"/>
        <v>Young Adults</v>
      </c>
      <c r="D179" t="s">
        <v>28</v>
      </c>
      <c r="E179">
        <v>5.7</v>
      </c>
      <c r="G179" t="s">
        <v>76</v>
      </c>
      <c r="H179" t="s">
        <v>77</v>
      </c>
      <c r="I179" t="s">
        <v>50</v>
      </c>
      <c r="J179">
        <v>5.7</v>
      </c>
      <c r="L179" t="s">
        <v>43</v>
      </c>
      <c r="M179" t="s">
        <v>74</v>
      </c>
      <c r="N179" t="s">
        <v>62</v>
      </c>
      <c r="O179">
        <v>3.84</v>
      </c>
      <c r="P179">
        <v>4</v>
      </c>
      <c r="Q179" t="s">
        <v>63</v>
      </c>
      <c r="R179" t="s">
        <v>36</v>
      </c>
      <c r="S179" t="b">
        <v>0</v>
      </c>
      <c r="T179" t="b">
        <v>1</v>
      </c>
      <c r="U179" t="b">
        <v>0</v>
      </c>
      <c r="V179" t="b">
        <v>0</v>
      </c>
      <c r="W179" t="b">
        <v>1</v>
      </c>
      <c r="X179">
        <v>2.4</v>
      </c>
      <c r="Y179">
        <v>7.3</v>
      </c>
      <c r="Z179">
        <v>3</v>
      </c>
      <c r="AA179">
        <v>9.4</v>
      </c>
      <c r="AB179" s="3">
        <v>123.33</v>
      </c>
      <c r="AC179" s="3"/>
      <c r="AD179">
        <v>8</v>
      </c>
      <c r="AE179" t="s">
        <v>64</v>
      </c>
      <c r="AF179" s="4"/>
    </row>
    <row r="180" spans="1:32" x14ac:dyDescent="0.3">
      <c r="A180" t="s">
        <v>271</v>
      </c>
      <c r="B180">
        <v>22</v>
      </c>
      <c r="C180" t="str">
        <f t="shared" si="2"/>
        <v>Young Adults</v>
      </c>
      <c r="D180" t="s">
        <v>53</v>
      </c>
      <c r="E180">
        <v>8.1999999999999993</v>
      </c>
      <c r="G180" t="s">
        <v>39</v>
      </c>
      <c r="H180" t="s">
        <v>93</v>
      </c>
      <c r="I180" t="s">
        <v>50</v>
      </c>
      <c r="J180">
        <v>4.2</v>
      </c>
      <c r="L180" t="s">
        <v>51</v>
      </c>
      <c r="M180" t="s">
        <v>42</v>
      </c>
      <c r="N180" t="s">
        <v>51</v>
      </c>
      <c r="O180">
        <v>2.27</v>
      </c>
      <c r="P180">
        <v>6</v>
      </c>
      <c r="Q180" t="s">
        <v>56</v>
      </c>
      <c r="R180" t="s">
        <v>42</v>
      </c>
      <c r="S180" t="b">
        <v>0</v>
      </c>
      <c r="T180" t="b">
        <v>1</v>
      </c>
      <c r="U180" t="b">
        <v>0</v>
      </c>
      <c r="V180" t="b">
        <v>1</v>
      </c>
      <c r="W180" t="b">
        <v>1</v>
      </c>
      <c r="X180">
        <v>1.9</v>
      </c>
      <c r="Y180">
        <v>4.2</v>
      </c>
      <c r="Z180">
        <v>5</v>
      </c>
      <c r="AA180">
        <v>7.8</v>
      </c>
      <c r="AB180" s="3">
        <v>77.94</v>
      </c>
      <c r="AC180" s="3"/>
      <c r="AD180">
        <v>5</v>
      </c>
      <c r="AE180" t="s">
        <v>64</v>
      </c>
      <c r="AF180" s="4"/>
    </row>
    <row r="181" spans="1:32" x14ac:dyDescent="0.3">
      <c r="A181" t="s">
        <v>272</v>
      </c>
      <c r="B181">
        <v>19</v>
      </c>
      <c r="C181" t="str">
        <f t="shared" si="2"/>
        <v>Teenager</v>
      </c>
      <c r="D181" t="s">
        <v>53</v>
      </c>
      <c r="E181">
        <v>3.1</v>
      </c>
      <c r="G181" t="s">
        <v>39</v>
      </c>
      <c r="H181" t="s">
        <v>93</v>
      </c>
      <c r="I181" t="s">
        <v>86</v>
      </c>
      <c r="J181">
        <v>7.2</v>
      </c>
      <c r="L181" t="s">
        <v>43</v>
      </c>
      <c r="M181" t="s">
        <v>33</v>
      </c>
      <c r="N181" t="s">
        <v>84</v>
      </c>
      <c r="O181">
        <v>3.51</v>
      </c>
      <c r="P181">
        <v>1</v>
      </c>
      <c r="Q181" t="s">
        <v>69</v>
      </c>
      <c r="R181" t="s">
        <v>33</v>
      </c>
      <c r="S181" t="b">
        <v>0</v>
      </c>
      <c r="T181" t="b">
        <v>0</v>
      </c>
      <c r="U181" t="b">
        <v>0</v>
      </c>
      <c r="V181" t="b">
        <v>0</v>
      </c>
      <c r="W181" t="b">
        <v>0</v>
      </c>
      <c r="X181">
        <v>1.2</v>
      </c>
      <c r="Y181">
        <v>9.1</v>
      </c>
      <c r="Z181">
        <v>1</v>
      </c>
      <c r="AA181">
        <v>9.6999999999999993</v>
      </c>
      <c r="AB181" s="3">
        <v>15.06</v>
      </c>
      <c r="AC181" s="3"/>
      <c r="AD181">
        <v>1</v>
      </c>
      <c r="AE181" t="s">
        <v>46</v>
      </c>
      <c r="AF181" s="4"/>
    </row>
    <row r="182" spans="1:32" x14ac:dyDescent="0.3">
      <c r="A182" t="s">
        <v>273</v>
      </c>
      <c r="B182">
        <v>22</v>
      </c>
      <c r="C182" t="str">
        <f t="shared" si="2"/>
        <v>Young Adults</v>
      </c>
      <c r="D182" t="s">
        <v>53</v>
      </c>
      <c r="E182">
        <v>7.3</v>
      </c>
      <c r="G182" t="s">
        <v>82</v>
      </c>
      <c r="H182" t="s">
        <v>134</v>
      </c>
      <c r="I182" t="s">
        <v>86</v>
      </c>
      <c r="J182">
        <v>3</v>
      </c>
      <c r="L182" t="s">
        <v>51</v>
      </c>
      <c r="M182" t="s">
        <v>36</v>
      </c>
      <c r="N182" t="s">
        <v>84</v>
      </c>
      <c r="O182">
        <v>2.15</v>
      </c>
      <c r="P182">
        <v>5</v>
      </c>
      <c r="Q182" t="s">
        <v>63</v>
      </c>
      <c r="R182" t="s">
        <v>33</v>
      </c>
      <c r="S182" t="b">
        <v>1</v>
      </c>
      <c r="T182" t="b">
        <v>0</v>
      </c>
      <c r="U182" t="b">
        <v>0</v>
      </c>
      <c r="V182" t="b">
        <v>1</v>
      </c>
      <c r="W182" t="b">
        <v>1</v>
      </c>
      <c r="X182">
        <v>0.7</v>
      </c>
      <c r="Y182">
        <v>7.9</v>
      </c>
      <c r="Z182">
        <v>4</v>
      </c>
      <c r="AA182">
        <v>8.8000000000000007</v>
      </c>
      <c r="AB182" s="3">
        <v>31.57</v>
      </c>
      <c r="AC182" s="3"/>
      <c r="AD182">
        <v>12</v>
      </c>
      <c r="AE182" t="s">
        <v>64</v>
      </c>
      <c r="AF182" s="4"/>
    </row>
    <row r="183" spans="1:32" x14ac:dyDescent="0.3">
      <c r="A183" t="s">
        <v>274</v>
      </c>
      <c r="B183">
        <v>17</v>
      </c>
      <c r="C183" t="str">
        <f t="shared" si="2"/>
        <v>Teenager</v>
      </c>
      <c r="D183" t="s">
        <v>53</v>
      </c>
      <c r="E183">
        <v>10.9</v>
      </c>
      <c r="G183" t="s">
        <v>76</v>
      </c>
      <c r="H183" t="s">
        <v>126</v>
      </c>
      <c r="I183" t="s">
        <v>86</v>
      </c>
      <c r="J183">
        <v>3.8</v>
      </c>
      <c r="L183" t="s">
        <v>51</v>
      </c>
      <c r="M183" t="s">
        <v>45</v>
      </c>
      <c r="N183" t="s">
        <v>34</v>
      </c>
      <c r="O183">
        <v>3.21</v>
      </c>
      <c r="Q183" t="s">
        <v>44</v>
      </c>
      <c r="R183" t="s">
        <v>57</v>
      </c>
      <c r="S183" t="b">
        <v>1</v>
      </c>
      <c r="T183" t="b">
        <v>1</v>
      </c>
      <c r="U183" t="b">
        <v>1</v>
      </c>
      <c r="V183" t="b">
        <v>1</v>
      </c>
      <c r="W183" t="b">
        <v>1</v>
      </c>
      <c r="X183">
        <v>3.5</v>
      </c>
      <c r="Y183">
        <v>3.7</v>
      </c>
      <c r="Z183">
        <v>6</v>
      </c>
      <c r="AA183">
        <v>1.1000000000000001</v>
      </c>
      <c r="AB183" s="3">
        <v>232.94</v>
      </c>
      <c r="AC183" s="3"/>
      <c r="AD183">
        <v>2</v>
      </c>
      <c r="AE183" t="s">
        <v>37</v>
      </c>
      <c r="AF183" s="4"/>
    </row>
    <row r="184" spans="1:32" x14ac:dyDescent="0.3">
      <c r="A184" t="s">
        <v>275</v>
      </c>
      <c r="B184">
        <v>28</v>
      </c>
      <c r="C184" t="str">
        <f t="shared" si="2"/>
        <v>Young Adults</v>
      </c>
      <c r="D184" t="s">
        <v>28</v>
      </c>
      <c r="E184">
        <v>11</v>
      </c>
      <c r="G184" t="s">
        <v>54</v>
      </c>
      <c r="H184" t="s">
        <v>55</v>
      </c>
      <c r="I184" t="s">
        <v>50</v>
      </c>
      <c r="J184">
        <v>3.3</v>
      </c>
      <c r="L184" t="s">
        <v>32</v>
      </c>
      <c r="M184" t="s">
        <v>33</v>
      </c>
      <c r="N184" t="s">
        <v>62</v>
      </c>
      <c r="P184">
        <v>7</v>
      </c>
      <c r="Q184" t="s">
        <v>35</v>
      </c>
      <c r="R184" t="s">
        <v>57</v>
      </c>
      <c r="S184" t="b">
        <v>1</v>
      </c>
      <c r="T184" t="b">
        <v>1</v>
      </c>
      <c r="U184" t="b">
        <v>1</v>
      </c>
      <c r="V184" t="b">
        <v>1</v>
      </c>
      <c r="W184" t="b">
        <v>0</v>
      </c>
      <c r="X184">
        <v>2.4</v>
      </c>
      <c r="Y184">
        <v>5.5</v>
      </c>
      <c r="Z184">
        <v>5</v>
      </c>
      <c r="AA184">
        <v>0.3</v>
      </c>
      <c r="AB184" s="3">
        <v>207.35</v>
      </c>
      <c r="AC184" s="3"/>
      <c r="AD184">
        <v>4</v>
      </c>
      <c r="AE184" t="s">
        <v>37</v>
      </c>
      <c r="AF184" s="4"/>
    </row>
    <row r="185" spans="1:32" x14ac:dyDescent="0.3">
      <c r="A185" t="s">
        <v>276</v>
      </c>
      <c r="B185">
        <v>19</v>
      </c>
      <c r="C185" t="str">
        <f t="shared" si="2"/>
        <v>Teenager</v>
      </c>
      <c r="D185" t="s">
        <v>28</v>
      </c>
      <c r="E185">
        <v>11</v>
      </c>
      <c r="G185" t="s">
        <v>29</v>
      </c>
      <c r="H185" t="s">
        <v>118</v>
      </c>
      <c r="I185" t="s">
        <v>31</v>
      </c>
      <c r="J185">
        <v>3.7</v>
      </c>
      <c r="L185" t="s">
        <v>41</v>
      </c>
      <c r="M185" t="s">
        <v>45</v>
      </c>
      <c r="N185" t="s">
        <v>51</v>
      </c>
      <c r="O185">
        <v>3.52</v>
      </c>
      <c r="P185">
        <v>8</v>
      </c>
      <c r="Q185" t="s">
        <v>44</v>
      </c>
      <c r="R185" t="s">
        <v>36</v>
      </c>
      <c r="S185" t="b">
        <v>1</v>
      </c>
      <c r="T185" t="b">
        <v>0</v>
      </c>
      <c r="U185" t="b">
        <v>0</v>
      </c>
      <c r="V185" t="b">
        <v>0</v>
      </c>
      <c r="W185" t="b">
        <v>0</v>
      </c>
      <c r="X185">
        <v>8</v>
      </c>
      <c r="Y185">
        <v>6.3</v>
      </c>
      <c r="Z185">
        <v>8</v>
      </c>
      <c r="AA185">
        <v>0.4</v>
      </c>
      <c r="AB185" s="3">
        <v>484.09</v>
      </c>
      <c r="AC185" s="3"/>
      <c r="AD185">
        <v>8</v>
      </c>
      <c r="AE185" t="s">
        <v>58</v>
      </c>
      <c r="AF185" s="4"/>
    </row>
    <row r="186" spans="1:32" x14ac:dyDescent="0.3">
      <c r="A186" t="s">
        <v>277</v>
      </c>
      <c r="B186">
        <v>24</v>
      </c>
      <c r="C186" t="str">
        <f t="shared" si="2"/>
        <v>Young Adults</v>
      </c>
      <c r="D186" t="s">
        <v>28</v>
      </c>
      <c r="E186">
        <v>10.5</v>
      </c>
      <c r="G186" t="s">
        <v>76</v>
      </c>
      <c r="H186" t="s">
        <v>77</v>
      </c>
      <c r="I186" t="s">
        <v>50</v>
      </c>
      <c r="J186">
        <v>4.5</v>
      </c>
      <c r="L186" t="s">
        <v>32</v>
      </c>
      <c r="M186" t="s">
        <v>45</v>
      </c>
      <c r="N186" t="s">
        <v>51</v>
      </c>
      <c r="P186">
        <v>4</v>
      </c>
      <c r="Q186" t="s">
        <v>35</v>
      </c>
      <c r="R186" t="s">
        <v>45</v>
      </c>
      <c r="S186" t="b">
        <v>1</v>
      </c>
      <c r="T186" t="b">
        <v>1</v>
      </c>
      <c r="U186" t="b">
        <v>0</v>
      </c>
      <c r="V186" t="b">
        <v>0</v>
      </c>
      <c r="W186" t="b">
        <v>1</v>
      </c>
      <c r="X186">
        <v>3.1</v>
      </c>
      <c r="Y186">
        <v>3.3</v>
      </c>
      <c r="Z186">
        <v>6</v>
      </c>
      <c r="AA186">
        <v>3.6</v>
      </c>
      <c r="AB186" s="3">
        <v>240.74</v>
      </c>
      <c r="AC186" s="3"/>
      <c r="AD186">
        <v>10</v>
      </c>
      <c r="AE186" t="s">
        <v>37</v>
      </c>
      <c r="AF186" s="4"/>
    </row>
    <row r="187" spans="1:32" x14ac:dyDescent="0.3">
      <c r="A187" t="s">
        <v>278</v>
      </c>
      <c r="B187">
        <v>19</v>
      </c>
      <c r="C187" t="str">
        <f t="shared" si="2"/>
        <v>Teenager</v>
      </c>
      <c r="D187" t="s">
        <v>53</v>
      </c>
      <c r="E187">
        <v>7</v>
      </c>
      <c r="G187" t="s">
        <v>82</v>
      </c>
      <c r="H187" t="s">
        <v>134</v>
      </c>
      <c r="I187" t="s">
        <v>50</v>
      </c>
      <c r="J187">
        <v>4.0999999999999996</v>
      </c>
      <c r="L187" t="s">
        <v>32</v>
      </c>
      <c r="M187" t="s">
        <v>42</v>
      </c>
      <c r="N187" t="s">
        <v>34</v>
      </c>
      <c r="O187">
        <v>1.42</v>
      </c>
      <c r="P187">
        <v>4</v>
      </c>
      <c r="Q187" t="s">
        <v>80</v>
      </c>
      <c r="R187" t="s">
        <v>33</v>
      </c>
      <c r="S187" t="b">
        <v>1</v>
      </c>
      <c r="T187" t="b">
        <v>0</v>
      </c>
      <c r="U187" t="b">
        <v>0</v>
      </c>
      <c r="V187" t="b">
        <v>1</v>
      </c>
      <c r="W187" t="b">
        <v>0</v>
      </c>
      <c r="X187">
        <v>0</v>
      </c>
      <c r="Y187">
        <v>8.4</v>
      </c>
      <c r="Z187">
        <v>4</v>
      </c>
      <c r="AA187">
        <v>5.4</v>
      </c>
      <c r="AB187" s="3">
        <v>45.66</v>
      </c>
      <c r="AC187" s="3"/>
      <c r="AD187">
        <v>8</v>
      </c>
      <c r="AE187" t="s">
        <v>64</v>
      </c>
      <c r="AF187" s="4"/>
    </row>
    <row r="188" spans="1:32" x14ac:dyDescent="0.3">
      <c r="A188" t="s">
        <v>279</v>
      </c>
      <c r="B188">
        <v>16</v>
      </c>
      <c r="C188" t="str">
        <f t="shared" si="2"/>
        <v>Teenager</v>
      </c>
      <c r="D188" t="s">
        <v>53</v>
      </c>
      <c r="E188">
        <v>2</v>
      </c>
      <c r="G188" t="s">
        <v>54</v>
      </c>
      <c r="H188" t="s">
        <v>89</v>
      </c>
      <c r="I188" t="s">
        <v>86</v>
      </c>
      <c r="J188">
        <v>7.6</v>
      </c>
      <c r="L188" t="s">
        <v>41</v>
      </c>
      <c r="M188" t="s">
        <v>42</v>
      </c>
      <c r="N188" t="s">
        <v>84</v>
      </c>
      <c r="O188">
        <v>1.23</v>
      </c>
      <c r="Q188" t="s">
        <v>66</v>
      </c>
      <c r="R188" t="s">
        <v>57</v>
      </c>
      <c r="S188" t="b">
        <v>0</v>
      </c>
      <c r="T188" t="b">
        <v>0</v>
      </c>
      <c r="U188" t="b">
        <v>0</v>
      </c>
      <c r="V188" t="b">
        <v>0</v>
      </c>
      <c r="W188" t="b">
        <v>0</v>
      </c>
      <c r="X188">
        <v>0.1</v>
      </c>
      <c r="Y188">
        <v>9.9</v>
      </c>
      <c r="Z188">
        <v>3</v>
      </c>
      <c r="AA188">
        <v>12.7</v>
      </c>
      <c r="AB188" s="3">
        <v>23.53</v>
      </c>
      <c r="AC188" s="3"/>
      <c r="AD188">
        <v>5</v>
      </c>
      <c r="AE188" t="s">
        <v>46</v>
      </c>
      <c r="AF188" s="4"/>
    </row>
    <row r="189" spans="1:32" x14ac:dyDescent="0.3">
      <c r="A189" t="s">
        <v>280</v>
      </c>
      <c r="B189">
        <v>24</v>
      </c>
      <c r="C189" t="str">
        <f t="shared" si="2"/>
        <v>Young Adults</v>
      </c>
      <c r="D189" t="s">
        <v>28</v>
      </c>
      <c r="E189">
        <v>11.2</v>
      </c>
      <c r="G189" t="s">
        <v>76</v>
      </c>
      <c r="H189" t="s">
        <v>77</v>
      </c>
      <c r="I189" t="s">
        <v>86</v>
      </c>
      <c r="J189">
        <v>4</v>
      </c>
      <c r="L189" t="s">
        <v>32</v>
      </c>
      <c r="M189" t="s">
        <v>36</v>
      </c>
      <c r="N189" t="s">
        <v>51</v>
      </c>
      <c r="P189">
        <v>10</v>
      </c>
      <c r="Q189" t="s">
        <v>63</v>
      </c>
      <c r="R189" t="s">
        <v>57</v>
      </c>
      <c r="S189" t="b">
        <v>1</v>
      </c>
      <c r="T189" t="b">
        <v>1</v>
      </c>
      <c r="U189" t="b">
        <v>1</v>
      </c>
      <c r="V189" t="b">
        <v>1</v>
      </c>
      <c r="W189" t="b">
        <v>0</v>
      </c>
      <c r="X189">
        <v>3.5</v>
      </c>
      <c r="Y189">
        <v>5</v>
      </c>
      <c r="Z189">
        <v>8</v>
      </c>
      <c r="AA189">
        <v>0.7</v>
      </c>
      <c r="AB189" s="3">
        <v>246.83</v>
      </c>
      <c r="AC189" s="3"/>
      <c r="AD189">
        <v>8</v>
      </c>
      <c r="AE189" t="s">
        <v>37</v>
      </c>
      <c r="AF189" s="4"/>
    </row>
    <row r="190" spans="1:32" x14ac:dyDescent="0.3">
      <c r="A190" t="s">
        <v>281</v>
      </c>
      <c r="B190">
        <v>21</v>
      </c>
      <c r="C190" t="str">
        <f t="shared" si="2"/>
        <v>Young Adults</v>
      </c>
      <c r="D190" t="s">
        <v>28</v>
      </c>
      <c r="E190">
        <v>4.4000000000000004</v>
      </c>
      <c r="G190" t="s">
        <v>48</v>
      </c>
      <c r="H190" t="s">
        <v>68</v>
      </c>
      <c r="I190" t="s">
        <v>50</v>
      </c>
      <c r="J190">
        <v>6.6</v>
      </c>
      <c r="L190" t="s">
        <v>41</v>
      </c>
      <c r="M190" t="s">
        <v>42</v>
      </c>
      <c r="N190" t="s">
        <v>34</v>
      </c>
      <c r="O190">
        <v>3.23</v>
      </c>
      <c r="P190">
        <v>9</v>
      </c>
      <c r="Q190" t="s">
        <v>63</v>
      </c>
      <c r="R190" t="s">
        <v>42</v>
      </c>
      <c r="S190" t="b">
        <v>0</v>
      </c>
      <c r="T190" t="b">
        <v>0</v>
      </c>
      <c r="U190" t="b">
        <v>0</v>
      </c>
      <c r="V190" t="b">
        <v>0</v>
      </c>
      <c r="W190" t="b">
        <v>0</v>
      </c>
      <c r="X190">
        <v>1.7</v>
      </c>
      <c r="Y190">
        <v>9</v>
      </c>
      <c r="Z190">
        <v>3</v>
      </c>
      <c r="AA190">
        <v>8.8000000000000007</v>
      </c>
      <c r="AB190" s="3">
        <v>45.31</v>
      </c>
      <c r="AC190" s="3"/>
      <c r="AD190">
        <v>8</v>
      </c>
      <c r="AE190" t="s">
        <v>46</v>
      </c>
      <c r="AF190" s="4"/>
    </row>
    <row r="191" spans="1:32" x14ac:dyDescent="0.3">
      <c r="A191" t="s">
        <v>282</v>
      </c>
      <c r="B191">
        <v>17</v>
      </c>
      <c r="C191" t="str">
        <f t="shared" si="2"/>
        <v>Teenager</v>
      </c>
      <c r="D191" t="s">
        <v>28</v>
      </c>
      <c r="E191">
        <v>6.3</v>
      </c>
      <c r="G191" t="s">
        <v>29</v>
      </c>
      <c r="H191" t="s">
        <v>118</v>
      </c>
      <c r="I191" t="s">
        <v>86</v>
      </c>
      <c r="J191">
        <v>5</v>
      </c>
      <c r="L191" t="s">
        <v>51</v>
      </c>
      <c r="M191" t="s">
        <v>42</v>
      </c>
      <c r="N191" t="s">
        <v>62</v>
      </c>
      <c r="O191">
        <v>3.5</v>
      </c>
      <c r="Q191" t="s">
        <v>56</v>
      </c>
      <c r="R191" t="s">
        <v>36</v>
      </c>
      <c r="S191" t="b">
        <v>0</v>
      </c>
      <c r="T191" t="b">
        <v>0</v>
      </c>
      <c r="U191" t="b">
        <v>0</v>
      </c>
      <c r="V191" t="b">
        <v>1</v>
      </c>
      <c r="W191" t="b">
        <v>1</v>
      </c>
      <c r="X191">
        <v>0.3</v>
      </c>
      <c r="Y191">
        <v>7.6</v>
      </c>
      <c r="Z191">
        <v>3</v>
      </c>
      <c r="AA191">
        <v>8.1999999999999993</v>
      </c>
      <c r="AB191" s="3">
        <v>41.6</v>
      </c>
      <c r="AC191" s="3"/>
      <c r="AD191">
        <v>5</v>
      </c>
      <c r="AE191" t="s">
        <v>46</v>
      </c>
      <c r="AF191" s="4"/>
    </row>
    <row r="192" spans="1:32" x14ac:dyDescent="0.3">
      <c r="A192" t="s">
        <v>283</v>
      </c>
      <c r="B192">
        <v>18</v>
      </c>
      <c r="C192" t="str">
        <f t="shared" si="2"/>
        <v>Teenager</v>
      </c>
      <c r="D192" t="s">
        <v>28</v>
      </c>
      <c r="E192">
        <v>4.2</v>
      </c>
      <c r="G192" t="s">
        <v>48</v>
      </c>
      <c r="H192" t="s">
        <v>128</v>
      </c>
      <c r="I192" t="s">
        <v>86</v>
      </c>
      <c r="J192">
        <v>6.1</v>
      </c>
      <c r="L192" t="s">
        <v>51</v>
      </c>
      <c r="M192" t="s">
        <v>36</v>
      </c>
      <c r="N192" t="s">
        <v>62</v>
      </c>
      <c r="O192">
        <v>1.64</v>
      </c>
      <c r="Q192" t="s">
        <v>66</v>
      </c>
      <c r="R192" t="s">
        <v>42</v>
      </c>
      <c r="S192" t="b">
        <v>0</v>
      </c>
      <c r="T192" t="b">
        <v>0</v>
      </c>
      <c r="U192" t="b">
        <v>0</v>
      </c>
      <c r="V192" t="b">
        <v>0</v>
      </c>
      <c r="W192" t="b">
        <v>0</v>
      </c>
      <c r="X192">
        <v>0.6</v>
      </c>
      <c r="Y192">
        <v>7.2</v>
      </c>
      <c r="Z192">
        <v>1</v>
      </c>
      <c r="AA192">
        <v>9.5</v>
      </c>
      <c r="AB192" s="3">
        <v>6.99</v>
      </c>
      <c r="AC192" s="3"/>
      <c r="AD192">
        <v>7</v>
      </c>
      <c r="AE192" t="s">
        <v>46</v>
      </c>
      <c r="AF192" s="4"/>
    </row>
    <row r="193" spans="1:32" x14ac:dyDescent="0.3">
      <c r="A193" t="s">
        <v>284</v>
      </c>
      <c r="B193">
        <v>20</v>
      </c>
      <c r="C193" t="str">
        <f t="shared" si="2"/>
        <v>Young Adults</v>
      </c>
      <c r="D193" t="s">
        <v>28</v>
      </c>
      <c r="E193">
        <v>3.9</v>
      </c>
      <c r="G193" t="s">
        <v>76</v>
      </c>
      <c r="H193" t="s">
        <v>126</v>
      </c>
      <c r="I193" t="s">
        <v>71</v>
      </c>
      <c r="J193">
        <v>6.3</v>
      </c>
      <c r="L193" t="s">
        <v>43</v>
      </c>
      <c r="M193" t="s">
        <v>36</v>
      </c>
      <c r="N193" t="s">
        <v>43</v>
      </c>
      <c r="O193">
        <v>3.5</v>
      </c>
      <c r="P193">
        <v>9</v>
      </c>
      <c r="Q193" t="s">
        <v>63</v>
      </c>
      <c r="R193" t="s">
        <v>45</v>
      </c>
      <c r="S193" t="b">
        <v>0</v>
      </c>
      <c r="T193" t="b">
        <v>0</v>
      </c>
      <c r="U193" t="b">
        <v>0</v>
      </c>
      <c r="V193" t="b">
        <v>0</v>
      </c>
      <c r="W193" t="b">
        <v>0</v>
      </c>
      <c r="X193">
        <v>0</v>
      </c>
      <c r="Y193">
        <v>7.9</v>
      </c>
      <c r="Z193">
        <v>2</v>
      </c>
      <c r="AA193">
        <v>9</v>
      </c>
      <c r="AB193" s="3">
        <v>36.21</v>
      </c>
      <c r="AC193" s="3"/>
      <c r="AD193">
        <v>2</v>
      </c>
      <c r="AE193" t="s">
        <v>46</v>
      </c>
      <c r="AF193" s="4"/>
    </row>
    <row r="194" spans="1:32" x14ac:dyDescent="0.3">
      <c r="A194" t="s">
        <v>285</v>
      </c>
      <c r="B194">
        <v>18</v>
      </c>
      <c r="C194" t="str">
        <f t="shared" si="2"/>
        <v>Teenager</v>
      </c>
      <c r="D194" t="s">
        <v>53</v>
      </c>
      <c r="E194">
        <v>1.5</v>
      </c>
      <c r="G194" t="s">
        <v>82</v>
      </c>
      <c r="H194" t="s">
        <v>83</v>
      </c>
      <c r="I194" t="s">
        <v>86</v>
      </c>
      <c r="J194">
        <v>7</v>
      </c>
      <c r="L194" t="s">
        <v>43</v>
      </c>
      <c r="M194" t="s">
        <v>36</v>
      </c>
      <c r="N194" t="s">
        <v>62</v>
      </c>
      <c r="O194">
        <v>1.24</v>
      </c>
      <c r="Q194" t="s">
        <v>44</v>
      </c>
      <c r="R194" t="s">
        <v>57</v>
      </c>
      <c r="S194" t="b">
        <v>0</v>
      </c>
      <c r="T194" t="b">
        <v>0</v>
      </c>
      <c r="U194" t="b">
        <v>0</v>
      </c>
      <c r="V194" t="b">
        <v>0</v>
      </c>
      <c r="W194" t="b">
        <v>0</v>
      </c>
      <c r="X194">
        <v>0.3</v>
      </c>
      <c r="Y194">
        <v>11.5</v>
      </c>
      <c r="Z194">
        <v>1</v>
      </c>
      <c r="AA194">
        <v>13.6</v>
      </c>
      <c r="AB194" s="3">
        <v>32</v>
      </c>
      <c r="AC194" s="3"/>
      <c r="AD194">
        <v>7</v>
      </c>
      <c r="AE194" t="s">
        <v>46</v>
      </c>
      <c r="AF194" s="4"/>
    </row>
    <row r="195" spans="1:32" x14ac:dyDescent="0.3">
      <c r="A195" t="s">
        <v>286</v>
      </c>
      <c r="B195">
        <v>24</v>
      </c>
      <c r="C195" t="str">
        <f t="shared" ref="C195:C258" si="3">IF(B195&lt;=19,"Teenager",IF(B195&lt;=30,"Young Adults",IF(B195&gt;30,"Old Adults")))</f>
        <v>Young Adults</v>
      </c>
      <c r="D195" t="s">
        <v>28</v>
      </c>
      <c r="E195">
        <v>8.8000000000000007</v>
      </c>
      <c r="G195" t="s">
        <v>82</v>
      </c>
      <c r="H195" t="s">
        <v>167</v>
      </c>
      <c r="I195" t="s">
        <v>86</v>
      </c>
      <c r="J195">
        <v>4.0999999999999996</v>
      </c>
      <c r="L195" t="s">
        <v>32</v>
      </c>
      <c r="M195" t="s">
        <v>33</v>
      </c>
      <c r="N195" t="s">
        <v>43</v>
      </c>
      <c r="P195">
        <v>6</v>
      </c>
      <c r="Q195" t="s">
        <v>44</v>
      </c>
      <c r="R195" t="s">
        <v>36</v>
      </c>
      <c r="S195" t="b">
        <v>1</v>
      </c>
      <c r="T195" t="b">
        <v>1</v>
      </c>
      <c r="U195" t="b">
        <v>1</v>
      </c>
      <c r="V195" t="b">
        <v>1</v>
      </c>
      <c r="W195" t="b">
        <v>1</v>
      </c>
      <c r="X195">
        <v>0.9</v>
      </c>
      <c r="Y195">
        <v>4.4000000000000004</v>
      </c>
      <c r="Z195">
        <v>7</v>
      </c>
      <c r="AA195">
        <v>2.6</v>
      </c>
      <c r="AB195" s="3">
        <v>67.73</v>
      </c>
      <c r="AC195" s="3"/>
      <c r="AD195">
        <v>11</v>
      </c>
      <c r="AE195" t="s">
        <v>37</v>
      </c>
      <c r="AF195" s="4"/>
    </row>
    <row r="196" spans="1:32" x14ac:dyDescent="0.3">
      <c r="A196" t="s">
        <v>287</v>
      </c>
      <c r="B196">
        <v>21</v>
      </c>
      <c r="C196" t="str">
        <f t="shared" si="3"/>
        <v>Young Adults</v>
      </c>
      <c r="D196" t="s">
        <v>53</v>
      </c>
      <c r="E196">
        <v>3.7</v>
      </c>
      <c r="G196" t="s">
        <v>60</v>
      </c>
      <c r="H196" t="s">
        <v>61</v>
      </c>
      <c r="I196" t="s">
        <v>50</v>
      </c>
      <c r="J196">
        <v>5.8</v>
      </c>
      <c r="L196" t="s">
        <v>51</v>
      </c>
      <c r="M196" t="s">
        <v>36</v>
      </c>
      <c r="N196" t="s">
        <v>51</v>
      </c>
      <c r="O196">
        <v>2.84</v>
      </c>
      <c r="P196">
        <v>8</v>
      </c>
      <c r="Q196" t="s">
        <v>63</v>
      </c>
      <c r="R196" t="s">
        <v>36</v>
      </c>
      <c r="S196" t="b">
        <v>0</v>
      </c>
      <c r="T196" t="b">
        <v>0</v>
      </c>
      <c r="U196" t="b">
        <v>0</v>
      </c>
      <c r="V196" t="b">
        <v>0</v>
      </c>
      <c r="W196" t="b">
        <v>0</v>
      </c>
      <c r="X196">
        <v>0.4</v>
      </c>
      <c r="Y196">
        <v>8</v>
      </c>
      <c r="Z196">
        <v>3</v>
      </c>
      <c r="AA196">
        <v>7.4</v>
      </c>
      <c r="AB196" s="3">
        <v>24.63</v>
      </c>
      <c r="AC196" s="3"/>
      <c r="AD196">
        <v>10</v>
      </c>
      <c r="AE196" t="s">
        <v>46</v>
      </c>
      <c r="AF196" s="4"/>
    </row>
    <row r="197" spans="1:32" x14ac:dyDescent="0.3">
      <c r="A197" t="s">
        <v>288</v>
      </c>
      <c r="B197">
        <v>19</v>
      </c>
      <c r="C197" t="str">
        <f t="shared" si="3"/>
        <v>Teenager</v>
      </c>
      <c r="D197" t="s">
        <v>28</v>
      </c>
      <c r="E197">
        <v>5.2</v>
      </c>
      <c r="G197" t="s">
        <v>39</v>
      </c>
      <c r="H197" t="s">
        <v>120</v>
      </c>
      <c r="I197" t="s">
        <v>50</v>
      </c>
      <c r="J197">
        <v>6.5</v>
      </c>
      <c r="L197" t="s">
        <v>51</v>
      </c>
      <c r="M197" t="s">
        <v>36</v>
      </c>
      <c r="N197" t="s">
        <v>43</v>
      </c>
      <c r="O197">
        <v>1.85</v>
      </c>
      <c r="P197">
        <v>8</v>
      </c>
      <c r="Q197" t="s">
        <v>63</v>
      </c>
      <c r="R197" t="s">
        <v>57</v>
      </c>
      <c r="S197" t="b">
        <v>0</v>
      </c>
      <c r="T197" t="b">
        <v>0</v>
      </c>
      <c r="U197" t="b">
        <v>0</v>
      </c>
      <c r="V197" t="b">
        <v>1</v>
      </c>
      <c r="W197" t="b">
        <v>0</v>
      </c>
      <c r="X197">
        <v>1.8</v>
      </c>
      <c r="Y197">
        <v>8.8000000000000007</v>
      </c>
      <c r="Z197">
        <v>1</v>
      </c>
      <c r="AA197">
        <v>6.2</v>
      </c>
      <c r="AB197" s="3">
        <v>89.91</v>
      </c>
      <c r="AC197" s="3"/>
      <c r="AD197">
        <v>2</v>
      </c>
      <c r="AE197" t="s">
        <v>46</v>
      </c>
      <c r="AF197" s="4"/>
    </row>
    <row r="198" spans="1:32" x14ac:dyDescent="0.3">
      <c r="A198" t="s">
        <v>289</v>
      </c>
      <c r="B198">
        <v>20</v>
      </c>
      <c r="C198" t="str">
        <f t="shared" si="3"/>
        <v>Young Adults</v>
      </c>
      <c r="D198" t="s">
        <v>28</v>
      </c>
      <c r="E198">
        <v>6.6</v>
      </c>
      <c r="G198" t="s">
        <v>48</v>
      </c>
      <c r="H198" t="s">
        <v>214</v>
      </c>
      <c r="I198" t="s">
        <v>86</v>
      </c>
      <c r="J198">
        <v>5.0999999999999996</v>
      </c>
      <c r="L198" t="s">
        <v>32</v>
      </c>
      <c r="M198" t="s">
        <v>45</v>
      </c>
      <c r="N198" t="s">
        <v>129</v>
      </c>
      <c r="O198">
        <v>1.77</v>
      </c>
      <c r="P198">
        <v>5</v>
      </c>
      <c r="Q198" t="s">
        <v>44</v>
      </c>
      <c r="R198" t="s">
        <v>36</v>
      </c>
      <c r="S198" t="b">
        <v>1</v>
      </c>
      <c r="T198" t="b">
        <v>1</v>
      </c>
      <c r="U198" t="b">
        <v>0</v>
      </c>
      <c r="V198" t="b">
        <v>1</v>
      </c>
      <c r="W198" t="b">
        <v>1</v>
      </c>
      <c r="X198">
        <v>1.6</v>
      </c>
      <c r="Y198">
        <v>7.4</v>
      </c>
      <c r="Z198">
        <v>6</v>
      </c>
      <c r="AA198">
        <v>5.5</v>
      </c>
      <c r="AB198" s="3">
        <v>56.6</v>
      </c>
      <c r="AC198" s="3"/>
      <c r="AD198">
        <v>5</v>
      </c>
      <c r="AE198" t="s">
        <v>58</v>
      </c>
      <c r="AF198" s="4"/>
    </row>
    <row r="199" spans="1:32" x14ac:dyDescent="0.3">
      <c r="A199" t="s">
        <v>290</v>
      </c>
      <c r="B199">
        <v>24</v>
      </c>
      <c r="C199" t="str">
        <f t="shared" si="3"/>
        <v>Young Adults</v>
      </c>
      <c r="D199" t="s">
        <v>53</v>
      </c>
      <c r="E199">
        <v>6.2</v>
      </c>
      <c r="G199" t="s">
        <v>82</v>
      </c>
      <c r="H199" t="s">
        <v>83</v>
      </c>
      <c r="I199" t="s">
        <v>31</v>
      </c>
      <c r="J199">
        <v>5.9</v>
      </c>
      <c r="L199" t="s">
        <v>41</v>
      </c>
      <c r="M199" t="s">
        <v>74</v>
      </c>
      <c r="N199" t="s">
        <v>62</v>
      </c>
      <c r="P199">
        <v>4</v>
      </c>
      <c r="Q199" t="s">
        <v>35</v>
      </c>
      <c r="R199" t="s">
        <v>42</v>
      </c>
      <c r="S199" t="b">
        <v>0</v>
      </c>
      <c r="T199" t="b">
        <v>0</v>
      </c>
      <c r="U199" t="b">
        <v>0</v>
      </c>
      <c r="V199" t="b">
        <v>0</v>
      </c>
      <c r="W199" t="b">
        <v>1</v>
      </c>
      <c r="X199">
        <v>0.7</v>
      </c>
      <c r="Y199">
        <v>7.8</v>
      </c>
      <c r="Z199">
        <v>2</v>
      </c>
      <c r="AA199">
        <v>7.3</v>
      </c>
      <c r="AB199" s="3">
        <v>129.72999999999999</v>
      </c>
      <c r="AC199" s="3"/>
      <c r="AD199">
        <v>12</v>
      </c>
      <c r="AE199" t="s">
        <v>46</v>
      </c>
      <c r="AF199" s="4"/>
    </row>
    <row r="200" spans="1:32" x14ac:dyDescent="0.3">
      <c r="A200" t="s">
        <v>291</v>
      </c>
      <c r="B200">
        <v>18</v>
      </c>
      <c r="C200" t="str">
        <f t="shared" si="3"/>
        <v>Teenager</v>
      </c>
      <c r="D200" t="s">
        <v>28</v>
      </c>
      <c r="E200">
        <v>3.6</v>
      </c>
      <c r="G200" t="s">
        <v>39</v>
      </c>
      <c r="H200" t="s">
        <v>40</v>
      </c>
      <c r="I200" t="s">
        <v>71</v>
      </c>
      <c r="J200">
        <v>6.1</v>
      </c>
      <c r="L200" t="s">
        <v>51</v>
      </c>
      <c r="M200" t="s">
        <v>74</v>
      </c>
      <c r="N200" t="s">
        <v>34</v>
      </c>
      <c r="O200">
        <v>2.02</v>
      </c>
      <c r="Q200" t="s">
        <v>80</v>
      </c>
      <c r="R200" t="s">
        <v>57</v>
      </c>
      <c r="S200" t="b">
        <v>0</v>
      </c>
      <c r="T200" t="b">
        <v>0</v>
      </c>
      <c r="U200" t="b">
        <v>0</v>
      </c>
      <c r="V200" t="b">
        <v>0</v>
      </c>
      <c r="W200" t="b">
        <v>0</v>
      </c>
      <c r="X200">
        <v>0.2</v>
      </c>
      <c r="Y200">
        <v>7.1</v>
      </c>
      <c r="Z200">
        <v>3</v>
      </c>
      <c r="AA200">
        <v>10.1</v>
      </c>
      <c r="AB200" s="3">
        <v>8.2899999999999991</v>
      </c>
      <c r="AC200" s="3"/>
      <c r="AD200">
        <v>1</v>
      </c>
      <c r="AE200" t="s">
        <v>46</v>
      </c>
      <c r="AF200" s="4"/>
    </row>
    <row r="201" spans="1:32" x14ac:dyDescent="0.3">
      <c r="A201" t="s">
        <v>292</v>
      </c>
      <c r="B201">
        <v>21</v>
      </c>
      <c r="C201" t="str">
        <f t="shared" si="3"/>
        <v>Young Adults</v>
      </c>
      <c r="D201" t="s">
        <v>53</v>
      </c>
      <c r="E201">
        <v>6</v>
      </c>
      <c r="G201" t="s">
        <v>39</v>
      </c>
      <c r="H201" t="s">
        <v>120</v>
      </c>
      <c r="I201" t="s">
        <v>86</v>
      </c>
      <c r="J201">
        <v>6.7</v>
      </c>
      <c r="L201" t="s">
        <v>41</v>
      </c>
      <c r="M201" t="s">
        <v>74</v>
      </c>
      <c r="N201" t="s">
        <v>84</v>
      </c>
      <c r="O201">
        <v>2.41</v>
      </c>
      <c r="P201">
        <v>3</v>
      </c>
      <c r="Q201" t="s">
        <v>44</v>
      </c>
      <c r="R201" t="s">
        <v>45</v>
      </c>
      <c r="S201" t="b">
        <v>0</v>
      </c>
      <c r="T201" t="b">
        <v>0</v>
      </c>
      <c r="U201" t="b">
        <v>0</v>
      </c>
      <c r="V201" t="b">
        <v>0</v>
      </c>
      <c r="W201" t="b">
        <v>0</v>
      </c>
      <c r="X201">
        <v>0.8</v>
      </c>
      <c r="Y201">
        <v>6.1</v>
      </c>
      <c r="Z201">
        <v>3</v>
      </c>
      <c r="AA201">
        <v>10.3</v>
      </c>
      <c r="AB201" s="3">
        <v>108.18</v>
      </c>
      <c r="AC201" s="3"/>
      <c r="AD201">
        <v>3</v>
      </c>
      <c r="AE201" t="s">
        <v>46</v>
      </c>
      <c r="AF201" s="4"/>
    </row>
    <row r="202" spans="1:32" x14ac:dyDescent="0.3">
      <c r="A202" t="s">
        <v>293</v>
      </c>
      <c r="B202">
        <v>27</v>
      </c>
      <c r="C202" t="str">
        <f t="shared" si="3"/>
        <v>Young Adults</v>
      </c>
      <c r="D202" t="s">
        <v>28</v>
      </c>
      <c r="E202">
        <v>4.3</v>
      </c>
      <c r="G202" t="s">
        <v>60</v>
      </c>
      <c r="H202" t="s">
        <v>96</v>
      </c>
      <c r="I202" t="s">
        <v>50</v>
      </c>
      <c r="J202">
        <v>5.5</v>
      </c>
      <c r="L202" t="s">
        <v>41</v>
      </c>
      <c r="M202" t="s">
        <v>36</v>
      </c>
      <c r="N202" t="s">
        <v>34</v>
      </c>
      <c r="P202">
        <v>2</v>
      </c>
      <c r="Q202" t="s">
        <v>66</v>
      </c>
      <c r="R202" t="s">
        <v>42</v>
      </c>
      <c r="S202" t="b">
        <v>0</v>
      </c>
      <c r="T202" t="b">
        <v>0</v>
      </c>
      <c r="U202" t="b">
        <v>0</v>
      </c>
      <c r="V202" t="b">
        <v>0</v>
      </c>
      <c r="W202" t="b">
        <v>0</v>
      </c>
      <c r="X202">
        <v>1.2</v>
      </c>
      <c r="Y202">
        <v>8.8000000000000007</v>
      </c>
      <c r="Z202">
        <v>3</v>
      </c>
      <c r="AA202">
        <v>12.6</v>
      </c>
      <c r="AB202" s="3">
        <v>4.8099999999999996</v>
      </c>
      <c r="AC202" s="3"/>
      <c r="AD202">
        <v>2</v>
      </c>
      <c r="AE202" t="s">
        <v>46</v>
      </c>
      <c r="AF202" s="4"/>
    </row>
    <row r="203" spans="1:32" x14ac:dyDescent="0.3">
      <c r="A203" t="s">
        <v>294</v>
      </c>
      <c r="B203">
        <v>16</v>
      </c>
      <c r="C203" t="str">
        <f t="shared" si="3"/>
        <v>Teenager</v>
      </c>
      <c r="D203" t="s">
        <v>28</v>
      </c>
      <c r="E203">
        <v>8.6999999999999993</v>
      </c>
      <c r="G203" t="s">
        <v>54</v>
      </c>
      <c r="H203" t="s">
        <v>89</v>
      </c>
      <c r="I203" t="s">
        <v>71</v>
      </c>
      <c r="J203">
        <v>3.6</v>
      </c>
      <c r="L203" t="s">
        <v>51</v>
      </c>
      <c r="M203" t="s">
        <v>33</v>
      </c>
      <c r="N203" t="s">
        <v>34</v>
      </c>
      <c r="O203">
        <v>1.3</v>
      </c>
      <c r="Q203" t="s">
        <v>105</v>
      </c>
      <c r="R203" t="s">
        <v>42</v>
      </c>
      <c r="S203" t="b">
        <v>1</v>
      </c>
      <c r="T203" t="b">
        <v>0</v>
      </c>
      <c r="U203" t="b">
        <v>0</v>
      </c>
      <c r="V203" t="b">
        <v>1</v>
      </c>
      <c r="W203" t="b">
        <v>1</v>
      </c>
      <c r="X203">
        <v>0.9</v>
      </c>
      <c r="Y203">
        <v>6.9</v>
      </c>
      <c r="Z203">
        <v>7</v>
      </c>
      <c r="AA203">
        <v>6.4</v>
      </c>
      <c r="AB203" s="3">
        <v>178.36</v>
      </c>
      <c r="AC203" s="3"/>
      <c r="AD203">
        <v>6</v>
      </c>
      <c r="AE203" t="s">
        <v>58</v>
      </c>
      <c r="AF203" s="4"/>
    </row>
    <row r="204" spans="1:32" x14ac:dyDescent="0.3">
      <c r="A204" t="s">
        <v>295</v>
      </c>
      <c r="B204">
        <v>21</v>
      </c>
      <c r="C204" t="str">
        <f t="shared" si="3"/>
        <v>Young Adults</v>
      </c>
      <c r="D204" t="s">
        <v>28</v>
      </c>
      <c r="E204">
        <v>12</v>
      </c>
      <c r="G204" t="s">
        <v>29</v>
      </c>
      <c r="H204" t="s">
        <v>73</v>
      </c>
      <c r="I204" t="s">
        <v>86</v>
      </c>
      <c r="J204">
        <v>3.8</v>
      </c>
      <c r="L204" t="s">
        <v>32</v>
      </c>
      <c r="M204" t="s">
        <v>33</v>
      </c>
      <c r="N204" t="s">
        <v>62</v>
      </c>
      <c r="O204">
        <v>1.31</v>
      </c>
      <c r="P204">
        <v>5</v>
      </c>
      <c r="Q204" t="s">
        <v>105</v>
      </c>
      <c r="R204" t="s">
        <v>42</v>
      </c>
      <c r="S204" t="b">
        <v>0</v>
      </c>
      <c r="T204" t="b">
        <v>0</v>
      </c>
      <c r="U204" t="b">
        <v>0</v>
      </c>
      <c r="V204" t="b">
        <v>1</v>
      </c>
      <c r="W204" t="b">
        <v>1</v>
      </c>
      <c r="X204">
        <v>0.9</v>
      </c>
      <c r="Y204">
        <v>2.8</v>
      </c>
      <c r="Z204">
        <v>9</v>
      </c>
      <c r="AA204">
        <v>1.1000000000000001</v>
      </c>
      <c r="AB204" s="3">
        <v>389.7</v>
      </c>
      <c r="AC204" s="3"/>
      <c r="AD204">
        <v>2</v>
      </c>
      <c r="AE204" t="s">
        <v>64</v>
      </c>
      <c r="AF204" s="4"/>
    </row>
    <row r="205" spans="1:32" x14ac:dyDescent="0.3">
      <c r="A205" t="s">
        <v>296</v>
      </c>
      <c r="B205">
        <v>22</v>
      </c>
      <c r="C205" t="str">
        <f t="shared" si="3"/>
        <v>Young Adults</v>
      </c>
      <c r="D205" t="s">
        <v>28</v>
      </c>
      <c r="E205">
        <v>5.4</v>
      </c>
      <c r="G205" t="s">
        <v>76</v>
      </c>
      <c r="H205" t="s">
        <v>110</v>
      </c>
      <c r="I205" t="s">
        <v>86</v>
      </c>
      <c r="J205">
        <v>5.5</v>
      </c>
      <c r="L205" t="s">
        <v>43</v>
      </c>
      <c r="M205" t="s">
        <v>45</v>
      </c>
      <c r="N205" t="s">
        <v>34</v>
      </c>
      <c r="O205">
        <v>1.07</v>
      </c>
      <c r="P205">
        <v>1</v>
      </c>
      <c r="Q205" t="s">
        <v>121</v>
      </c>
      <c r="R205" t="s">
        <v>42</v>
      </c>
      <c r="S205" t="b">
        <v>0</v>
      </c>
      <c r="T205" t="b">
        <v>0</v>
      </c>
      <c r="U205" t="b">
        <v>0</v>
      </c>
      <c r="V205" t="b">
        <v>0</v>
      </c>
      <c r="W205" t="b">
        <v>0</v>
      </c>
      <c r="X205">
        <v>0.3</v>
      </c>
      <c r="Y205">
        <v>6.4</v>
      </c>
      <c r="Z205">
        <v>3</v>
      </c>
      <c r="AA205">
        <v>10.9</v>
      </c>
      <c r="AB205" s="3">
        <v>39.770000000000003</v>
      </c>
      <c r="AC205" s="3"/>
      <c r="AD205">
        <v>3</v>
      </c>
      <c r="AE205" t="s">
        <v>46</v>
      </c>
      <c r="AF205" s="4"/>
    </row>
    <row r="206" spans="1:32" x14ac:dyDescent="0.3">
      <c r="A206" t="s">
        <v>297</v>
      </c>
      <c r="B206">
        <v>19</v>
      </c>
      <c r="C206" t="str">
        <f t="shared" si="3"/>
        <v>Teenager</v>
      </c>
      <c r="D206" t="s">
        <v>53</v>
      </c>
      <c r="E206">
        <v>4</v>
      </c>
      <c r="G206" t="s">
        <v>82</v>
      </c>
      <c r="H206" t="s">
        <v>83</v>
      </c>
      <c r="I206" t="s">
        <v>31</v>
      </c>
      <c r="J206">
        <v>6.9</v>
      </c>
      <c r="L206" t="s">
        <v>41</v>
      </c>
      <c r="M206" t="s">
        <v>45</v>
      </c>
      <c r="N206" t="s">
        <v>62</v>
      </c>
      <c r="O206">
        <v>1.85</v>
      </c>
      <c r="P206">
        <v>1</v>
      </c>
      <c r="Q206" t="s">
        <v>63</v>
      </c>
      <c r="R206" t="s">
        <v>57</v>
      </c>
      <c r="S206" t="b">
        <v>0</v>
      </c>
      <c r="T206" t="b">
        <v>0</v>
      </c>
      <c r="U206" t="b">
        <v>0</v>
      </c>
      <c r="V206" t="b">
        <v>0</v>
      </c>
      <c r="W206" t="b">
        <v>0</v>
      </c>
      <c r="X206">
        <v>0.4</v>
      </c>
      <c r="Y206">
        <v>6.6</v>
      </c>
      <c r="Z206">
        <v>2</v>
      </c>
      <c r="AA206">
        <v>8.1999999999999993</v>
      </c>
      <c r="AB206" s="3">
        <v>46.13</v>
      </c>
      <c r="AC206" s="3"/>
      <c r="AD206">
        <v>4</v>
      </c>
      <c r="AE206" t="s">
        <v>46</v>
      </c>
      <c r="AF206" s="4"/>
    </row>
    <row r="207" spans="1:32" x14ac:dyDescent="0.3">
      <c r="A207" t="s">
        <v>298</v>
      </c>
      <c r="B207">
        <v>14</v>
      </c>
      <c r="C207" t="str">
        <f t="shared" si="3"/>
        <v>Teenager</v>
      </c>
      <c r="D207" t="s">
        <v>53</v>
      </c>
      <c r="E207">
        <v>4.7</v>
      </c>
      <c r="G207" t="s">
        <v>39</v>
      </c>
      <c r="H207" t="s">
        <v>40</v>
      </c>
      <c r="I207" t="s">
        <v>86</v>
      </c>
      <c r="J207">
        <v>5.5</v>
      </c>
      <c r="L207" t="s">
        <v>51</v>
      </c>
      <c r="M207" t="s">
        <v>33</v>
      </c>
      <c r="N207" t="s">
        <v>43</v>
      </c>
      <c r="O207">
        <v>3.44</v>
      </c>
      <c r="Q207" t="s">
        <v>56</v>
      </c>
      <c r="R207" t="s">
        <v>33</v>
      </c>
      <c r="S207" t="b">
        <v>0</v>
      </c>
      <c r="T207" t="b">
        <v>0</v>
      </c>
      <c r="U207" t="b">
        <v>0</v>
      </c>
      <c r="V207" t="b">
        <v>1</v>
      </c>
      <c r="W207" t="b">
        <v>0</v>
      </c>
      <c r="X207">
        <v>1.1000000000000001</v>
      </c>
      <c r="Y207">
        <v>7.3</v>
      </c>
      <c r="Z207">
        <v>3</v>
      </c>
      <c r="AA207">
        <v>8.3000000000000007</v>
      </c>
      <c r="AB207" s="3">
        <v>87.51</v>
      </c>
      <c r="AC207" s="3"/>
      <c r="AD207">
        <v>4</v>
      </c>
      <c r="AE207" t="s">
        <v>46</v>
      </c>
      <c r="AF207" s="4"/>
    </row>
    <row r="208" spans="1:32" x14ac:dyDescent="0.3">
      <c r="A208" t="s">
        <v>299</v>
      </c>
      <c r="B208">
        <v>21</v>
      </c>
      <c r="C208" t="str">
        <f t="shared" si="3"/>
        <v>Young Adults</v>
      </c>
      <c r="D208" t="s">
        <v>28</v>
      </c>
      <c r="E208">
        <v>2.7</v>
      </c>
      <c r="G208" t="s">
        <v>76</v>
      </c>
      <c r="H208" t="s">
        <v>126</v>
      </c>
      <c r="I208" t="s">
        <v>31</v>
      </c>
      <c r="J208">
        <v>8.1999999999999993</v>
      </c>
      <c r="L208" t="s">
        <v>43</v>
      </c>
      <c r="M208" t="s">
        <v>45</v>
      </c>
      <c r="N208" t="s">
        <v>43</v>
      </c>
      <c r="O208">
        <v>3.69</v>
      </c>
      <c r="P208">
        <v>3</v>
      </c>
      <c r="Q208" t="s">
        <v>63</v>
      </c>
      <c r="R208" t="s">
        <v>33</v>
      </c>
      <c r="S208" t="b">
        <v>0</v>
      </c>
      <c r="T208" t="b">
        <v>0</v>
      </c>
      <c r="U208" t="b">
        <v>0</v>
      </c>
      <c r="V208" t="b">
        <v>0</v>
      </c>
      <c r="W208" t="b">
        <v>0</v>
      </c>
      <c r="X208">
        <v>0.6</v>
      </c>
      <c r="Y208">
        <v>6.8</v>
      </c>
      <c r="Z208">
        <v>1</v>
      </c>
      <c r="AA208">
        <v>12</v>
      </c>
      <c r="AB208" s="3">
        <v>12.31</v>
      </c>
      <c r="AC208" s="3"/>
      <c r="AD208">
        <v>11</v>
      </c>
      <c r="AE208" t="s">
        <v>46</v>
      </c>
      <c r="AF208" s="4"/>
    </row>
    <row r="209" spans="1:32" x14ac:dyDescent="0.3">
      <c r="A209" t="s">
        <v>300</v>
      </c>
      <c r="B209">
        <v>20</v>
      </c>
      <c r="C209" t="str">
        <f t="shared" si="3"/>
        <v>Young Adults</v>
      </c>
      <c r="D209" t="s">
        <v>28</v>
      </c>
      <c r="E209">
        <v>7.2</v>
      </c>
      <c r="G209" t="s">
        <v>82</v>
      </c>
      <c r="H209" t="s">
        <v>167</v>
      </c>
      <c r="I209" t="s">
        <v>86</v>
      </c>
      <c r="J209">
        <v>4.3</v>
      </c>
      <c r="L209" t="s">
        <v>32</v>
      </c>
      <c r="M209" t="s">
        <v>74</v>
      </c>
      <c r="N209" t="s">
        <v>129</v>
      </c>
      <c r="O209">
        <v>2.58</v>
      </c>
      <c r="P209">
        <v>8</v>
      </c>
      <c r="Q209" t="s">
        <v>44</v>
      </c>
      <c r="R209" t="s">
        <v>33</v>
      </c>
      <c r="S209" t="b">
        <v>1</v>
      </c>
      <c r="T209" t="b">
        <v>1</v>
      </c>
      <c r="U209" t="b">
        <v>0</v>
      </c>
      <c r="V209" t="b">
        <v>0</v>
      </c>
      <c r="W209" t="b">
        <v>1</v>
      </c>
      <c r="X209">
        <v>0.6</v>
      </c>
      <c r="Y209">
        <v>8</v>
      </c>
      <c r="Z209">
        <v>5</v>
      </c>
      <c r="AA209">
        <v>3.6</v>
      </c>
      <c r="AB209" s="3">
        <v>123.4</v>
      </c>
      <c r="AC209" s="3"/>
      <c r="AD209">
        <v>1</v>
      </c>
      <c r="AE209" t="s">
        <v>58</v>
      </c>
      <c r="AF209" s="4"/>
    </row>
    <row r="210" spans="1:32" x14ac:dyDescent="0.3">
      <c r="A210" t="s">
        <v>301</v>
      </c>
      <c r="B210">
        <v>27</v>
      </c>
      <c r="C210" t="str">
        <f t="shared" si="3"/>
        <v>Young Adults</v>
      </c>
      <c r="D210" t="s">
        <v>28</v>
      </c>
      <c r="E210">
        <v>3.9</v>
      </c>
      <c r="G210" t="s">
        <v>82</v>
      </c>
      <c r="H210" t="s">
        <v>83</v>
      </c>
      <c r="I210" t="s">
        <v>50</v>
      </c>
      <c r="J210">
        <v>6.9</v>
      </c>
      <c r="L210" t="s">
        <v>51</v>
      </c>
      <c r="M210" t="s">
        <v>74</v>
      </c>
      <c r="N210" t="s">
        <v>34</v>
      </c>
      <c r="P210">
        <v>6</v>
      </c>
      <c r="Q210" t="s">
        <v>121</v>
      </c>
      <c r="R210" t="s">
        <v>36</v>
      </c>
      <c r="S210" t="b">
        <v>0</v>
      </c>
      <c r="T210" t="b">
        <v>0</v>
      </c>
      <c r="U210" t="b">
        <v>0</v>
      </c>
      <c r="V210" t="b">
        <v>0</v>
      </c>
      <c r="W210" t="b">
        <v>0</v>
      </c>
      <c r="X210">
        <v>0.1</v>
      </c>
      <c r="Y210">
        <v>6.1</v>
      </c>
      <c r="Z210">
        <v>1</v>
      </c>
      <c r="AA210">
        <v>11.2</v>
      </c>
      <c r="AB210" s="3">
        <v>18.05</v>
      </c>
      <c r="AC210" s="3"/>
      <c r="AD210">
        <v>7</v>
      </c>
      <c r="AE210" t="s">
        <v>46</v>
      </c>
      <c r="AF210" s="4"/>
    </row>
    <row r="211" spans="1:32" x14ac:dyDescent="0.3">
      <c r="A211" t="s">
        <v>302</v>
      </c>
      <c r="B211">
        <v>24</v>
      </c>
      <c r="C211" t="str">
        <f t="shared" si="3"/>
        <v>Young Adults</v>
      </c>
      <c r="D211" t="s">
        <v>152</v>
      </c>
      <c r="E211">
        <v>12.9</v>
      </c>
      <c r="G211" t="s">
        <v>29</v>
      </c>
      <c r="H211" t="s">
        <v>30</v>
      </c>
      <c r="I211" t="s">
        <v>71</v>
      </c>
      <c r="J211">
        <v>5.5</v>
      </c>
      <c r="L211" t="s">
        <v>41</v>
      </c>
      <c r="M211" t="s">
        <v>42</v>
      </c>
      <c r="N211" t="s">
        <v>129</v>
      </c>
      <c r="P211">
        <v>10</v>
      </c>
      <c r="Q211" t="s">
        <v>44</v>
      </c>
      <c r="R211" t="s">
        <v>57</v>
      </c>
      <c r="S211" t="b">
        <v>1</v>
      </c>
      <c r="T211" t="b">
        <v>0</v>
      </c>
      <c r="U211" t="b">
        <v>0</v>
      </c>
      <c r="V211" t="b">
        <v>1</v>
      </c>
      <c r="W211" t="b">
        <v>0</v>
      </c>
      <c r="X211">
        <v>2.6</v>
      </c>
      <c r="Y211">
        <v>4.9000000000000004</v>
      </c>
      <c r="Z211">
        <v>7</v>
      </c>
      <c r="AA211">
        <v>1.4</v>
      </c>
      <c r="AB211" s="3">
        <v>189.43</v>
      </c>
      <c r="AC211" s="3"/>
      <c r="AD211">
        <v>5</v>
      </c>
      <c r="AE211" t="s">
        <v>58</v>
      </c>
      <c r="AF211" s="4"/>
    </row>
    <row r="212" spans="1:32" x14ac:dyDescent="0.3">
      <c r="A212" t="s">
        <v>303</v>
      </c>
      <c r="B212">
        <v>21</v>
      </c>
      <c r="C212" t="str">
        <f t="shared" si="3"/>
        <v>Young Adults</v>
      </c>
      <c r="D212" t="s">
        <v>28</v>
      </c>
      <c r="E212">
        <v>5.0999999999999996</v>
      </c>
      <c r="G212" t="s">
        <v>39</v>
      </c>
      <c r="H212" t="s">
        <v>40</v>
      </c>
      <c r="I212" t="s">
        <v>31</v>
      </c>
      <c r="J212">
        <v>6.7</v>
      </c>
      <c r="L212" t="s">
        <v>41</v>
      </c>
      <c r="M212" t="s">
        <v>74</v>
      </c>
      <c r="N212" t="s">
        <v>43</v>
      </c>
      <c r="O212">
        <v>1.28</v>
      </c>
      <c r="P212">
        <v>1</v>
      </c>
      <c r="Q212" t="s">
        <v>44</v>
      </c>
      <c r="R212" t="s">
        <v>36</v>
      </c>
      <c r="S212" t="b">
        <v>0</v>
      </c>
      <c r="T212" t="b">
        <v>0</v>
      </c>
      <c r="U212" t="b">
        <v>0</v>
      </c>
      <c r="V212" t="b">
        <v>1</v>
      </c>
      <c r="W212" t="b">
        <v>0</v>
      </c>
      <c r="X212">
        <v>1.4</v>
      </c>
      <c r="Y212">
        <v>9.1999999999999993</v>
      </c>
      <c r="Z212">
        <v>4</v>
      </c>
      <c r="AA212">
        <v>7.2</v>
      </c>
      <c r="AB212" s="3">
        <v>47.43</v>
      </c>
      <c r="AC212" s="3"/>
      <c r="AD212">
        <v>7</v>
      </c>
      <c r="AE212" t="s">
        <v>46</v>
      </c>
      <c r="AF212" s="4"/>
    </row>
    <row r="213" spans="1:32" x14ac:dyDescent="0.3">
      <c r="A213" t="s">
        <v>304</v>
      </c>
      <c r="B213">
        <v>21</v>
      </c>
      <c r="C213" t="str">
        <f t="shared" si="3"/>
        <v>Young Adults</v>
      </c>
      <c r="D213" t="s">
        <v>28</v>
      </c>
      <c r="E213">
        <v>8.8000000000000007</v>
      </c>
      <c r="G213" t="s">
        <v>76</v>
      </c>
      <c r="H213" t="s">
        <v>126</v>
      </c>
      <c r="I213" t="s">
        <v>50</v>
      </c>
      <c r="J213">
        <v>5.6</v>
      </c>
      <c r="L213" t="s">
        <v>51</v>
      </c>
      <c r="M213" t="s">
        <v>42</v>
      </c>
      <c r="N213" t="s">
        <v>34</v>
      </c>
      <c r="O213">
        <v>3.2</v>
      </c>
      <c r="P213">
        <v>10</v>
      </c>
      <c r="Q213" t="s">
        <v>63</v>
      </c>
      <c r="R213" t="s">
        <v>36</v>
      </c>
      <c r="S213" t="b">
        <v>0</v>
      </c>
      <c r="T213" t="b">
        <v>1</v>
      </c>
      <c r="U213" t="b">
        <v>1</v>
      </c>
      <c r="V213" t="b">
        <v>1</v>
      </c>
      <c r="W213" t="b">
        <v>1</v>
      </c>
      <c r="X213">
        <v>3.6</v>
      </c>
      <c r="Y213">
        <v>5.9</v>
      </c>
      <c r="Z213">
        <v>5</v>
      </c>
      <c r="AA213">
        <v>5.7</v>
      </c>
      <c r="AB213" s="3">
        <v>462.75</v>
      </c>
      <c r="AC213" s="3"/>
      <c r="AD213">
        <v>4</v>
      </c>
      <c r="AE213" t="s">
        <v>37</v>
      </c>
      <c r="AF213" s="4"/>
    </row>
    <row r="214" spans="1:32" x14ac:dyDescent="0.3">
      <c r="A214" t="s">
        <v>305</v>
      </c>
      <c r="B214">
        <v>19</v>
      </c>
      <c r="C214" t="str">
        <f t="shared" si="3"/>
        <v>Teenager</v>
      </c>
      <c r="D214" t="s">
        <v>28</v>
      </c>
      <c r="E214">
        <v>5.2</v>
      </c>
      <c r="G214" t="s">
        <v>82</v>
      </c>
      <c r="H214" t="s">
        <v>83</v>
      </c>
      <c r="I214" t="s">
        <v>86</v>
      </c>
      <c r="J214">
        <v>6.3</v>
      </c>
      <c r="L214" t="s">
        <v>43</v>
      </c>
      <c r="M214" t="s">
        <v>42</v>
      </c>
      <c r="N214" t="s">
        <v>43</v>
      </c>
      <c r="O214">
        <v>3.7</v>
      </c>
      <c r="P214">
        <v>2</v>
      </c>
      <c r="Q214" t="s">
        <v>80</v>
      </c>
      <c r="R214" t="s">
        <v>45</v>
      </c>
      <c r="S214" t="b">
        <v>0</v>
      </c>
      <c r="T214" t="b">
        <v>0</v>
      </c>
      <c r="U214" t="b">
        <v>0</v>
      </c>
      <c r="V214" t="b">
        <v>1</v>
      </c>
      <c r="W214" t="b">
        <v>0</v>
      </c>
      <c r="X214">
        <v>2</v>
      </c>
      <c r="Y214">
        <v>7.9</v>
      </c>
      <c r="Z214">
        <v>2</v>
      </c>
      <c r="AA214">
        <v>8.5</v>
      </c>
      <c r="AB214" s="3">
        <v>60.25</v>
      </c>
      <c r="AC214" s="3"/>
      <c r="AD214">
        <v>1</v>
      </c>
      <c r="AE214" t="s">
        <v>46</v>
      </c>
      <c r="AF214" s="4"/>
    </row>
    <row r="215" spans="1:32" x14ac:dyDescent="0.3">
      <c r="A215" t="s">
        <v>306</v>
      </c>
      <c r="B215">
        <v>20</v>
      </c>
      <c r="C215" t="str">
        <f t="shared" si="3"/>
        <v>Young Adults</v>
      </c>
      <c r="D215" t="s">
        <v>28</v>
      </c>
      <c r="E215">
        <v>6.2</v>
      </c>
      <c r="G215" t="s">
        <v>29</v>
      </c>
      <c r="H215" t="s">
        <v>118</v>
      </c>
      <c r="I215" t="s">
        <v>71</v>
      </c>
      <c r="J215">
        <v>5.3</v>
      </c>
      <c r="L215" t="s">
        <v>41</v>
      </c>
      <c r="M215" t="s">
        <v>36</v>
      </c>
      <c r="N215" t="s">
        <v>43</v>
      </c>
      <c r="O215">
        <v>2.19</v>
      </c>
      <c r="P215">
        <v>3</v>
      </c>
      <c r="Q215" t="s">
        <v>63</v>
      </c>
      <c r="R215" t="s">
        <v>36</v>
      </c>
      <c r="S215" t="b">
        <v>0</v>
      </c>
      <c r="T215" t="b">
        <v>0</v>
      </c>
      <c r="U215" t="b">
        <v>0</v>
      </c>
      <c r="V215" t="b">
        <v>1</v>
      </c>
      <c r="W215" t="b">
        <v>1</v>
      </c>
      <c r="X215">
        <v>0.1</v>
      </c>
      <c r="Y215">
        <v>6.7</v>
      </c>
      <c r="Z215">
        <v>3</v>
      </c>
      <c r="AA215">
        <v>10.6</v>
      </c>
      <c r="AB215" s="3">
        <v>109.33</v>
      </c>
      <c r="AC215" s="3"/>
      <c r="AD215">
        <v>1</v>
      </c>
      <c r="AE215" t="s">
        <v>46</v>
      </c>
      <c r="AF215" s="4"/>
    </row>
    <row r="216" spans="1:32" x14ac:dyDescent="0.3">
      <c r="A216" t="s">
        <v>307</v>
      </c>
      <c r="B216">
        <v>19</v>
      </c>
      <c r="C216" t="str">
        <f t="shared" si="3"/>
        <v>Teenager</v>
      </c>
      <c r="D216" t="s">
        <v>53</v>
      </c>
      <c r="E216">
        <v>4.3</v>
      </c>
      <c r="G216" t="s">
        <v>76</v>
      </c>
      <c r="H216" t="s">
        <v>77</v>
      </c>
      <c r="I216" t="s">
        <v>86</v>
      </c>
      <c r="J216">
        <v>5.3</v>
      </c>
      <c r="L216" t="s">
        <v>41</v>
      </c>
      <c r="M216" t="s">
        <v>33</v>
      </c>
      <c r="N216" t="s">
        <v>62</v>
      </c>
      <c r="O216">
        <v>3.09</v>
      </c>
      <c r="P216">
        <v>3</v>
      </c>
      <c r="Q216" t="s">
        <v>66</v>
      </c>
      <c r="R216" t="s">
        <v>33</v>
      </c>
      <c r="S216" t="b">
        <v>0</v>
      </c>
      <c r="T216" t="b">
        <v>0</v>
      </c>
      <c r="U216" t="b">
        <v>0</v>
      </c>
      <c r="V216" t="b">
        <v>0</v>
      </c>
      <c r="W216" t="b">
        <v>0</v>
      </c>
      <c r="X216">
        <v>1.3</v>
      </c>
      <c r="Y216">
        <v>6.3</v>
      </c>
      <c r="Z216">
        <v>3</v>
      </c>
      <c r="AA216">
        <v>8.1</v>
      </c>
      <c r="AB216" s="3">
        <v>12.63</v>
      </c>
      <c r="AC216" s="3"/>
      <c r="AD216">
        <v>5</v>
      </c>
      <c r="AE216" t="s">
        <v>46</v>
      </c>
      <c r="AF216" s="4"/>
    </row>
    <row r="217" spans="1:32" x14ac:dyDescent="0.3">
      <c r="A217" t="s">
        <v>308</v>
      </c>
      <c r="B217">
        <v>19</v>
      </c>
      <c r="C217" t="str">
        <f t="shared" si="3"/>
        <v>Teenager</v>
      </c>
      <c r="D217" t="s">
        <v>28</v>
      </c>
      <c r="E217">
        <v>9.3000000000000007</v>
      </c>
      <c r="G217" t="s">
        <v>29</v>
      </c>
      <c r="H217" t="s">
        <v>73</v>
      </c>
      <c r="I217" t="s">
        <v>50</v>
      </c>
      <c r="J217">
        <v>5.2</v>
      </c>
      <c r="L217" t="s">
        <v>32</v>
      </c>
      <c r="M217" t="s">
        <v>33</v>
      </c>
      <c r="N217" t="s">
        <v>51</v>
      </c>
      <c r="O217">
        <v>2.92</v>
      </c>
      <c r="P217">
        <v>8</v>
      </c>
      <c r="Q217" t="s">
        <v>80</v>
      </c>
      <c r="R217" t="s">
        <v>42</v>
      </c>
      <c r="S217" t="b">
        <v>0</v>
      </c>
      <c r="T217" t="b">
        <v>0</v>
      </c>
      <c r="U217" t="b">
        <v>1</v>
      </c>
      <c r="V217" t="b">
        <v>1</v>
      </c>
      <c r="W217" t="b">
        <v>1</v>
      </c>
      <c r="X217">
        <v>0.6</v>
      </c>
      <c r="Y217">
        <v>5.9</v>
      </c>
      <c r="Z217">
        <v>5</v>
      </c>
      <c r="AA217">
        <v>2.7</v>
      </c>
      <c r="AB217" s="3">
        <v>371.68</v>
      </c>
      <c r="AC217" s="3"/>
      <c r="AD217">
        <v>2</v>
      </c>
      <c r="AE217" t="s">
        <v>58</v>
      </c>
      <c r="AF217" s="4"/>
    </row>
    <row r="218" spans="1:32" x14ac:dyDescent="0.3">
      <c r="A218" t="s">
        <v>309</v>
      </c>
      <c r="B218">
        <v>20</v>
      </c>
      <c r="C218" t="str">
        <f t="shared" si="3"/>
        <v>Young Adults</v>
      </c>
      <c r="D218" t="s">
        <v>28</v>
      </c>
      <c r="E218">
        <v>11.3</v>
      </c>
      <c r="G218" t="s">
        <v>82</v>
      </c>
      <c r="H218" t="s">
        <v>83</v>
      </c>
      <c r="I218" t="s">
        <v>86</v>
      </c>
      <c r="J218">
        <v>5.9</v>
      </c>
      <c r="L218" t="s">
        <v>41</v>
      </c>
      <c r="M218" t="s">
        <v>42</v>
      </c>
      <c r="N218" t="s">
        <v>51</v>
      </c>
      <c r="O218">
        <v>2.86</v>
      </c>
      <c r="P218">
        <v>2</v>
      </c>
      <c r="Q218" t="s">
        <v>35</v>
      </c>
      <c r="R218" t="s">
        <v>42</v>
      </c>
      <c r="S218" t="b">
        <v>1</v>
      </c>
      <c r="T218" t="b">
        <v>0</v>
      </c>
      <c r="U218" t="b">
        <v>0</v>
      </c>
      <c r="V218" t="b">
        <v>1</v>
      </c>
      <c r="W218" t="b">
        <v>1</v>
      </c>
      <c r="X218">
        <v>4.4000000000000004</v>
      </c>
      <c r="Y218">
        <v>2.6</v>
      </c>
      <c r="Z218">
        <v>6</v>
      </c>
      <c r="AA218">
        <v>3.7</v>
      </c>
      <c r="AB218" s="3">
        <v>485.6</v>
      </c>
      <c r="AC218" s="3"/>
      <c r="AD218">
        <v>3</v>
      </c>
      <c r="AE218" t="s">
        <v>58</v>
      </c>
      <c r="AF218" s="4"/>
    </row>
    <row r="219" spans="1:32" x14ac:dyDescent="0.3">
      <c r="A219" t="s">
        <v>310</v>
      </c>
      <c r="B219">
        <v>22</v>
      </c>
      <c r="C219" t="str">
        <f t="shared" si="3"/>
        <v>Young Adults</v>
      </c>
      <c r="D219" t="s">
        <v>28</v>
      </c>
      <c r="E219">
        <v>11</v>
      </c>
      <c r="G219" t="s">
        <v>48</v>
      </c>
      <c r="H219" t="s">
        <v>214</v>
      </c>
      <c r="I219" t="s">
        <v>86</v>
      </c>
      <c r="J219">
        <v>4.3</v>
      </c>
      <c r="L219" t="s">
        <v>32</v>
      </c>
      <c r="M219" t="s">
        <v>42</v>
      </c>
      <c r="N219" t="s">
        <v>51</v>
      </c>
      <c r="O219">
        <v>3.23</v>
      </c>
      <c r="P219">
        <v>4</v>
      </c>
      <c r="Q219" t="s">
        <v>35</v>
      </c>
      <c r="R219" t="s">
        <v>45</v>
      </c>
      <c r="S219" t="b">
        <v>1</v>
      </c>
      <c r="T219" t="b">
        <v>0</v>
      </c>
      <c r="U219" t="b">
        <v>1</v>
      </c>
      <c r="V219" t="b">
        <v>0</v>
      </c>
      <c r="W219" t="b">
        <v>1</v>
      </c>
      <c r="X219">
        <v>3.6</v>
      </c>
      <c r="Y219">
        <v>3.5</v>
      </c>
      <c r="Z219">
        <v>10</v>
      </c>
      <c r="AA219">
        <v>0</v>
      </c>
      <c r="AB219" s="3">
        <v>96.98</v>
      </c>
      <c r="AC219" s="3"/>
      <c r="AD219">
        <v>9</v>
      </c>
      <c r="AE219" t="s">
        <v>37</v>
      </c>
      <c r="AF219" s="4"/>
    </row>
    <row r="220" spans="1:32" x14ac:dyDescent="0.3">
      <c r="A220" t="s">
        <v>311</v>
      </c>
      <c r="B220">
        <v>17</v>
      </c>
      <c r="C220" t="str">
        <f t="shared" si="3"/>
        <v>Teenager</v>
      </c>
      <c r="D220" t="s">
        <v>152</v>
      </c>
      <c r="E220">
        <v>7.1</v>
      </c>
      <c r="G220" t="s">
        <v>29</v>
      </c>
      <c r="H220" t="s">
        <v>118</v>
      </c>
      <c r="I220" t="s">
        <v>86</v>
      </c>
      <c r="J220">
        <v>5.4</v>
      </c>
      <c r="L220" t="s">
        <v>41</v>
      </c>
      <c r="M220" t="s">
        <v>33</v>
      </c>
      <c r="N220" t="s">
        <v>51</v>
      </c>
      <c r="O220">
        <v>2.41</v>
      </c>
      <c r="Q220" t="s">
        <v>35</v>
      </c>
      <c r="R220" t="s">
        <v>42</v>
      </c>
      <c r="S220" t="b">
        <v>0</v>
      </c>
      <c r="T220" t="b">
        <v>0</v>
      </c>
      <c r="U220" t="b">
        <v>0</v>
      </c>
      <c r="V220" t="b">
        <v>1</v>
      </c>
      <c r="W220" t="b">
        <v>1</v>
      </c>
      <c r="X220">
        <v>1.3</v>
      </c>
      <c r="Y220">
        <v>4.8</v>
      </c>
      <c r="Z220">
        <v>3</v>
      </c>
      <c r="AA220">
        <v>5.3</v>
      </c>
      <c r="AB220" s="3">
        <v>104.49</v>
      </c>
      <c r="AC220" s="3"/>
      <c r="AD220">
        <v>5</v>
      </c>
      <c r="AE220" t="s">
        <v>46</v>
      </c>
      <c r="AF220" s="4"/>
    </row>
    <row r="221" spans="1:32" x14ac:dyDescent="0.3">
      <c r="A221" t="s">
        <v>312</v>
      </c>
      <c r="B221">
        <v>17</v>
      </c>
      <c r="C221" t="str">
        <f t="shared" si="3"/>
        <v>Teenager</v>
      </c>
      <c r="D221" t="s">
        <v>28</v>
      </c>
      <c r="E221">
        <v>4.5999999999999996</v>
      </c>
      <c r="G221" t="s">
        <v>54</v>
      </c>
      <c r="H221" t="s">
        <v>55</v>
      </c>
      <c r="I221" t="s">
        <v>31</v>
      </c>
      <c r="J221">
        <v>5.7</v>
      </c>
      <c r="L221" t="s">
        <v>41</v>
      </c>
      <c r="M221" t="s">
        <v>74</v>
      </c>
      <c r="N221" t="s">
        <v>62</v>
      </c>
      <c r="O221">
        <v>3.24</v>
      </c>
      <c r="Q221" t="s">
        <v>66</v>
      </c>
      <c r="R221" t="s">
        <v>33</v>
      </c>
      <c r="S221" t="b">
        <v>0</v>
      </c>
      <c r="T221" t="b">
        <v>0</v>
      </c>
      <c r="U221" t="b">
        <v>0</v>
      </c>
      <c r="V221" t="b">
        <v>1</v>
      </c>
      <c r="W221" t="b">
        <v>0</v>
      </c>
      <c r="X221">
        <v>1.4</v>
      </c>
      <c r="Y221">
        <v>7.2</v>
      </c>
      <c r="Z221">
        <v>3</v>
      </c>
      <c r="AA221">
        <v>9.1</v>
      </c>
      <c r="AB221" s="3">
        <v>17.420000000000002</v>
      </c>
      <c r="AC221" s="3"/>
      <c r="AD221">
        <v>2</v>
      </c>
      <c r="AE221" t="s">
        <v>46</v>
      </c>
      <c r="AF221" s="4"/>
    </row>
    <row r="222" spans="1:32" x14ac:dyDescent="0.3">
      <c r="A222" t="s">
        <v>313</v>
      </c>
      <c r="B222">
        <v>20</v>
      </c>
      <c r="C222" t="str">
        <f t="shared" si="3"/>
        <v>Young Adults</v>
      </c>
      <c r="D222" t="s">
        <v>28</v>
      </c>
      <c r="E222">
        <v>3.2</v>
      </c>
      <c r="G222" t="s">
        <v>39</v>
      </c>
      <c r="H222" t="s">
        <v>40</v>
      </c>
      <c r="I222" t="s">
        <v>50</v>
      </c>
      <c r="J222">
        <v>7.2</v>
      </c>
      <c r="L222" t="s">
        <v>43</v>
      </c>
      <c r="M222" t="s">
        <v>45</v>
      </c>
      <c r="N222" t="s">
        <v>43</v>
      </c>
      <c r="O222">
        <v>3.65</v>
      </c>
      <c r="P222">
        <v>9</v>
      </c>
      <c r="Q222" t="s">
        <v>69</v>
      </c>
      <c r="R222" t="s">
        <v>45</v>
      </c>
      <c r="S222" t="b">
        <v>0</v>
      </c>
      <c r="T222" t="b">
        <v>0</v>
      </c>
      <c r="U222" t="b">
        <v>0</v>
      </c>
      <c r="V222" t="b">
        <v>0</v>
      </c>
      <c r="W222" t="b">
        <v>0</v>
      </c>
      <c r="X222">
        <v>1.4</v>
      </c>
      <c r="Y222">
        <v>9.4</v>
      </c>
      <c r="Z222">
        <v>3</v>
      </c>
      <c r="AA222">
        <v>12.2</v>
      </c>
      <c r="AB222" s="3">
        <v>17.98</v>
      </c>
      <c r="AC222" s="3"/>
      <c r="AD222">
        <v>2</v>
      </c>
      <c r="AE222" t="s">
        <v>46</v>
      </c>
      <c r="AF222" s="4"/>
    </row>
    <row r="223" spans="1:32" x14ac:dyDescent="0.3">
      <c r="A223" t="s">
        <v>314</v>
      </c>
      <c r="B223">
        <v>16</v>
      </c>
      <c r="C223" t="str">
        <f t="shared" si="3"/>
        <v>Teenager</v>
      </c>
      <c r="D223" t="s">
        <v>28</v>
      </c>
      <c r="E223">
        <v>5.0999999999999996</v>
      </c>
      <c r="G223" t="s">
        <v>76</v>
      </c>
      <c r="H223" t="s">
        <v>77</v>
      </c>
      <c r="I223" t="s">
        <v>50</v>
      </c>
      <c r="J223">
        <v>6.6</v>
      </c>
      <c r="L223" t="s">
        <v>43</v>
      </c>
      <c r="M223" t="s">
        <v>33</v>
      </c>
      <c r="N223" t="s">
        <v>62</v>
      </c>
      <c r="O223">
        <v>1.35</v>
      </c>
      <c r="Q223" t="s">
        <v>80</v>
      </c>
      <c r="R223" t="s">
        <v>33</v>
      </c>
      <c r="S223" t="b">
        <v>0</v>
      </c>
      <c r="T223" t="b">
        <v>0</v>
      </c>
      <c r="U223" t="b">
        <v>0</v>
      </c>
      <c r="V223" t="b">
        <v>1</v>
      </c>
      <c r="W223" t="b">
        <v>0</v>
      </c>
      <c r="X223">
        <v>2.6</v>
      </c>
      <c r="Y223">
        <v>8</v>
      </c>
      <c r="Z223">
        <v>3</v>
      </c>
      <c r="AA223">
        <v>7.2</v>
      </c>
      <c r="AB223" s="3">
        <v>130.26</v>
      </c>
      <c r="AC223" s="3"/>
      <c r="AD223">
        <v>1</v>
      </c>
      <c r="AE223" t="s">
        <v>46</v>
      </c>
      <c r="AF223" s="4"/>
    </row>
    <row r="224" spans="1:32" x14ac:dyDescent="0.3">
      <c r="A224" t="s">
        <v>315</v>
      </c>
      <c r="B224">
        <v>17</v>
      </c>
      <c r="C224" t="str">
        <f t="shared" si="3"/>
        <v>Teenager</v>
      </c>
      <c r="D224" t="s">
        <v>28</v>
      </c>
      <c r="E224">
        <v>2.7</v>
      </c>
      <c r="G224" t="s">
        <v>39</v>
      </c>
      <c r="H224" t="s">
        <v>40</v>
      </c>
      <c r="I224" t="s">
        <v>71</v>
      </c>
      <c r="J224">
        <v>8.6</v>
      </c>
      <c r="L224" t="s">
        <v>43</v>
      </c>
      <c r="M224" t="s">
        <v>42</v>
      </c>
      <c r="N224" t="s">
        <v>84</v>
      </c>
      <c r="O224">
        <v>1.44</v>
      </c>
      <c r="Q224" t="s">
        <v>105</v>
      </c>
      <c r="R224" t="s">
        <v>42</v>
      </c>
      <c r="S224" t="b">
        <v>0</v>
      </c>
      <c r="T224" t="b">
        <v>0</v>
      </c>
      <c r="U224" t="b">
        <v>0</v>
      </c>
      <c r="V224" t="b">
        <v>0</v>
      </c>
      <c r="W224" t="b">
        <v>0</v>
      </c>
      <c r="X224">
        <v>0.8</v>
      </c>
      <c r="Y224">
        <v>9.1</v>
      </c>
      <c r="Z224">
        <v>1</v>
      </c>
      <c r="AA224">
        <v>11.6</v>
      </c>
      <c r="AB224" s="3">
        <v>43.38</v>
      </c>
      <c r="AC224" s="3"/>
      <c r="AD224">
        <v>4</v>
      </c>
      <c r="AE224" t="s">
        <v>46</v>
      </c>
      <c r="AF224" s="4"/>
    </row>
    <row r="225" spans="1:32" x14ac:dyDescent="0.3">
      <c r="A225" t="s">
        <v>316</v>
      </c>
      <c r="B225">
        <v>20</v>
      </c>
      <c r="C225" t="str">
        <f t="shared" si="3"/>
        <v>Young Adults</v>
      </c>
      <c r="D225" t="s">
        <v>53</v>
      </c>
      <c r="E225">
        <v>2.7</v>
      </c>
      <c r="G225" t="s">
        <v>60</v>
      </c>
      <c r="H225" t="s">
        <v>96</v>
      </c>
      <c r="I225" t="s">
        <v>31</v>
      </c>
      <c r="J225">
        <v>7.1</v>
      </c>
      <c r="L225" t="s">
        <v>41</v>
      </c>
      <c r="M225" t="s">
        <v>42</v>
      </c>
      <c r="N225" t="s">
        <v>43</v>
      </c>
      <c r="O225">
        <v>3.38</v>
      </c>
      <c r="P225">
        <v>2</v>
      </c>
      <c r="Q225" t="s">
        <v>66</v>
      </c>
      <c r="R225" t="s">
        <v>45</v>
      </c>
      <c r="S225" t="b">
        <v>0</v>
      </c>
      <c r="T225" t="b">
        <v>0</v>
      </c>
      <c r="U225" t="b">
        <v>0</v>
      </c>
      <c r="V225" t="b">
        <v>0</v>
      </c>
      <c r="W225" t="b">
        <v>0</v>
      </c>
      <c r="X225">
        <v>0.6</v>
      </c>
      <c r="Y225">
        <v>6.6</v>
      </c>
      <c r="Z225">
        <v>2</v>
      </c>
      <c r="AA225">
        <v>13.9</v>
      </c>
      <c r="AB225" s="3">
        <v>37.909999999999997</v>
      </c>
      <c r="AC225" s="3"/>
      <c r="AD225">
        <v>7</v>
      </c>
      <c r="AE225" t="s">
        <v>46</v>
      </c>
      <c r="AF225" s="4"/>
    </row>
    <row r="226" spans="1:32" x14ac:dyDescent="0.3">
      <c r="A226" t="s">
        <v>317</v>
      </c>
      <c r="B226">
        <v>18</v>
      </c>
      <c r="C226" t="str">
        <f t="shared" si="3"/>
        <v>Teenager</v>
      </c>
      <c r="D226" t="s">
        <v>28</v>
      </c>
      <c r="E226">
        <v>4.0999999999999996</v>
      </c>
      <c r="G226" t="s">
        <v>82</v>
      </c>
      <c r="H226" t="s">
        <v>83</v>
      </c>
      <c r="I226" t="s">
        <v>50</v>
      </c>
      <c r="J226">
        <v>5.8</v>
      </c>
      <c r="L226" t="s">
        <v>41</v>
      </c>
      <c r="M226" t="s">
        <v>36</v>
      </c>
      <c r="N226" t="s">
        <v>84</v>
      </c>
      <c r="O226">
        <v>3.01</v>
      </c>
      <c r="Q226" t="s">
        <v>35</v>
      </c>
      <c r="R226" t="s">
        <v>36</v>
      </c>
      <c r="S226" t="b">
        <v>0</v>
      </c>
      <c r="T226" t="b">
        <v>0</v>
      </c>
      <c r="U226" t="b">
        <v>0</v>
      </c>
      <c r="V226" t="b">
        <v>0</v>
      </c>
      <c r="W226" t="b">
        <v>0</v>
      </c>
      <c r="X226">
        <v>0.2</v>
      </c>
      <c r="Y226">
        <v>8.9</v>
      </c>
      <c r="Z226">
        <v>3</v>
      </c>
      <c r="AA226">
        <v>9.9</v>
      </c>
      <c r="AB226" s="3">
        <v>34.75</v>
      </c>
      <c r="AC226" s="3"/>
      <c r="AD226">
        <v>1</v>
      </c>
      <c r="AE226" t="s">
        <v>46</v>
      </c>
      <c r="AF226" s="4"/>
    </row>
    <row r="227" spans="1:32" x14ac:dyDescent="0.3">
      <c r="A227" t="s">
        <v>318</v>
      </c>
      <c r="B227">
        <v>20</v>
      </c>
      <c r="C227" t="str">
        <f t="shared" si="3"/>
        <v>Young Adults</v>
      </c>
      <c r="D227" t="s">
        <v>53</v>
      </c>
      <c r="E227">
        <v>0.5</v>
      </c>
      <c r="G227" t="s">
        <v>82</v>
      </c>
      <c r="H227" t="s">
        <v>134</v>
      </c>
      <c r="I227" t="s">
        <v>86</v>
      </c>
      <c r="J227">
        <v>8.6999999999999993</v>
      </c>
      <c r="L227" t="s">
        <v>43</v>
      </c>
      <c r="M227" t="s">
        <v>36</v>
      </c>
      <c r="N227" t="s">
        <v>43</v>
      </c>
      <c r="O227">
        <v>3.88</v>
      </c>
      <c r="P227">
        <v>3</v>
      </c>
      <c r="Q227" t="s">
        <v>44</v>
      </c>
      <c r="R227" t="s">
        <v>57</v>
      </c>
      <c r="S227" t="b">
        <v>0</v>
      </c>
      <c r="T227" t="b">
        <v>0</v>
      </c>
      <c r="U227" t="b">
        <v>0</v>
      </c>
      <c r="V227" t="b">
        <v>0</v>
      </c>
      <c r="W227" t="b">
        <v>0</v>
      </c>
      <c r="X227">
        <v>0.4</v>
      </c>
      <c r="Y227">
        <v>10.4</v>
      </c>
      <c r="Z227">
        <v>1</v>
      </c>
      <c r="AA227">
        <v>15</v>
      </c>
      <c r="AB227" s="3">
        <v>22.38</v>
      </c>
      <c r="AC227" s="3"/>
      <c r="AD227">
        <v>10</v>
      </c>
      <c r="AE227" t="s">
        <v>46</v>
      </c>
      <c r="AF227" s="4"/>
    </row>
    <row r="228" spans="1:32" x14ac:dyDescent="0.3">
      <c r="A228" t="s">
        <v>319</v>
      </c>
      <c r="B228">
        <v>19</v>
      </c>
      <c r="C228" t="str">
        <f t="shared" si="3"/>
        <v>Teenager</v>
      </c>
      <c r="D228" t="s">
        <v>28</v>
      </c>
      <c r="E228">
        <v>7.1</v>
      </c>
      <c r="G228" t="s">
        <v>76</v>
      </c>
      <c r="H228" t="s">
        <v>77</v>
      </c>
      <c r="I228" t="s">
        <v>71</v>
      </c>
      <c r="J228">
        <v>4.3</v>
      </c>
      <c r="L228" t="s">
        <v>32</v>
      </c>
      <c r="M228" t="s">
        <v>74</v>
      </c>
      <c r="N228" t="s">
        <v>34</v>
      </c>
      <c r="O228">
        <v>2.4500000000000002</v>
      </c>
      <c r="P228">
        <v>4</v>
      </c>
      <c r="Q228" t="s">
        <v>69</v>
      </c>
      <c r="R228" t="s">
        <v>45</v>
      </c>
      <c r="S228" t="b">
        <v>0</v>
      </c>
      <c r="T228" t="b">
        <v>1</v>
      </c>
      <c r="U228" t="b">
        <v>0</v>
      </c>
      <c r="V228" t="b">
        <v>0</v>
      </c>
      <c r="W228" t="b">
        <v>1</v>
      </c>
      <c r="X228">
        <v>0.1</v>
      </c>
      <c r="Y228">
        <v>8.5</v>
      </c>
      <c r="Z228">
        <v>5</v>
      </c>
      <c r="AA228">
        <v>3.7</v>
      </c>
      <c r="AB228" s="3">
        <v>79</v>
      </c>
      <c r="AC228" s="3"/>
      <c r="AD228">
        <v>5</v>
      </c>
      <c r="AE228" t="s">
        <v>64</v>
      </c>
      <c r="AF228" s="4"/>
    </row>
    <row r="229" spans="1:32" x14ac:dyDescent="0.3">
      <c r="A229" t="s">
        <v>320</v>
      </c>
      <c r="B229">
        <v>19</v>
      </c>
      <c r="C229" t="str">
        <f t="shared" si="3"/>
        <v>Teenager</v>
      </c>
      <c r="D229" t="s">
        <v>53</v>
      </c>
      <c r="E229">
        <v>7.8</v>
      </c>
      <c r="G229" t="s">
        <v>39</v>
      </c>
      <c r="H229" t="s">
        <v>93</v>
      </c>
      <c r="I229" t="s">
        <v>86</v>
      </c>
      <c r="J229">
        <v>4.2</v>
      </c>
      <c r="L229" t="s">
        <v>41</v>
      </c>
      <c r="M229" t="s">
        <v>33</v>
      </c>
      <c r="N229" t="s">
        <v>51</v>
      </c>
      <c r="O229">
        <v>2.89</v>
      </c>
      <c r="P229">
        <v>6</v>
      </c>
      <c r="Q229" t="s">
        <v>105</v>
      </c>
      <c r="R229" t="s">
        <v>45</v>
      </c>
      <c r="S229" t="b">
        <v>0</v>
      </c>
      <c r="T229" t="b">
        <v>0</v>
      </c>
      <c r="U229" t="b">
        <v>0</v>
      </c>
      <c r="V229" t="b">
        <v>0</v>
      </c>
      <c r="W229" t="b">
        <v>0</v>
      </c>
      <c r="X229">
        <v>0.1</v>
      </c>
      <c r="Y229">
        <v>4.7</v>
      </c>
      <c r="Z229">
        <v>4</v>
      </c>
      <c r="AA229">
        <v>8.3000000000000007</v>
      </c>
      <c r="AB229" s="3">
        <v>135.38</v>
      </c>
      <c r="AC229" s="3"/>
      <c r="AD229">
        <v>6</v>
      </c>
      <c r="AE229" t="s">
        <v>46</v>
      </c>
      <c r="AF229" s="4"/>
    </row>
    <row r="230" spans="1:32" x14ac:dyDescent="0.3">
      <c r="A230" t="s">
        <v>321</v>
      </c>
      <c r="B230">
        <v>20</v>
      </c>
      <c r="C230" t="str">
        <f t="shared" si="3"/>
        <v>Young Adults</v>
      </c>
      <c r="D230" t="s">
        <v>53</v>
      </c>
      <c r="E230">
        <v>3.5</v>
      </c>
      <c r="G230" t="s">
        <v>39</v>
      </c>
      <c r="H230" t="s">
        <v>120</v>
      </c>
      <c r="I230" t="s">
        <v>71</v>
      </c>
      <c r="J230">
        <v>5</v>
      </c>
      <c r="L230" t="s">
        <v>51</v>
      </c>
      <c r="M230" t="s">
        <v>36</v>
      </c>
      <c r="N230" t="s">
        <v>62</v>
      </c>
      <c r="O230">
        <v>3.22</v>
      </c>
      <c r="P230">
        <v>3</v>
      </c>
      <c r="Q230" t="s">
        <v>80</v>
      </c>
      <c r="R230" t="s">
        <v>45</v>
      </c>
      <c r="S230" t="b">
        <v>0</v>
      </c>
      <c r="T230" t="b">
        <v>0</v>
      </c>
      <c r="U230" t="b">
        <v>0</v>
      </c>
      <c r="V230" t="b">
        <v>0</v>
      </c>
      <c r="W230" t="b">
        <v>0</v>
      </c>
      <c r="X230">
        <v>1</v>
      </c>
      <c r="Y230">
        <v>10</v>
      </c>
      <c r="Z230">
        <v>2</v>
      </c>
      <c r="AA230">
        <v>8.5</v>
      </c>
      <c r="AB230" s="3">
        <v>48.25</v>
      </c>
      <c r="AC230" s="3"/>
      <c r="AD230">
        <v>10</v>
      </c>
      <c r="AE230" t="s">
        <v>46</v>
      </c>
      <c r="AF230" s="4"/>
    </row>
    <row r="231" spans="1:32" x14ac:dyDescent="0.3">
      <c r="A231" t="s">
        <v>322</v>
      </c>
      <c r="B231">
        <v>19</v>
      </c>
      <c r="C231" t="str">
        <f t="shared" si="3"/>
        <v>Teenager</v>
      </c>
      <c r="D231" t="s">
        <v>28</v>
      </c>
      <c r="E231">
        <v>8.6999999999999993</v>
      </c>
      <c r="G231" t="s">
        <v>60</v>
      </c>
      <c r="H231" t="s">
        <v>200</v>
      </c>
      <c r="I231" t="s">
        <v>71</v>
      </c>
      <c r="J231">
        <v>3.3</v>
      </c>
      <c r="L231" t="s">
        <v>51</v>
      </c>
      <c r="M231" t="s">
        <v>42</v>
      </c>
      <c r="N231" t="s">
        <v>34</v>
      </c>
      <c r="O231">
        <v>3.47</v>
      </c>
      <c r="P231">
        <v>2</v>
      </c>
      <c r="Q231" t="s">
        <v>66</v>
      </c>
      <c r="R231" t="s">
        <v>42</v>
      </c>
      <c r="S231" t="b">
        <v>1</v>
      </c>
      <c r="T231" t="b">
        <v>0</v>
      </c>
      <c r="U231" t="b">
        <v>0</v>
      </c>
      <c r="V231" t="b">
        <v>0</v>
      </c>
      <c r="W231" t="b">
        <v>0</v>
      </c>
      <c r="X231">
        <v>1.6</v>
      </c>
      <c r="Y231">
        <v>6.4</v>
      </c>
      <c r="Z231">
        <v>5</v>
      </c>
      <c r="AA231">
        <v>3.2</v>
      </c>
      <c r="AB231" s="3">
        <v>362.26</v>
      </c>
      <c r="AC231" s="3"/>
      <c r="AD231">
        <v>6</v>
      </c>
      <c r="AE231" t="s">
        <v>58</v>
      </c>
      <c r="AF231" s="4"/>
    </row>
    <row r="232" spans="1:32" x14ac:dyDescent="0.3">
      <c r="A232" t="s">
        <v>323</v>
      </c>
      <c r="B232">
        <v>19</v>
      </c>
      <c r="C232" t="str">
        <f t="shared" si="3"/>
        <v>Teenager</v>
      </c>
      <c r="D232" t="s">
        <v>28</v>
      </c>
      <c r="E232">
        <v>8.1999999999999993</v>
      </c>
      <c r="G232" t="s">
        <v>60</v>
      </c>
      <c r="H232" t="s">
        <v>102</v>
      </c>
      <c r="I232" t="s">
        <v>50</v>
      </c>
      <c r="J232">
        <v>5.9</v>
      </c>
      <c r="L232" t="s">
        <v>51</v>
      </c>
      <c r="M232" t="s">
        <v>45</v>
      </c>
      <c r="N232" t="s">
        <v>51</v>
      </c>
      <c r="O232">
        <v>2.4700000000000002</v>
      </c>
      <c r="P232">
        <v>7</v>
      </c>
      <c r="Q232" t="s">
        <v>105</v>
      </c>
      <c r="R232" t="s">
        <v>33</v>
      </c>
      <c r="S232" t="b">
        <v>1</v>
      </c>
      <c r="T232" t="b">
        <v>0</v>
      </c>
      <c r="U232" t="b">
        <v>1</v>
      </c>
      <c r="V232" t="b">
        <v>0</v>
      </c>
      <c r="W232" t="b">
        <v>1</v>
      </c>
      <c r="X232">
        <v>0.9</v>
      </c>
      <c r="Y232">
        <v>5.4</v>
      </c>
      <c r="Z232">
        <v>5</v>
      </c>
      <c r="AA232">
        <v>4</v>
      </c>
      <c r="AB232" s="3">
        <v>18.61</v>
      </c>
      <c r="AC232" s="3"/>
      <c r="AD232">
        <v>6</v>
      </c>
      <c r="AE232" t="s">
        <v>58</v>
      </c>
      <c r="AF232" s="4"/>
    </row>
    <row r="233" spans="1:32" x14ac:dyDescent="0.3">
      <c r="A233" t="s">
        <v>324</v>
      </c>
      <c r="B233">
        <v>19</v>
      </c>
      <c r="C233" t="str">
        <f t="shared" si="3"/>
        <v>Teenager</v>
      </c>
      <c r="D233" t="s">
        <v>53</v>
      </c>
      <c r="E233">
        <v>8.6999999999999993</v>
      </c>
      <c r="G233" t="s">
        <v>54</v>
      </c>
      <c r="H233" t="s">
        <v>98</v>
      </c>
      <c r="I233" t="s">
        <v>31</v>
      </c>
      <c r="J233">
        <v>4.2</v>
      </c>
      <c r="L233" t="s">
        <v>41</v>
      </c>
      <c r="M233" t="s">
        <v>74</v>
      </c>
      <c r="N233" t="s">
        <v>51</v>
      </c>
      <c r="O233">
        <v>1.97</v>
      </c>
      <c r="P233">
        <v>10</v>
      </c>
      <c r="Q233" t="s">
        <v>35</v>
      </c>
      <c r="R233" t="s">
        <v>57</v>
      </c>
      <c r="S233" t="b">
        <v>0</v>
      </c>
      <c r="T233" t="b">
        <v>1</v>
      </c>
      <c r="U233" t="b">
        <v>0</v>
      </c>
      <c r="V233" t="b">
        <v>0</v>
      </c>
      <c r="W233" t="b">
        <v>0</v>
      </c>
      <c r="X233">
        <v>5.5</v>
      </c>
      <c r="Y233">
        <v>4.8</v>
      </c>
      <c r="Z233">
        <v>6</v>
      </c>
      <c r="AA233">
        <v>7.2</v>
      </c>
      <c r="AB233" s="3">
        <v>428.62</v>
      </c>
      <c r="AC233" s="3"/>
      <c r="AD233">
        <v>4</v>
      </c>
      <c r="AE233" t="s">
        <v>58</v>
      </c>
      <c r="AF233" s="4"/>
    </row>
    <row r="234" spans="1:32" x14ac:dyDescent="0.3">
      <c r="A234" t="s">
        <v>325</v>
      </c>
      <c r="B234">
        <v>27</v>
      </c>
      <c r="C234" t="str">
        <f t="shared" si="3"/>
        <v>Young Adults</v>
      </c>
      <c r="D234" t="s">
        <v>28</v>
      </c>
      <c r="E234">
        <v>6</v>
      </c>
      <c r="G234" t="s">
        <v>39</v>
      </c>
      <c r="H234" t="s">
        <v>40</v>
      </c>
      <c r="I234" t="s">
        <v>31</v>
      </c>
      <c r="J234">
        <v>5.7</v>
      </c>
      <c r="L234" t="s">
        <v>43</v>
      </c>
      <c r="M234" t="s">
        <v>45</v>
      </c>
      <c r="N234" t="s">
        <v>34</v>
      </c>
      <c r="P234">
        <v>3</v>
      </c>
      <c r="Q234" t="s">
        <v>105</v>
      </c>
      <c r="R234" t="s">
        <v>57</v>
      </c>
      <c r="S234" t="b">
        <v>0</v>
      </c>
      <c r="T234" t="b">
        <v>0</v>
      </c>
      <c r="U234" t="b">
        <v>0</v>
      </c>
      <c r="V234" t="b">
        <v>1</v>
      </c>
      <c r="W234" t="b">
        <v>0</v>
      </c>
      <c r="X234">
        <v>1.2</v>
      </c>
      <c r="Y234">
        <v>5.3</v>
      </c>
      <c r="Z234">
        <v>5</v>
      </c>
      <c r="AA234">
        <v>5</v>
      </c>
      <c r="AB234" s="3">
        <v>74.069999999999993</v>
      </c>
      <c r="AC234" s="3"/>
      <c r="AD234">
        <v>8</v>
      </c>
      <c r="AE234" t="s">
        <v>46</v>
      </c>
      <c r="AF234" s="4"/>
    </row>
    <row r="235" spans="1:32" x14ac:dyDescent="0.3">
      <c r="A235" t="s">
        <v>326</v>
      </c>
      <c r="B235">
        <v>18</v>
      </c>
      <c r="C235" t="str">
        <f t="shared" si="3"/>
        <v>Teenager</v>
      </c>
      <c r="D235" t="s">
        <v>53</v>
      </c>
      <c r="E235">
        <v>5.9</v>
      </c>
      <c r="G235" t="s">
        <v>48</v>
      </c>
      <c r="H235" t="s">
        <v>214</v>
      </c>
      <c r="I235" t="s">
        <v>86</v>
      </c>
      <c r="J235">
        <v>5.2</v>
      </c>
      <c r="L235" t="s">
        <v>41</v>
      </c>
      <c r="M235" t="s">
        <v>74</v>
      </c>
      <c r="N235" t="s">
        <v>62</v>
      </c>
      <c r="O235">
        <v>2.37</v>
      </c>
      <c r="Q235" t="s">
        <v>69</v>
      </c>
      <c r="R235" t="s">
        <v>45</v>
      </c>
      <c r="S235" t="b">
        <v>0</v>
      </c>
      <c r="T235" t="b">
        <v>1</v>
      </c>
      <c r="U235" t="b">
        <v>0</v>
      </c>
      <c r="V235" t="b">
        <v>1</v>
      </c>
      <c r="W235" t="b">
        <v>1</v>
      </c>
      <c r="X235">
        <v>3.1</v>
      </c>
      <c r="Y235">
        <v>6.2</v>
      </c>
      <c r="Z235">
        <v>3</v>
      </c>
      <c r="AA235">
        <v>6.1</v>
      </c>
      <c r="AB235" s="3">
        <v>25.16</v>
      </c>
      <c r="AC235" s="3"/>
      <c r="AD235">
        <v>6</v>
      </c>
      <c r="AE235" t="s">
        <v>64</v>
      </c>
      <c r="AF235" s="4"/>
    </row>
    <row r="236" spans="1:32" x14ac:dyDescent="0.3">
      <c r="A236" t="s">
        <v>327</v>
      </c>
      <c r="B236">
        <v>23</v>
      </c>
      <c r="C236" t="str">
        <f t="shared" si="3"/>
        <v>Young Adults</v>
      </c>
      <c r="D236" t="s">
        <v>28</v>
      </c>
      <c r="E236">
        <v>5.2</v>
      </c>
      <c r="G236" t="s">
        <v>29</v>
      </c>
      <c r="H236" t="s">
        <v>30</v>
      </c>
      <c r="I236" t="s">
        <v>86</v>
      </c>
      <c r="J236">
        <v>5.9</v>
      </c>
      <c r="L236" t="s">
        <v>41</v>
      </c>
      <c r="M236" t="s">
        <v>33</v>
      </c>
      <c r="N236" t="s">
        <v>84</v>
      </c>
      <c r="P236">
        <v>2</v>
      </c>
      <c r="Q236" t="s">
        <v>121</v>
      </c>
      <c r="R236" t="s">
        <v>42</v>
      </c>
      <c r="S236" t="b">
        <v>0</v>
      </c>
      <c r="T236" t="b">
        <v>0</v>
      </c>
      <c r="U236" t="b">
        <v>0</v>
      </c>
      <c r="V236" t="b">
        <v>1</v>
      </c>
      <c r="W236" t="b">
        <v>0</v>
      </c>
      <c r="X236">
        <v>1.5</v>
      </c>
      <c r="Y236">
        <v>8.4</v>
      </c>
      <c r="Z236">
        <v>2</v>
      </c>
      <c r="AA236">
        <v>9.6</v>
      </c>
      <c r="AB236" s="3">
        <v>103.9</v>
      </c>
      <c r="AC236" s="3"/>
      <c r="AD236">
        <v>2</v>
      </c>
      <c r="AE236" t="s">
        <v>46</v>
      </c>
      <c r="AF236" s="4"/>
    </row>
    <row r="237" spans="1:32" x14ac:dyDescent="0.3">
      <c r="A237" t="s">
        <v>328</v>
      </c>
      <c r="B237">
        <v>21</v>
      </c>
      <c r="C237" t="str">
        <f t="shared" si="3"/>
        <v>Young Adults</v>
      </c>
      <c r="D237" t="s">
        <v>28</v>
      </c>
      <c r="E237">
        <v>5.5</v>
      </c>
      <c r="G237" t="s">
        <v>76</v>
      </c>
      <c r="H237" t="s">
        <v>77</v>
      </c>
      <c r="I237" t="s">
        <v>31</v>
      </c>
      <c r="J237">
        <v>5.3</v>
      </c>
      <c r="L237" t="s">
        <v>43</v>
      </c>
      <c r="M237" t="s">
        <v>42</v>
      </c>
      <c r="N237" t="s">
        <v>84</v>
      </c>
      <c r="O237">
        <v>2.35</v>
      </c>
      <c r="P237">
        <v>10</v>
      </c>
      <c r="Q237" t="s">
        <v>80</v>
      </c>
      <c r="R237" t="s">
        <v>45</v>
      </c>
      <c r="S237" t="b">
        <v>0</v>
      </c>
      <c r="T237" t="b">
        <v>1</v>
      </c>
      <c r="U237" t="b">
        <v>0</v>
      </c>
      <c r="V237" t="b">
        <v>0</v>
      </c>
      <c r="W237" t="b">
        <v>0</v>
      </c>
      <c r="X237">
        <v>3.9</v>
      </c>
      <c r="Y237">
        <v>8.6999999999999993</v>
      </c>
      <c r="Z237">
        <v>3</v>
      </c>
      <c r="AA237">
        <v>5.3</v>
      </c>
      <c r="AB237" s="3">
        <v>121.44</v>
      </c>
      <c r="AC237" s="3"/>
      <c r="AD237">
        <v>11</v>
      </c>
      <c r="AE237" t="s">
        <v>64</v>
      </c>
      <c r="AF237" s="4"/>
    </row>
    <row r="238" spans="1:32" x14ac:dyDescent="0.3">
      <c r="A238" t="s">
        <v>329</v>
      </c>
      <c r="B238">
        <v>17</v>
      </c>
      <c r="C238" t="str">
        <f t="shared" si="3"/>
        <v>Teenager</v>
      </c>
      <c r="D238" t="s">
        <v>28</v>
      </c>
      <c r="E238">
        <v>7.5</v>
      </c>
      <c r="G238" t="s">
        <v>39</v>
      </c>
      <c r="H238" t="s">
        <v>93</v>
      </c>
      <c r="I238" t="s">
        <v>86</v>
      </c>
      <c r="J238">
        <v>3.4</v>
      </c>
      <c r="L238" t="s">
        <v>32</v>
      </c>
      <c r="M238" t="s">
        <v>42</v>
      </c>
      <c r="N238" t="s">
        <v>34</v>
      </c>
      <c r="O238">
        <v>2.62</v>
      </c>
      <c r="Q238" t="s">
        <v>35</v>
      </c>
      <c r="R238" t="s">
        <v>36</v>
      </c>
      <c r="S238" t="b">
        <v>0</v>
      </c>
      <c r="T238" t="b">
        <v>0</v>
      </c>
      <c r="U238" t="b">
        <v>1</v>
      </c>
      <c r="V238" t="b">
        <v>1</v>
      </c>
      <c r="W238" t="b">
        <v>0</v>
      </c>
      <c r="X238">
        <v>0.2</v>
      </c>
      <c r="Y238">
        <v>7.7</v>
      </c>
      <c r="Z238">
        <v>5</v>
      </c>
      <c r="AA238">
        <v>4.5</v>
      </c>
      <c r="AB238" s="3">
        <v>145.06</v>
      </c>
      <c r="AC238" s="3"/>
      <c r="AD238">
        <v>4</v>
      </c>
      <c r="AE238" t="s">
        <v>64</v>
      </c>
      <c r="AF238" s="4"/>
    </row>
    <row r="239" spans="1:32" x14ac:dyDescent="0.3">
      <c r="A239" t="s">
        <v>330</v>
      </c>
      <c r="B239">
        <v>26</v>
      </c>
      <c r="C239" t="str">
        <f t="shared" si="3"/>
        <v>Young Adults</v>
      </c>
      <c r="D239" t="s">
        <v>53</v>
      </c>
      <c r="E239">
        <v>8.8000000000000007</v>
      </c>
      <c r="G239" t="s">
        <v>76</v>
      </c>
      <c r="H239" t="s">
        <v>126</v>
      </c>
      <c r="I239" t="s">
        <v>31</v>
      </c>
      <c r="J239">
        <v>4.9000000000000004</v>
      </c>
      <c r="L239" t="s">
        <v>51</v>
      </c>
      <c r="M239" t="s">
        <v>45</v>
      </c>
      <c r="N239" t="s">
        <v>62</v>
      </c>
      <c r="P239">
        <v>9</v>
      </c>
      <c r="Q239" t="s">
        <v>69</v>
      </c>
      <c r="R239" t="s">
        <v>42</v>
      </c>
      <c r="S239" t="b">
        <v>1</v>
      </c>
      <c r="T239" t="b">
        <v>1</v>
      </c>
      <c r="U239" t="b">
        <v>1</v>
      </c>
      <c r="V239" t="b">
        <v>0</v>
      </c>
      <c r="W239" t="b">
        <v>1</v>
      </c>
      <c r="X239">
        <v>3.5</v>
      </c>
      <c r="Y239">
        <v>5.9</v>
      </c>
      <c r="Z239">
        <v>6</v>
      </c>
      <c r="AA239">
        <v>1.6</v>
      </c>
      <c r="AB239" s="3">
        <v>430.82</v>
      </c>
      <c r="AC239" s="3"/>
      <c r="AD239">
        <v>14</v>
      </c>
      <c r="AE239" t="s">
        <v>37</v>
      </c>
      <c r="AF239" s="4"/>
    </row>
    <row r="240" spans="1:32" x14ac:dyDescent="0.3">
      <c r="A240" t="s">
        <v>331</v>
      </c>
      <c r="B240">
        <v>20</v>
      </c>
      <c r="C240" t="str">
        <f t="shared" si="3"/>
        <v>Young Adults</v>
      </c>
      <c r="D240" t="s">
        <v>53</v>
      </c>
      <c r="E240">
        <v>5.7</v>
      </c>
      <c r="G240" t="s">
        <v>54</v>
      </c>
      <c r="H240" t="s">
        <v>89</v>
      </c>
      <c r="I240" t="s">
        <v>86</v>
      </c>
      <c r="J240">
        <v>5.5</v>
      </c>
      <c r="L240" t="s">
        <v>41</v>
      </c>
      <c r="M240" t="s">
        <v>33</v>
      </c>
      <c r="N240" t="s">
        <v>62</v>
      </c>
      <c r="O240">
        <v>2.25</v>
      </c>
      <c r="P240">
        <v>3</v>
      </c>
      <c r="Q240" t="s">
        <v>69</v>
      </c>
      <c r="R240" t="s">
        <v>57</v>
      </c>
      <c r="S240" t="b">
        <v>0</v>
      </c>
      <c r="T240" t="b">
        <v>1</v>
      </c>
      <c r="U240" t="b">
        <v>0</v>
      </c>
      <c r="V240" t="b">
        <v>0</v>
      </c>
      <c r="W240" t="b">
        <v>1</v>
      </c>
      <c r="X240">
        <v>0.3</v>
      </c>
      <c r="Y240">
        <v>8.6999999999999993</v>
      </c>
      <c r="Z240">
        <v>5</v>
      </c>
      <c r="AA240">
        <v>8.5</v>
      </c>
      <c r="AB240" s="3">
        <v>60.72</v>
      </c>
      <c r="AC240" s="3"/>
      <c r="AD240">
        <v>2</v>
      </c>
      <c r="AE240" t="s">
        <v>64</v>
      </c>
      <c r="AF240" s="4"/>
    </row>
    <row r="241" spans="1:32" x14ac:dyDescent="0.3">
      <c r="A241" t="s">
        <v>332</v>
      </c>
      <c r="B241">
        <v>22</v>
      </c>
      <c r="C241" t="str">
        <f t="shared" si="3"/>
        <v>Young Adults</v>
      </c>
      <c r="D241" t="s">
        <v>53</v>
      </c>
      <c r="E241">
        <v>10.9</v>
      </c>
      <c r="G241" t="s">
        <v>48</v>
      </c>
      <c r="H241" t="s">
        <v>68</v>
      </c>
      <c r="I241" t="s">
        <v>31</v>
      </c>
      <c r="J241">
        <v>5.2</v>
      </c>
      <c r="L241" t="s">
        <v>32</v>
      </c>
      <c r="M241" t="s">
        <v>36</v>
      </c>
      <c r="N241" t="s">
        <v>51</v>
      </c>
      <c r="O241">
        <v>3.74</v>
      </c>
      <c r="P241">
        <v>9</v>
      </c>
      <c r="Q241" t="s">
        <v>44</v>
      </c>
      <c r="R241" t="s">
        <v>36</v>
      </c>
      <c r="S241" t="b">
        <v>1</v>
      </c>
      <c r="T241" t="b">
        <v>1</v>
      </c>
      <c r="U241" t="b">
        <v>0</v>
      </c>
      <c r="V241" t="b">
        <v>1</v>
      </c>
      <c r="W241" t="b">
        <v>1</v>
      </c>
      <c r="X241">
        <v>3</v>
      </c>
      <c r="Y241">
        <v>5.2</v>
      </c>
      <c r="Z241">
        <v>8</v>
      </c>
      <c r="AA241">
        <v>0</v>
      </c>
      <c r="AB241" s="3">
        <v>247.59</v>
      </c>
      <c r="AC241" s="3"/>
      <c r="AD241">
        <v>7</v>
      </c>
      <c r="AE241" t="s">
        <v>37</v>
      </c>
      <c r="AF241" s="4"/>
    </row>
    <row r="242" spans="1:32" x14ac:dyDescent="0.3">
      <c r="A242" t="s">
        <v>333</v>
      </c>
      <c r="B242">
        <v>17</v>
      </c>
      <c r="C242" t="str">
        <f t="shared" si="3"/>
        <v>Teenager</v>
      </c>
      <c r="D242" t="s">
        <v>28</v>
      </c>
      <c r="E242">
        <v>2.2999999999999998</v>
      </c>
      <c r="G242" t="s">
        <v>48</v>
      </c>
      <c r="H242" t="s">
        <v>214</v>
      </c>
      <c r="I242" t="s">
        <v>86</v>
      </c>
      <c r="J242">
        <v>8.6999999999999993</v>
      </c>
      <c r="L242" t="s">
        <v>43</v>
      </c>
      <c r="M242" t="s">
        <v>45</v>
      </c>
      <c r="N242" t="s">
        <v>43</v>
      </c>
      <c r="O242">
        <v>1.39</v>
      </c>
      <c r="Q242" t="s">
        <v>80</v>
      </c>
      <c r="R242" t="s">
        <v>45</v>
      </c>
      <c r="S242" t="b">
        <v>0</v>
      </c>
      <c r="T242" t="b">
        <v>0</v>
      </c>
      <c r="U242" t="b">
        <v>0</v>
      </c>
      <c r="V242" t="b">
        <v>0</v>
      </c>
      <c r="W242" t="b">
        <v>0</v>
      </c>
      <c r="X242">
        <v>0.8</v>
      </c>
      <c r="Y242">
        <v>7</v>
      </c>
      <c r="Z242">
        <v>4</v>
      </c>
      <c r="AA242">
        <v>12.7</v>
      </c>
      <c r="AB242" s="3">
        <v>35.909999999999997</v>
      </c>
      <c r="AC242" s="3"/>
      <c r="AD242">
        <v>4</v>
      </c>
      <c r="AE242" t="s">
        <v>46</v>
      </c>
      <c r="AF242" s="4"/>
    </row>
    <row r="243" spans="1:32" x14ac:dyDescent="0.3">
      <c r="A243" t="s">
        <v>334</v>
      </c>
      <c r="B243">
        <v>24</v>
      </c>
      <c r="C243" t="str">
        <f t="shared" si="3"/>
        <v>Young Adults</v>
      </c>
      <c r="D243" t="s">
        <v>28</v>
      </c>
      <c r="E243">
        <v>0.7</v>
      </c>
      <c r="G243" t="s">
        <v>48</v>
      </c>
      <c r="H243" t="s">
        <v>128</v>
      </c>
      <c r="I243" t="s">
        <v>50</v>
      </c>
      <c r="J243">
        <v>8.3000000000000007</v>
      </c>
      <c r="L243" t="s">
        <v>43</v>
      </c>
      <c r="M243" t="s">
        <v>45</v>
      </c>
      <c r="N243" t="s">
        <v>62</v>
      </c>
      <c r="P243">
        <v>5</v>
      </c>
      <c r="Q243" t="s">
        <v>66</v>
      </c>
      <c r="R243" t="s">
        <v>57</v>
      </c>
      <c r="S243" t="b">
        <v>0</v>
      </c>
      <c r="T243" t="b">
        <v>0</v>
      </c>
      <c r="U243" t="b">
        <v>0</v>
      </c>
      <c r="V243" t="b">
        <v>0</v>
      </c>
      <c r="W243" t="b">
        <v>0</v>
      </c>
      <c r="X243">
        <v>0.3</v>
      </c>
      <c r="Y243">
        <v>9.5</v>
      </c>
      <c r="Z243">
        <v>1</v>
      </c>
      <c r="AA243">
        <v>11</v>
      </c>
      <c r="AB243" s="3">
        <v>6.93</v>
      </c>
      <c r="AC243" s="3"/>
      <c r="AD243">
        <v>7</v>
      </c>
      <c r="AE243" t="s">
        <v>46</v>
      </c>
      <c r="AF243" s="4"/>
    </row>
    <row r="244" spans="1:32" x14ac:dyDescent="0.3">
      <c r="A244" t="s">
        <v>335</v>
      </c>
      <c r="B244">
        <v>20</v>
      </c>
      <c r="C244" t="str">
        <f t="shared" si="3"/>
        <v>Young Adults</v>
      </c>
      <c r="D244" t="s">
        <v>28</v>
      </c>
      <c r="E244">
        <v>6.6</v>
      </c>
      <c r="G244" t="s">
        <v>76</v>
      </c>
      <c r="H244" t="s">
        <v>126</v>
      </c>
      <c r="I244" t="s">
        <v>71</v>
      </c>
      <c r="J244">
        <v>3.8</v>
      </c>
      <c r="L244" t="s">
        <v>32</v>
      </c>
      <c r="M244" t="s">
        <v>45</v>
      </c>
      <c r="N244" t="s">
        <v>51</v>
      </c>
      <c r="O244">
        <v>3.02</v>
      </c>
      <c r="P244">
        <v>3</v>
      </c>
      <c r="Q244" t="s">
        <v>63</v>
      </c>
      <c r="R244" t="s">
        <v>33</v>
      </c>
      <c r="S244" t="b">
        <v>1</v>
      </c>
      <c r="T244" t="b">
        <v>1</v>
      </c>
      <c r="U244" t="b">
        <v>0</v>
      </c>
      <c r="V244" t="b">
        <v>1</v>
      </c>
      <c r="W244" t="b">
        <v>1</v>
      </c>
      <c r="X244">
        <v>0.1</v>
      </c>
      <c r="Y244">
        <v>8.1</v>
      </c>
      <c r="Z244">
        <v>3</v>
      </c>
      <c r="AA244">
        <v>7.5</v>
      </c>
      <c r="AB244" s="3">
        <v>50.22</v>
      </c>
      <c r="AC244" s="3"/>
      <c r="AD244">
        <v>9</v>
      </c>
      <c r="AE244" t="s">
        <v>58</v>
      </c>
      <c r="AF244" s="4"/>
    </row>
    <row r="245" spans="1:32" x14ac:dyDescent="0.3">
      <c r="A245" t="s">
        <v>336</v>
      </c>
      <c r="B245">
        <v>19</v>
      </c>
      <c r="C245" t="str">
        <f t="shared" si="3"/>
        <v>Teenager</v>
      </c>
      <c r="D245" t="s">
        <v>53</v>
      </c>
      <c r="E245">
        <v>9.3000000000000007</v>
      </c>
      <c r="G245" t="s">
        <v>48</v>
      </c>
      <c r="H245" t="s">
        <v>49</v>
      </c>
      <c r="I245" t="s">
        <v>50</v>
      </c>
      <c r="J245">
        <v>3</v>
      </c>
      <c r="L245" t="s">
        <v>51</v>
      </c>
      <c r="M245" t="s">
        <v>33</v>
      </c>
      <c r="N245" t="s">
        <v>51</v>
      </c>
      <c r="O245">
        <v>3.51</v>
      </c>
      <c r="P245">
        <v>5</v>
      </c>
      <c r="Q245" t="s">
        <v>44</v>
      </c>
      <c r="R245" t="s">
        <v>57</v>
      </c>
      <c r="S245" t="b">
        <v>1</v>
      </c>
      <c r="T245" t="b">
        <v>0</v>
      </c>
      <c r="U245" t="b">
        <v>0</v>
      </c>
      <c r="V245" t="b">
        <v>1</v>
      </c>
      <c r="W245" t="b">
        <v>0</v>
      </c>
      <c r="X245">
        <v>2.2999999999999998</v>
      </c>
      <c r="Y245">
        <v>6.1</v>
      </c>
      <c r="Z245">
        <v>5</v>
      </c>
      <c r="AA245">
        <v>4.5999999999999996</v>
      </c>
      <c r="AB245" s="3">
        <v>195.86</v>
      </c>
      <c r="AC245" s="3"/>
      <c r="AD245">
        <v>3</v>
      </c>
      <c r="AE245" t="s">
        <v>58</v>
      </c>
      <c r="AF245" s="4"/>
    </row>
    <row r="246" spans="1:32" x14ac:dyDescent="0.3">
      <c r="A246" t="s">
        <v>337</v>
      </c>
      <c r="B246">
        <v>33</v>
      </c>
      <c r="C246" t="str">
        <f t="shared" si="3"/>
        <v>Old Adults</v>
      </c>
      <c r="D246" t="s">
        <v>53</v>
      </c>
      <c r="E246">
        <v>2.7</v>
      </c>
      <c r="G246" t="s">
        <v>48</v>
      </c>
      <c r="H246" t="s">
        <v>214</v>
      </c>
      <c r="I246" t="s">
        <v>86</v>
      </c>
      <c r="J246">
        <v>8.6999999999999993</v>
      </c>
      <c r="L246" t="s">
        <v>43</v>
      </c>
      <c r="M246" t="s">
        <v>42</v>
      </c>
      <c r="N246" t="s">
        <v>43</v>
      </c>
      <c r="P246">
        <v>6</v>
      </c>
      <c r="Q246" t="s">
        <v>66</v>
      </c>
      <c r="R246" t="s">
        <v>42</v>
      </c>
      <c r="S246" t="b">
        <v>0</v>
      </c>
      <c r="T246" t="b">
        <v>0</v>
      </c>
      <c r="U246" t="b">
        <v>0</v>
      </c>
      <c r="V246" t="b">
        <v>0</v>
      </c>
      <c r="W246" t="b">
        <v>0</v>
      </c>
      <c r="X246">
        <v>1</v>
      </c>
      <c r="Y246">
        <v>8.3000000000000007</v>
      </c>
      <c r="Z246">
        <v>2</v>
      </c>
      <c r="AA246">
        <v>10.7</v>
      </c>
      <c r="AB246" s="3">
        <v>31.35</v>
      </c>
      <c r="AC246" s="3"/>
      <c r="AD246">
        <v>20</v>
      </c>
      <c r="AE246" t="s">
        <v>46</v>
      </c>
      <c r="AF246" s="4"/>
    </row>
    <row r="247" spans="1:32" x14ac:dyDescent="0.3">
      <c r="A247" t="s">
        <v>338</v>
      </c>
      <c r="B247">
        <v>14</v>
      </c>
      <c r="C247" t="str">
        <f t="shared" si="3"/>
        <v>Teenager</v>
      </c>
      <c r="D247" t="s">
        <v>28</v>
      </c>
      <c r="E247">
        <v>1</v>
      </c>
      <c r="G247" t="s">
        <v>76</v>
      </c>
      <c r="H247" t="s">
        <v>110</v>
      </c>
      <c r="I247" t="s">
        <v>50</v>
      </c>
      <c r="J247">
        <v>7.2</v>
      </c>
      <c r="L247" t="s">
        <v>41</v>
      </c>
      <c r="M247" t="s">
        <v>45</v>
      </c>
      <c r="N247" t="s">
        <v>34</v>
      </c>
      <c r="O247">
        <v>2.33</v>
      </c>
      <c r="Q247" t="s">
        <v>80</v>
      </c>
      <c r="R247" t="s">
        <v>33</v>
      </c>
      <c r="S247" t="b">
        <v>0</v>
      </c>
      <c r="T247" t="b">
        <v>0</v>
      </c>
      <c r="U247" t="b">
        <v>0</v>
      </c>
      <c r="V247" t="b">
        <v>0</v>
      </c>
      <c r="W247" t="b">
        <v>0</v>
      </c>
      <c r="X247">
        <v>0.4</v>
      </c>
      <c r="Y247">
        <v>10.1</v>
      </c>
      <c r="Z247">
        <v>1</v>
      </c>
      <c r="AA247">
        <v>13.4</v>
      </c>
      <c r="AB247" s="3">
        <v>35.39</v>
      </c>
      <c r="AC247" s="3"/>
      <c r="AD247">
        <v>2</v>
      </c>
      <c r="AE247" t="s">
        <v>46</v>
      </c>
      <c r="AF247" s="4"/>
    </row>
    <row r="248" spans="1:32" x14ac:dyDescent="0.3">
      <c r="A248" t="s">
        <v>339</v>
      </c>
      <c r="B248">
        <v>20</v>
      </c>
      <c r="C248" t="str">
        <f t="shared" si="3"/>
        <v>Young Adults</v>
      </c>
      <c r="D248" t="s">
        <v>53</v>
      </c>
      <c r="E248">
        <v>8.9</v>
      </c>
      <c r="G248" t="s">
        <v>82</v>
      </c>
      <c r="H248" t="s">
        <v>167</v>
      </c>
      <c r="I248" t="s">
        <v>86</v>
      </c>
      <c r="J248">
        <v>4.3</v>
      </c>
      <c r="L248" t="s">
        <v>41</v>
      </c>
      <c r="M248" t="s">
        <v>42</v>
      </c>
      <c r="N248" t="s">
        <v>51</v>
      </c>
      <c r="O248">
        <v>3.28</v>
      </c>
      <c r="P248">
        <v>1</v>
      </c>
      <c r="Q248" t="s">
        <v>63</v>
      </c>
      <c r="R248" t="s">
        <v>42</v>
      </c>
      <c r="S248" t="b">
        <v>1</v>
      </c>
      <c r="T248" t="b">
        <v>0</v>
      </c>
      <c r="U248" t="b">
        <v>1</v>
      </c>
      <c r="V248" t="b">
        <v>1</v>
      </c>
      <c r="W248" t="b">
        <v>1</v>
      </c>
      <c r="X248">
        <v>3.4</v>
      </c>
      <c r="Y248">
        <v>6.9</v>
      </c>
      <c r="Z248">
        <v>5</v>
      </c>
      <c r="AA248">
        <v>4.7</v>
      </c>
      <c r="AB248" s="3">
        <v>131.33000000000001</v>
      </c>
      <c r="AC248" s="3"/>
      <c r="AD248">
        <v>2</v>
      </c>
      <c r="AE248" t="s">
        <v>37</v>
      </c>
      <c r="AF248" s="4"/>
    </row>
    <row r="249" spans="1:32" x14ac:dyDescent="0.3">
      <c r="A249" t="s">
        <v>340</v>
      </c>
      <c r="B249">
        <v>20</v>
      </c>
      <c r="C249" t="str">
        <f t="shared" si="3"/>
        <v>Young Adults</v>
      </c>
      <c r="D249" t="s">
        <v>28</v>
      </c>
      <c r="E249">
        <v>8.1999999999999993</v>
      </c>
      <c r="G249" t="s">
        <v>48</v>
      </c>
      <c r="H249" t="s">
        <v>49</v>
      </c>
      <c r="I249" t="s">
        <v>71</v>
      </c>
      <c r="J249">
        <v>3.2</v>
      </c>
      <c r="L249" t="s">
        <v>51</v>
      </c>
      <c r="M249" t="s">
        <v>36</v>
      </c>
      <c r="N249" t="s">
        <v>129</v>
      </c>
      <c r="O249">
        <v>2.33</v>
      </c>
      <c r="P249">
        <v>8</v>
      </c>
      <c r="Q249" t="s">
        <v>35</v>
      </c>
      <c r="R249" t="s">
        <v>42</v>
      </c>
      <c r="S249" t="b">
        <v>0</v>
      </c>
      <c r="T249" t="b">
        <v>0</v>
      </c>
      <c r="U249" t="b">
        <v>1</v>
      </c>
      <c r="V249" t="b">
        <v>0</v>
      </c>
      <c r="W249" t="b">
        <v>1</v>
      </c>
      <c r="X249">
        <v>3.6</v>
      </c>
      <c r="Y249">
        <v>5.8</v>
      </c>
      <c r="Z249">
        <v>5</v>
      </c>
      <c r="AA249">
        <v>5.2</v>
      </c>
      <c r="AB249" s="3">
        <v>103.72</v>
      </c>
      <c r="AC249" s="3"/>
      <c r="AD249">
        <v>2</v>
      </c>
      <c r="AE249" t="s">
        <v>64</v>
      </c>
      <c r="AF249" s="4"/>
    </row>
    <row r="250" spans="1:32" x14ac:dyDescent="0.3">
      <c r="A250" t="s">
        <v>341</v>
      </c>
      <c r="B250">
        <v>18</v>
      </c>
      <c r="C250" t="str">
        <f t="shared" si="3"/>
        <v>Teenager</v>
      </c>
      <c r="D250" t="s">
        <v>28</v>
      </c>
      <c r="E250">
        <v>7.8</v>
      </c>
      <c r="G250" t="s">
        <v>76</v>
      </c>
      <c r="H250" t="s">
        <v>77</v>
      </c>
      <c r="I250" t="s">
        <v>86</v>
      </c>
      <c r="J250">
        <v>3.7</v>
      </c>
      <c r="L250" t="s">
        <v>32</v>
      </c>
      <c r="M250" t="s">
        <v>33</v>
      </c>
      <c r="N250" t="s">
        <v>51</v>
      </c>
      <c r="O250">
        <v>3.65</v>
      </c>
      <c r="Q250" t="s">
        <v>69</v>
      </c>
      <c r="R250" t="s">
        <v>36</v>
      </c>
      <c r="S250" t="b">
        <v>1</v>
      </c>
      <c r="T250" t="b">
        <v>1</v>
      </c>
      <c r="U250" t="b">
        <v>1</v>
      </c>
      <c r="V250" t="b">
        <v>0</v>
      </c>
      <c r="W250" t="b">
        <v>1</v>
      </c>
      <c r="X250">
        <v>1.4</v>
      </c>
      <c r="Y250">
        <v>5.8</v>
      </c>
      <c r="Z250">
        <v>6</v>
      </c>
      <c r="AA250">
        <v>6.3</v>
      </c>
      <c r="AB250" s="3">
        <v>89.41</v>
      </c>
      <c r="AC250" s="3"/>
      <c r="AD250">
        <v>6</v>
      </c>
      <c r="AE250" t="s">
        <v>37</v>
      </c>
      <c r="AF250" s="4"/>
    </row>
    <row r="251" spans="1:32" x14ac:dyDescent="0.3">
      <c r="A251" t="s">
        <v>342</v>
      </c>
      <c r="B251">
        <v>25</v>
      </c>
      <c r="C251" t="str">
        <f t="shared" si="3"/>
        <v>Young Adults</v>
      </c>
      <c r="D251" t="s">
        <v>53</v>
      </c>
      <c r="E251">
        <v>3.9</v>
      </c>
      <c r="G251" t="s">
        <v>60</v>
      </c>
      <c r="H251" t="s">
        <v>102</v>
      </c>
      <c r="I251" t="s">
        <v>71</v>
      </c>
      <c r="J251">
        <v>6.3</v>
      </c>
      <c r="L251" t="s">
        <v>51</v>
      </c>
      <c r="M251" t="s">
        <v>74</v>
      </c>
      <c r="N251" t="s">
        <v>62</v>
      </c>
      <c r="P251">
        <v>2</v>
      </c>
      <c r="Q251" t="s">
        <v>44</v>
      </c>
      <c r="R251" t="s">
        <v>45</v>
      </c>
      <c r="S251" t="b">
        <v>0</v>
      </c>
      <c r="T251" t="b">
        <v>0</v>
      </c>
      <c r="U251" t="b">
        <v>0</v>
      </c>
      <c r="V251" t="b">
        <v>0</v>
      </c>
      <c r="W251" t="b">
        <v>0</v>
      </c>
      <c r="X251">
        <v>0.2</v>
      </c>
      <c r="Y251">
        <v>8.1999999999999993</v>
      </c>
      <c r="Z251">
        <v>2</v>
      </c>
      <c r="AA251">
        <v>12.4</v>
      </c>
      <c r="AB251" s="3">
        <v>17.57</v>
      </c>
      <c r="AC251" s="3"/>
      <c r="AD251">
        <v>9</v>
      </c>
      <c r="AE251" t="s">
        <v>46</v>
      </c>
      <c r="AF251" s="4"/>
    </row>
    <row r="252" spans="1:32" x14ac:dyDescent="0.3">
      <c r="A252" t="s">
        <v>343</v>
      </c>
      <c r="B252">
        <v>16</v>
      </c>
      <c r="C252" t="str">
        <f t="shared" si="3"/>
        <v>Teenager</v>
      </c>
      <c r="D252" t="s">
        <v>28</v>
      </c>
      <c r="E252">
        <v>4.5999999999999996</v>
      </c>
      <c r="G252" t="s">
        <v>60</v>
      </c>
      <c r="H252" t="s">
        <v>102</v>
      </c>
      <c r="I252" t="s">
        <v>50</v>
      </c>
      <c r="J252">
        <v>6</v>
      </c>
      <c r="L252" t="s">
        <v>32</v>
      </c>
      <c r="M252" t="s">
        <v>33</v>
      </c>
      <c r="N252" t="s">
        <v>34</v>
      </c>
      <c r="O252">
        <v>3.2</v>
      </c>
      <c r="Q252" t="s">
        <v>80</v>
      </c>
      <c r="R252" t="s">
        <v>45</v>
      </c>
      <c r="S252" t="b">
        <v>0</v>
      </c>
      <c r="T252" t="b">
        <v>0</v>
      </c>
      <c r="U252" t="b">
        <v>0</v>
      </c>
      <c r="V252" t="b">
        <v>1</v>
      </c>
      <c r="W252" t="b">
        <v>0</v>
      </c>
      <c r="X252">
        <v>1.6</v>
      </c>
      <c r="Y252">
        <v>6.9</v>
      </c>
      <c r="Z252">
        <v>3</v>
      </c>
      <c r="AA252">
        <v>8.9</v>
      </c>
      <c r="AB252" s="3">
        <v>37.4</v>
      </c>
      <c r="AC252" s="3"/>
      <c r="AD252">
        <v>5</v>
      </c>
      <c r="AE252" t="s">
        <v>46</v>
      </c>
      <c r="AF252" s="4"/>
    </row>
    <row r="253" spans="1:32" x14ac:dyDescent="0.3">
      <c r="A253" t="s">
        <v>344</v>
      </c>
      <c r="B253">
        <v>20</v>
      </c>
      <c r="C253" t="str">
        <f t="shared" si="3"/>
        <v>Young Adults</v>
      </c>
      <c r="D253" t="s">
        <v>28</v>
      </c>
      <c r="E253">
        <v>8.1999999999999993</v>
      </c>
      <c r="G253" t="s">
        <v>39</v>
      </c>
      <c r="H253" t="s">
        <v>40</v>
      </c>
      <c r="I253" t="s">
        <v>31</v>
      </c>
      <c r="J253">
        <v>5</v>
      </c>
      <c r="L253" t="s">
        <v>51</v>
      </c>
      <c r="M253" t="s">
        <v>45</v>
      </c>
      <c r="N253" t="s">
        <v>34</v>
      </c>
      <c r="O253">
        <v>2.21</v>
      </c>
      <c r="P253">
        <v>6</v>
      </c>
      <c r="Q253" t="s">
        <v>80</v>
      </c>
      <c r="R253" t="s">
        <v>33</v>
      </c>
      <c r="S253" t="b">
        <v>1</v>
      </c>
      <c r="T253" t="b">
        <v>0</v>
      </c>
      <c r="U253" t="b">
        <v>1</v>
      </c>
      <c r="V253" t="b">
        <v>0</v>
      </c>
      <c r="W253" t="b">
        <v>1</v>
      </c>
      <c r="X253">
        <v>3.1</v>
      </c>
      <c r="Y253">
        <v>6.6</v>
      </c>
      <c r="Z253">
        <v>6</v>
      </c>
      <c r="AA253">
        <v>6.4</v>
      </c>
      <c r="AB253" s="3">
        <v>66.44</v>
      </c>
      <c r="AC253" s="3"/>
      <c r="AD253">
        <v>4</v>
      </c>
      <c r="AE253" t="s">
        <v>58</v>
      </c>
      <c r="AF253" s="4"/>
    </row>
    <row r="254" spans="1:32" x14ac:dyDescent="0.3">
      <c r="A254" t="s">
        <v>345</v>
      </c>
      <c r="B254">
        <v>18</v>
      </c>
      <c r="C254" t="str">
        <f t="shared" si="3"/>
        <v>Teenager</v>
      </c>
      <c r="D254" t="s">
        <v>53</v>
      </c>
      <c r="E254">
        <v>7.3</v>
      </c>
      <c r="G254" t="s">
        <v>29</v>
      </c>
      <c r="H254" t="s">
        <v>104</v>
      </c>
      <c r="I254" t="s">
        <v>86</v>
      </c>
      <c r="J254">
        <v>4.7</v>
      </c>
      <c r="L254" t="s">
        <v>32</v>
      </c>
      <c r="M254" t="s">
        <v>74</v>
      </c>
      <c r="N254" t="s">
        <v>84</v>
      </c>
      <c r="O254">
        <v>2.27</v>
      </c>
      <c r="Q254" t="s">
        <v>44</v>
      </c>
      <c r="R254" t="s">
        <v>36</v>
      </c>
      <c r="S254" t="b">
        <v>1</v>
      </c>
      <c r="T254" t="b">
        <v>1</v>
      </c>
      <c r="U254" t="b">
        <v>0</v>
      </c>
      <c r="V254" t="b">
        <v>1</v>
      </c>
      <c r="W254" t="b">
        <v>0</v>
      </c>
      <c r="X254">
        <v>2.8</v>
      </c>
      <c r="Y254">
        <v>6.4</v>
      </c>
      <c r="Z254">
        <v>5</v>
      </c>
      <c r="AA254">
        <v>5</v>
      </c>
      <c r="AB254" s="3">
        <v>81.739999999999995</v>
      </c>
      <c r="AC254" s="3"/>
      <c r="AD254">
        <v>6</v>
      </c>
      <c r="AE254" t="s">
        <v>58</v>
      </c>
      <c r="AF254" s="4"/>
    </row>
    <row r="255" spans="1:32" x14ac:dyDescent="0.3">
      <c r="A255" t="s">
        <v>346</v>
      </c>
      <c r="B255">
        <v>23</v>
      </c>
      <c r="C255" t="str">
        <f t="shared" si="3"/>
        <v>Young Adults</v>
      </c>
      <c r="D255" t="s">
        <v>53</v>
      </c>
      <c r="E255">
        <v>2</v>
      </c>
      <c r="G255" t="s">
        <v>39</v>
      </c>
      <c r="H255" t="s">
        <v>120</v>
      </c>
      <c r="I255" t="s">
        <v>71</v>
      </c>
      <c r="J255">
        <v>8.6999999999999993</v>
      </c>
      <c r="L255" t="s">
        <v>41</v>
      </c>
      <c r="M255" t="s">
        <v>33</v>
      </c>
      <c r="N255" t="s">
        <v>84</v>
      </c>
      <c r="P255">
        <v>10</v>
      </c>
      <c r="Q255" t="s">
        <v>121</v>
      </c>
      <c r="R255" t="s">
        <v>57</v>
      </c>
      <c r="S255" t="b">
        <v>0</v>
      </c>
      <c r="T255" t="b">
        <v>0</v>
      </c>
      <c r="U255" t="b">
        <v>0</v>
      </c>
      <c r="V255" t="b">
        <v>0</v>
      </c>
      <c r="W255" t="b">
        <v>0</v>
      </c>
      <c r="X255">
        <v>0.5</v>
      </c>
      <c r="Y255">
        <v>10.6</v>
      </c>
      <c r="Z255">
        <v>1</v>
      </c>
      <c r="AA255">
        <v>13.7</v>
      </c>
      <c r="AB255" s="3">
        <v>20.74</v>
      </c>
      <c r="AC255" s="3"/>
      <c r="AD255">
        <v>11</v>
      </c>
      <c r="AE255" t="s">
        <v>46</v>
      </c>
      <c r="AF255" s="4"/>
    </row>
    <row r="256" spans="1:32" x14ac:dyDescent="0.3">
      <c r="A256" t="s">
        <v>347</v>
      </c>
      <c r="B256">
        <v>19</v>
      </c>
      <c r="C256" t="str">
        <f t="shared" si="3"/>
        <v>Teenager</v>
      </c>
      <c r="D256" t="s">
        <v>28</v>
      </c>
      <c r="E256">
        <v>5.5</v>
      </c>
      <c r="G256" t="s">
        <v>54</v>
      </c>
      <c r="H256" t="s">
        <v>98</v>
      </c>
      <c r="I256" t="s">
        <v>86</v>
      </c>
      <c r="J256">
        <v>6.1</v>
      </c>
      <c r="L256" t="s">
        <v>41</v>
      </c>
      <c r="M256" t="s">
        <v>42</v>
      </c>
      <c r="N256" t="s">
        <v>51</v>
      </c>
      <c r="O256">
        <v>1.05</v>
      </c>
      <c r="P256">
        <v>1</v>
      </c>
      <c r="Q256" t="s">
        <v>44</v>
      </c>
      <c r="R256" t="s">
        <v>57</v>
      </c>
      <c r="S256" t="b">
        <v>0</v>
      </c>
      <c r="T256" t="b">
        <v>1</v>
      </c>
      <c r="U256" t="b">
        <v>0</v>
      </c>
      <c r="V256" t="b">
        <v>0</v>
      </c>
      <c r="W256" t="b">
        <v>0</v>
      </c>
      <c r="X256">
        <v>2.8</v>
      </c>
      <c r="Y256">
        <v>7.7</v>
      </c>
      <c r="Z256">
        <v>3</v>
      </c>
      <c r="AA256">
        <v>9.6999999999999993</v>
      </c>
      <c r="AB256" s="3">
        <v>149.11000000000001</v>
      </c>
      <c r="AC256" s="3"/>
      <c r="AD256">
        <v>7</v>
      </c>
      <c r="AE256" t="s">
        <v>64</v>
      </c>
      <c r="AF256" s="4"/>
    </row>
    <row r="257" spans="1:32" x14ac:dyDescent="0.3">
      <c r="A257" t="s">
        <v>348</v>
      </c>
      <c r="B257">
        <v>23</v>
      </c>
      <c r="C257" t="str">
        <f t="shared" si="3"/>
        <v>Young Adults</v>
      </c>
      <c r="D257" t="s">
        <v>28</v>
      </c>
      <c r="E257">
        <v>4.4000000000000004</v>
      </c>
      <c r="G257" t="s">
        <v>29</v>
      </c>
      <c r="H257" t="s">
        <v>118</v>
      </c>
      <c r="I257" t="s">
        <v>31</v>
      </c>
      <c r="J257">
        <v>6.3</v>
      </c>
      <c r="L257" t="s">
        <v>41</v>
      </c>
      <c r="M257" t="s">
        <v>45</v>
      </c>
      <c r="N257" t="s">
        <v>62</v>
      </c>
      <c r="P257">
        <v>1</v>
      </c>
      <c r="Q257" t="s">
        <v>105</v>
      </c>
      <c r="R257" t="s">
        <v>42</v>
      </c>
      <c r="S257" t="b">
        <v>0</v>
      </c>
      <c r="T257" t="b">
        <v>0</v>
      </c>
      <c r="U257" t="b">
        <v>0</v>
      </c>
      <c r="V257" t="b">
        <v>0</v>
      </c>
      <c r="W257" t="b">
        <v>0</v>
      </c>
      <c r="X257">
        <v>0.5</v>
      </c>
      <c r="Y257">
        <v>8.9</v>
      </c>
      <c r="Z257">
        <v>3</v>
      </c>
      <c r="AA257">
        <v>9.6999999999999993</v>
      </c>
      <c r="AB257" s="3">
        <v>14.36</v>
      </c>
      <c r="AC257" s="3"/>
      <c r="AD257">
        <v>8</v>
      </c>
      <c r="AE257" t="s">
        <v>46</v>
      </c>
      <c r="AF257" s="4"/>
    </row>
    <row r="258" spans="1:32" x14ac:dyDescent="0.3">
      <c r="A258" t="s">
        <v>349</v>
      </c>
      <c r="B258">
        <v>20</v>
      </c>
      <c r="C258" t="str">
        <f t="shared" si="3"/>
        <v>Young Adults</v>
      </c>
      <c r="D258" t="s">
        <v>28</v>
      </c>
      <c r="E258">
        <v>7.9</v>
      </c>
      <c r="G258" t="s">
        <v>48</v>
      </c>
      <c r="H258" t="s">
        <v>214</v>
      </c>
      <c r="I258" t="s">
        <v>71</v>
      </c>
      <c r="J258">
        <v>4.7</v>
      </c>
      <c r="L258" t="s">
        <v>43</v>
      </c>
      <c r="M258" t="s">
        <v>45</v>
      </c>
      <c r="N258" t="s">
        <v>34</v>
      </c>
      <c r="O258">
        <v>1.94</v>
      </c>
      <c r="P258">
        <v>6</v>
      </c>
      <c r="Q258" t="s">
        <v>56</v>
      </c>
      <c r="R258" t="s">
        <v>36</v>
      </c>
      <c r="S258" t="b">
        <v>1</v>
      </c>
      <c r="T258" t="b">
        <v>1</v>
      </c>
      <c r="U258" t="b">
        <v>0</v>
      </c>
      <c r="V258" t="b">
        <v>0</v>
      </c>
      <c r="W258" t="b">
        <v>1</v>
      </c>
      <c r="X258">
        <v>3.9</v>
      </c>
      <c r="Y258">
        <v>5.6</v>
      </c>
      <c r="Z258">
        <v>5</v>
      </c>
      <c r="AA258">
        <v>8</v>
      </c>
      <c r="AB258" s="3">
        <v>89.96</v>
      </c>
      <c r="AC258" s="3"/>
      <c r="AD258">
        <v>6</v>
      </c>
      <c r="AE258" t="s">
        <v>58</v>
      </c>
      <c r="AF258" s="4"/>
    </row>
    <row r="259" spans="1:32" x14ac:dyDescent="0.3">
      <c r="A259" t="s">
        <v>350</v>
      </c>
      <c r="B259">
        <v>27</v>
      </c>
      <c r="C259" t="str">
        <f t="shared" ref="C259:C322" si="4">IF(B259&lt;=19,"Teenager",IF(B259&lt;=30,"Young Adults",IF(B259&gt;30,"Old Adults")))</f>
        <v>Young Adults</v>
      </c>
      <c r="D259" t="s">
        <v>28</v>
      </c>
      <c r="E259">
        <v>14.2</v>
      </c>
      <c r="G259" t="s">
        <v>82</v>
      </c>
      <c r="H259" t="s">
        <v>83</v>
      </c>
      <c r="I259" t="s">
        <v>50</v>
      </c>
      <c r="J259">
        <v>3.4</v>
      </c>
      <c r="L259" t="s">
        <v>32</v>
      </c>
      <c r="M259" t="s">
        <v>42</v>
      </c>
      <c r="N259" t="s">
        <v>129</v>
      </c>
      <c r="P259">
        <v>7</v>
      </c>
      <c r="Q259" t="s">
        <v>35</v>
      </c>
      <c r="R259" t="s">
        <v>42</v>
      </c>
      <c r="S259" t="b">
        <v>0</v>
      </c>
      <c r="T259" t="b">
        <v>0</v>
      </c>
      <c r="U259" t="b">
        <v>0</v>
      </c>
      <c r="V259" t="b">
        <v>1</v>
      </c>
      <c r="W259" t="b">
        <v>1</v>
      </c>
      <c r="X259">
        <v>4.4000000000000004</v>
      </c>
      <c r="Y259">
        <v>2.9</v>
      </c>
      <c r="Z259">
        <v>9</v>
      </c>
      <c r="AA259">
        <v>0</v>
      </c>
      <c r="AB259" s="3">
        <v>73.8</v>
      </c>
      <c r="AC259" s="3"/>
      <c r="AD259">
        <v>10</v>
      </c>
      <c r="AE259" t="s">
        <v>64</v>
      </c>
      <c r="AF259" s="4"/>
    </row>
    <row r="260" spans="1:32" x14ac:dyDescent="0.3">
      <c r="A260" t="s">
        <v>351</v>
      </c>
      <c r="B260">
        <v>15</v>
      </c>
      <c r="C260" t="str">
        <f t="shared" si="4"/>
        <v>Teenager</v>
      </c>
      <c r="D260" t="s">
        <v>28</v>
      </c>
      <c r="E260">
        <v>15.1</v>
      </c>
      <c r="G260" t="s">
        <v>82</v>
      </c>
      <c r="H260" t="s">
        <v>134</v>
      </c>
      <c r="I260" t="s">
        <v>50</v>
      </c>
      <c r="J260">
        <v>5.7</v>
      </c>
      <c r="L260" t="s">
        <v>41</v>
      </c>
      <c r="M260" t="s">
        <v>33</v>
      </c>
      <c r="N260" t="s">
        <v>51</v>
      </c>
      <c r="O260">
        <v>3.72</v>
      </c>
      <c r="Q260" t="s">
        <v>80</v>
      </c>
      <c r="R260" t="s">
        <v>36</v>
      </c>
      <c r="S260" t="b">
        <v>0</v>
      </c>
      <c r="T260" t="b">
        <v>0</v>
      </c>
      <c r="U260" t="b">
        <v>0</v>
      </c>
      <c r="V260" t="b">
        <v>1</v>
      </c>
      <c r="W260" t="b">
        <v>1</v>
      </c>
      <c r="X260">
        <v>1.5</v>
      </c>
      <c r="Y260">
        <v>0.7</v>
      </c>
      <c r="Z260">
        <v>9</v>
      </c>
      <c r="AA260">
        <v>0</v>
      </c>
      <c r="AB260" s="3">
        <v>435.38</v>
      </c>
      <c r="AC260" s="3"/>
      <c r="AD260">
        <v>2</v>
      </c>
      <c r="AE260" t="s">
        <v>64</v>
      </c>
      <c r="AF260" s="4"/>
    </row>
    <row r="261" spans="1:32" x14ac:dyDescent="0.3">
      <c r="A261" t="s">
        <v>352</v>
      </c>
      <c r="B261">
        <v>13</v>
      </c>
      <c r="C261" t="str">
        <f t="shared" si="4"/>
        <v>Teenager</v>
      </c>
      <c r="D261" t="s">
        <v>53</v>
      </c>
      <c r="E261">
        <v>5.2</v>
      </c>
      <c r="G261" t="s">
        <v>29</v>
      </c>
      <c r="H261" t="s">
        <v>118</v>
      </c>
      <c r="I261" t="s">
        <v>50</v>
      </c>
      <c r="J261">
        <v>5.5</v>
      </c>
      <c r="L261" t="s">
        <v>41</v>
      </c>
      <c r="M261" t="s">
        <v>74</v>
      </c>
      <c r="N261" t="s">
        <v>62</v>
      </c>
      <c r="O261">
        <v>3.1</v>
      </c>
      <c r="Q261" t="s">
        <v>66</v>
      </c>
      <c r="R261" t="s">
        <v>36</v>
      </c>
      <c r="S261" t="b">
        <v>0</v>
      </c>
      <c r="T261" t="b">
        <v>0</v>
      </c>
      <c r="U261" t="b">
        <v>0</v>
      </c>
      <c r="V261" t="b">
        <v>1</v>
      </c>
      <c r="W261" t="b">
        <v>0</v>
      </c>
      <c r="X261">
        <v>1.3</v>
      </c>
      <c r="Y261">
        <v>8.9</v>
      </c>
      <c r="Z261">
        <v>3</v>
      </c>
      <c r="AA261">
        <v>8.8000000000000007</v>
      </c>
      <c r="AB261" s="3">
        <v>92.86</v>
      </c>
      <c r="AC261" s="3"/>
      <c r="AD261">
        <v>3</v>
      </c>
      <c r="AE261" t="s">
        <v>46</v>
      </c>
      <c r="AF261" s="4"/>
    </row>
    <row r="262" spans="1:32" x14ac:dyDescent="0.3">
      <c r="A262" t="s">
        <v>353</v>
      </c>
      <c r="B262">
        <v>19</v>
      </c>
      <c r="C262" t="str">
        <f t="shared" si="4"/>
        <v>Teenager</v>
      </c>
      <c r="D262" t="s">
        <v>28</v>
      </c>
      <c r="E262">
        <v>10.6</v>
      </c>
      <c r="G262" t="s">
        <v>39</v>
      </c>
      <c r="H262" t="s">
        <v>93</v>
      </c>
      <c r="I262" t="s">
        <v>71</v>
      </c>
      <c r="J262">
        <v>5.5</v>
      </c>
      <c r="L262" t="s">
        <v>43</v>
      </c>
      <c r="M262" t="s">
        <v>74</v>
      </c>
      <c r="N262" t="s">
        <v>129</v>
      </c>
      <c r="O262">
        <v>3.07</v>
      </c>
      <c r="P262">
        <v>7</v>
      </c>
      <c r="Q262" t="s">
        <v>35</v>
      </c>
      <c r="R262" t="s">
        <v>45</v>
      </c>
      <c r="S262" t="b">
        <v>1</v>
      </c>
      <c r="T262" t="b">
        <v>1</v>
      </c>
      <c r="U262" t="b">
        <v>0</v>
      </c>
      <c r="V262" t="b">
        <v>0</v>
      </c>
      <c r="W262" t="b">
        <v>0</v>
      </c>
      <c r="X262">
        <v>2.2000000000000002</v>
      </c>
      <c r="Y262">
        <v>2.5</v>
      </c>
      <c r="Z262">
        <v>5</v>
      </c>
      <c r="AA262">
        <v>0.3</v>
      </c>
      <c r="AB262" s="3">
        <v>435.3</v>
      </c>
      <c r="AC262" s="3"/>
      <c r="AD262">
        <v>1</v>
      </c>
      <c r="AE262" t="s">
        <v>37</v>
      </c>
      <c r="AF262" s="4"/>
    </row>
    <row r="263" spans="1:32" x14ac:dyDescent="0.3">
      <c r="A263" t="s">
        <v>354</v>
      </c>
      <c r="B263">
        <v>26</v>
      </c>
      <c r="C263" t="str">
        <f t="shared" si="4"/>
        <v>Young Adults</v>
      </c>
      <c r="D263" t="s">
        <v>28</v>
      </c>
      <c r="E263">
        <v>3.7</v>
      </c>
      <c r="G263" t="s">
        <v>29</v>
      </c>
      <c r="H263" t="s">
        <v>118</v>
      </c>
      <c r="I263" t="s">
        <v>31</v>
      </c>
      <c r="J263">
        <v>5</v>
      </c>
      <c r="L263" t="s">
        <v>41</v>
      </c>
      <c r="M263" t="s">
        <v>74</v>
      </c>
      <c r="N263" t="s">
        <v>43</v>
      </c>
      <c r="P263">
        <v>1</v>
      </c>
      <c r="Q263" t="s">
        <v>80</v>
      </c>
      <c r="R263" t="s">
        <v>57</v>
      </c>
      <c r="S263" t="b">
        <v>0</v>
      </c>
      <c r="T263" t="b">
        <v>0</v>
      </c>
      <c r="U263" t="b">
        <v>0</v>
      </c>
      <c r="V263" t="b">
        <v>0</v>
      </c>
      <c r="W263" t="b">
        <v>0</v>
      </c>
      <c r="X263">
        <v>1.8</v>
      </c>
      <c r="Y263">
        <v>6.2</v>
      </c>
      <c r="Z263">
        <v>3</v>
      </c>
      <c r="AA263">
        <v>7.4</v>
      </c>
      <c r="AB263" s="3">
        <v>18.82</v>
      </c>
      <c r="AC263" s="3"/>
      <c r="AD263">
        <v>1</v>
      </c>
      <c r="AE263" t="s">
        <v>46</v>
      </c>
      <c r="AF263" s="4"/>
    </row>
    <row r="264" spans="1:32" x14ac:dyDescent="0.3">
      <c r="A264" t="s">
        <v>355</v>
      </c>
      <c r="B264">
        <v>26</v>
      </c>
      <c r="C264" t="str">
        <f t="shared" si="4"/>
        <v>Young Adults</v>
      </c>
      <c r="D264" t="s">
        <v>53</v>
      </c>
      <c r="E264">
        <v>8.1999999999999993</v>
      </c>
      <c r="G264" t="s">
        <v>29</v>
      </c>
      <c r="H264" t="s">
        <v>30</v>
      </c>
      <c r="I264" t="s">
        <v>50</v>
      </c>
      <c r="J264">
        <v>4.0999999999999996</v>
      </c>
      <c r="L264" t="s">
        <v>32</v>
      </c>
      <c r="M264" t="s">
        <v>45</v>
      </c>
      <c r="N264" t="s">
        <v>62</v>
      </c>
      <c r="P264">
        <v>9</v>
      </c>
      <c r="Q264" t="s">
        <v>35</v>
      </c>
      <c r="R264" t="s">
        <v>57</v>
      </c>
      <c r="S264" t="b">
        <v>0</v>
      </c>
      <c r="T264" t="b">
        <v>0</v>
      </c>
      <c r="U264" t="b">
        <v>0</v>
      </c>
      <c r="V264" t="b">
        <v>0</v>
      </c>
      <c r="W264" t="b">
        <v>1</v>
      </c>
      <c r="X264">
        <v>0.2</v>
      </c>
      <c r="Y264">
        <v>7</v>
      </c>
      <c r="Z264">
        <v>5</v>
      </c>
      <c r="AA264">
        <v>8</v>
      </c>
      <c r="AB264" s="3">
        <v>134.24</v>
      </c>
      <c r="AC264" s="3"/>
      <c r="AD264">
        <v>14</v>
      </c>
      <c r="AE264" t="s">
        <v>46</v>
      </c>
      <c r="AF264" s="4"/>
    </row>
    <row r="265" spans="1:32" x14ac:dyDescent="0.3">
      <c r="A265" t="s">
        <v>356</v>
      </c>
      <c r="B265">
        <v>20</v>
      </c>
      <c r="C265" t="str">
        <f t="shared" si="4"/>
        <v>Young Adults</v>
      </c>
      <c r="D265" t="s">
        <v>28</v>
      </c>
      <c r="E265">
        <v>10.3</v>
      </c>
      <c r="G265" t="s">
        <v>76</v>
      </c>
      <c r="H265" t="s">
        <v>126</v>
      </c>
      <c r="I265" t="s">
        <v>86</v>
      </c>
      <c r="J265">
        <v>3.2</v>
      </c>
      <c r="L265" t="s">
        <v>32</v>
      </c>
      <c r="M265" t="s">
        <v>45</v>
      </c>
      <c r="N265" t="s">
        <v>34</v>
      </c>
      <c r="O265">
        <v>1.53</v>
      </c>
      <c r="P265">
        <v>9</v>
      </c>
      <c r="Q265" t="s">
        <v>69</v>
      </c>
      <c r="R265" t="s">
        <v>33</v>
      </c>
      <c r="S265" t="b">
        <v>0</v>
      </c>
      <c r="T265" t="b">
        <v>1</v>
      </c>
      <c r="U265" t="b">
        <v>0</v>
      </c>
      <c r="V265" t="b">
        <v>0</v>
      </c>
      <c r="W265" t="b">
        <v>1</v>
      </c>
      <c r="X265">
        <v>0.1</v>
      </c>
      <c r="Y265">
        <v>4.3</v>
      </c>
      <c r="Z265">
        <v>7</v>
      </c>
      <c r="AA265">
        <v>4.2</v>
      </c>
      <c r="AB265" s="3">
        <v>266.35000000000002</v>
      </c>
      <c r="AC265" s="3"/>
      <c r="AD265">
        <v>7</v>
      </c>
      <c r="AE265" t="s">
        <v>58</v>
      </c>
      <c r="AF265" s="4"/>
    </row>
    <row r="266" spans="1:32" x14ac:dyDescent="0.3">
      <c r="A266" t="s">
        <v>357</v>
      </c>
      <c r="B266">
        <v>17</v>
      </c>
      <c r="C266" t="str">
        <f t="shared" si="4"/>
        <v>Teenager</v>
      </c>
      <c r="D266" t="s">
        <v>28</v>
      </c>
      <c r="E266">
        <v>9.3000000000000007</v>
      </c>
      <c r="G266" t="s">
        <v>54</v>
      </c>
      <c r="H266" t="s">
        <v>89</v>
      </c>
      <c r="I266" t="s">
        <v>71</v>
      </c>
      <c r="J266">
        <v>4.8</v>
      </c>
      <c r="L266" t="s">
        <v>32</v>
      </c>
      <c r="M266" t="s">
        <v>45</v>
      </c>
      <c r="N266" t="s">
        <v>62</v>
      </c>
      <c r="O266">
        <v>1.6</v>
      </c>
      <c r="Q266" t="s">
        <v>35</v>
      </c>
      <c r="R266" t="s">
        <v>42</v>
      </c>
      <c r="S266" t="b">
        <v>1</v>
      </c>
      <c r="T266" t="b">
        <v>0</v>
      </c>
      <c r="U266" t="b">
        <v>1</v>
      </c>
      <c r="V266" t="b">
        <v>1</v>
      </c>
      <c r="W266" t="b">
        <v>1</v>
      </c>
      <c r="X266">
        <v>3.2</v>
      </c>
      <c r="Y266">
        <v>6.6</v>
      </c>
      <c r="Z266">
        <v>8</v>
      </c>
      <c r="AA266">
        <v>4.0999999999999996</v>
      </c>
      <c r="AB266" s="3">
        <v>366.44</v>
      </c>
      <c r="AC266" s="3"/>
      <c r="AD266">
        <v>4</v>
      </c>
      <c r="AE266" t="s">
        <v>37</v>
      </c>
      <c r="AF266" s="4"/>
    </row>
    <row r="267" spans="1:32" x14ac:dyDescent="0.3">
      <c r="A267" t="s">
        <v>358</v>
      </c>
      <c r="B267">
        <v>16</v>
      </c>
      <c r="C267" t="str">
        <f t="shared" si="4"/>
        <v>Teenager</v>
      </c>
      <c r="D267" t="s">
        <v>28</v>
      </c>
      <c r="E267">
        <v>11.8</v>
      </c>
      <c r="G267" t="s">
        <v>29</v>
      </c>
      <c r="H267" t="s">
        <v>118</v>
      </c>
      <c r="I267" t="s">
        <v>31</v>
      </c>
      <c r="J267">
        <v>3.3</v>
      </c>
      <c r="L267" t="s">
        <v>32</v>
      </c>
      <c r="M267" t="s">
        <v>42</v>
      </c>
      <c r="N267" t="s">
        <v>51</v>
      </c>
      <c r="O267">
        <v>2.69</v>
      </c>
      <c r="Q267" t="s">
        <v>80</v>
      </c>
      <c r="R267" t="s">
        <v>45</v>
      </c>
      <c r="S267" t="b">
        <v>1</v>
      </c>
      <c r="T267" t="b">
        <v>1</v>
      </c>
      <c r="U267" t="b">
        <v>0</v>
      </c>
      <c r="V267" t="b">
        <v>1</v>
      </c>
      <c r="W267" t="b">
        <v>0</v>
      </c>
      <c r="X267">
        <v>2.7</v>
      </c>
      <c r="Y267">
        <v>4.8</v>
      </c>
      <c r="Z267">
        <v>10</v>
      </c>
      <c r="AA267">
        <v>1.1000000000000001</v>
      </c>
      <c r="AB267" s="3">
        <v>270.57</v>
      </c>
      <c r="AC267" s="3"/>
      <c r="AD267">
        <v>5</v>
      </c>
      <c r="AE267" t="s">
        <v>37</v>
      </c>
      <c r="AF267" s="4"/>
    </row>
    <row r="268" spans="1:32" x14ac:dyDescent="0.3">
      <c r="A268" t="s">
        <v>359</v>
      </c>
      <c r="B268">
        <v>13</v>
      </c>
      <c r="C268" t="str">
        <f t="shared" si="4"/>
        <v>Teenager</v>
      </c>
      <c r="D268" t="s">
        <v>28</v>
      </c>
      <c r="E268">
        <v>9.8000000000000007</v>
      </c>
      <c r="G268" t="s">
        <v>54</v>
      </c>
      <c r="H268" t="s">
        <v>98</v>
      </c>
      <c r="I268" t="s">
        <v>71</v>
      </c>
      <c r="J268">
        <v>4.5</v>
      </c>
      <c r="L268" t="s">
        <v>51</v>
      </c>
      <c r="M268" t="s">
        <v>33</v>
      </c>
      <c r="N268" t="s">
        <v>34</v>
      </c>
      <c r="O268">
        <v>2.0499999999999998</v>
      </c>
      <c r="Q268" t="s">
        <v>80</v>
      </c>
      <c r="R268" t="s">
        <v>42</v>
      </c>
      <c r="S268" t="b">
        <v>1</v>
      </c>
      <c r="T268" t="b">
        <v>1</v>
      </c>
      <c r="U268" t="b">
        <v>0</v>
      </c>
      <c r="V268" t="b">
        <v>1</v>
      </c>
      <c r="W268" t="b">
        <v>1</v>
      </c>
      <c r="X268">
        <v>4.5999999999999996</v>
      </c>
      <c r="Y268">
        <v>6.2</v>
      </c>
      <c r="Z268">
        <v>8</v>
      </c>
      <c r="AA268">
        <v>2.7</v>
      </c>
      <c r="AB268" s="3">
        <v>418.07</v>
      </c>
      <c r="AC268" s="3"/>
      <c r="AD268">
        <v>1</v>
      </c>
      <c r="AE268" t="s">
        <v>37</v>
      </c>
      <c r="AF268" s="4"/>
    </row>
    <row r="269" spans="1:32" x14ac:dyDescent="0.3">
      <c r="A269" t="s">
        <v>360</v>
      </c>
      <c r="B269">
        <v>20</v>
      </c>
      <c r="C269" t="str">
        <f t="shared" si="4"/>
        <v>Young Adults</v>
      </c>
      <c r="D269" t="s">
        <v>53</v>
      </c>
      <c r="E269">
        <v>7.5</v>
      </c>
      <c r="G269" t="s">
        <v>29</v>
      </c>
      <c r="H269" t="s">
        <v>104</v>
      </c>
      <c r="I269" t="s">
        <v>50</v>
      </c>
      <c r="J269">
        <v>4.3</v>
      </c>
      <c r="L269" t="s">
        <v>32</v>
      </c>
      <c r="M269" t="s">
        <v>42</v>
      </c>
      <c r="N269" t="s">
        <v>51</v>
      </c>
      <c r="O269">
        <v>1.41</v>
      </c>
      <c r="P269">
        <v>2</v>
      </c>
      <c r="Q269" t="s">
        <v>56</v>
      </c>
      <c r="R269" t="s">
        <v>57</v>
      </c>
      <c r="S269" t="b">
        <v>1</v>
      </c>
      <c r="T269" t="b">
        <v>1</v>
      </c>
      <c r="U269" t="b">
        <v>0</v>
      </c>
      <c r="V269" t="b">
        <v>1</v>
      </c>
      <c r="W269" t="b">
        <v>0</v>
      </c>
      <c r="X269">
        <v>5</v>
      </c>
      <c r="Y269">
        <v>7.5</v>
      </c>
      <c r="Z269">
        <v>4</v>
      </c>
      <c r="AA269">
        <v>3.6</v>
      </c>
      <c r="AB269" s="3">
        <v>83.3</v>
      </c>
      <c r="AC269" s="3"/>
      <c r="AD269">
        <v>7</v>
      </c>
      <c r="AE269" t="s">
        <v>58</v>
      </c>
      <c r="AF269" s="4"/>
    </row>
    <row r="270" spans="1:32" x14ac:dyDescent="0.3">
      <c r="A270" t="s">
        <v>361</v>
      </c>
      <c r="B270">
        <v>32</v>
      </c>
      <c r="C270" t="str">
        <f t="shared" si="4"/>
        <v>Old Adults</v>
      </c>
      <c r="D270" t="s">
        <v>53</v>
      </c>
      <c r="E270">
        <v>6.6</v>
      </c>
      <c r="G270" t="s">
        <v>48</v>
      </c>
      <c r="H270" t="s">
        <v>49</v>
      </c>
      <c r="I270" t="s">
        <v>31</v>
      </c>
      <c r="J270">
        <v>3.7</v>
      </c>
      <c r="L270" t="s">
        <v>51</v>
      </c>
      <c r="M270" t="s">
        <v>42</v>
      </c>
      <c r="N270" t="s">
        <v>62</v>
      </c>
      <c r="P270">
        <v>3</v>
      </c>
      <c r="Q270" t="s">
        <v>44</v>
      </c>
      <c r="R270" t="s">
        <v>45</v>
      </c>
      <c r="S270" t="b">
        <v>1</v>
      </c>
      <c r="T270" t="b">
        <v>1</v>
      </c>
      <c r="U270" t="b">
        <v>0</v>
      </c>
      <c r="V270" t="b">
        <v>1</v>
      </c>
      <c r="W270" t="b">
        <v>1</v>
      </c>
      <c r="X270">
        <v>0.9</v>
      </c>
      <c r="Y270">
        <v>5.2</v>
      </c>
      <c r="Z270">
        <v>6</v>
      </c>
      <c r="AA270">
        <v>9.4</v>
      </c>
      <c r="AB270" s="3">
        <v>77.47</v>
      </c>
      <c r="AC270" s="3"/>
      <c r="AD270">
        <v>6</v>
      </c>
      <c r="AE270" t="s">
        <v>58</v>
      </c>
      <c r="AF270" s="4"/>
    </row>
    <row r="271" spans="1:32" x14ac:dyDescent="0.3">
      <c r="A271" t="s">
        <v>362</v>
      </c>
      <c r="B271">
        <v>20</v>
      </c>
      <c r="C271" t="str">
        <f t="shared" si="4"/>
        <v>Young Adults</v>
      </c>
      <c r="D271" t="s">
        <v>53</v>
      </c>
      <c r="E271">
        <v>2.8</v>
      </c>
      <c r="G271" t="s">
        <v>48</v>
      </c>
      <c r="H271" t="s">
        <v>128</v>
      </c>
      <c r="I271" t="s">
        <v>71</v>
      </c>
      <c r="J271">
        <v>8</v>
      </c>
      <c r="L271" t="s">
        <v>43</v>
      </c>
      <c r="M271" t="s">
        <v>36</v>
      </c>
      <c r="N271" t="s">
        <v>34</v>
      </c>
      <c r="O271">
        <v>1.18</v>
      </c>
      <c r="P271">
        <v>4</v>
      </c>
      <c r="Q271" t="s">
        <v>121</v>
      </c>
      <c r="R271" t="s">
        <v>57</v>
      </c>
      <c r="S271" t="b">
        <v>0</v>
      </c>
      <c r="T271" t="b">
        <v>0</v>
      </c>
      <c r="U271" t="b">
        <v>0</v>
      </c>
      <c r="V271" t="b">
        <v>0</v>
      </c>
      <c r="W271" t="b">
        <v>0</v>
      </c>
      <c r="X271">
        <v>1.3</v>
      </c>
      <c r="Y271">
        <v>6.5</v>
      </c>
      <c r="Z271">
        <v>3</v>
      </c>
      <c r="AA271">
        <v>10</v>
      </c>
      <c r="AB271" s="3">
        <v>13.4</v>
      </c>
      <c r="AC271" s="3"/>
      <c r="AD271">
        <v>9</v>
      </c>
      <c r="AE271" t="s">
        <v>46</v>
      </c>
      <c r="AF271" s="4"/>
    </row>
    <row r="272" spans="1:32" x14ac:dyDescent="0.3">
      <c r="A272" t="s">
        <v>363</v>
      </c>
      <c r="B272">
        <v>25</v>
      </c>
      <c r="C272" t="str">
        <f t="shared" si="4"/>
        <v>Young Adults</v>
      </c>
      <c r="D272" t="s">
        <v>53</v>
      </c>
      <c r="E272">
        <v>12.6</v>
      </c>
      <c r="G272" t="s">
        <v>60</v>
      </c>
      <c r="H272" t="s">
        <v>96</v>
      </c>
      <c r="I272" t="s">
        <v>31</v>
      </c>
      <c r="J272">
        <v>4.8</v>
      </c>
      <c r="L272" t="s">
        <v>32</v>
      </c>
      <c r="M272" t="s">
        <v>33</v>
      </c>
      <c r="N272" t="s">
        <v>62</v>
      </c>
      <c r="P272">
        <v>2</v>
      </c>
      <c r="Q272" t="s">
        <v>69</v>
      </c>
      <c r="R272" t="s">
        <v>42</v>
      </c>
      <c r="S272" t="b">
        <v>1</v>
      </c>
      <c r="T272" t="b">
        <v>1</v>
      </c>
      <c r="U272" t="b">
        <v>1</v>
      </c>
      <c r="V272" t="b">
        <v>1</v>
      </c>
      <c r="W272" t="b">
        <v>1</v>
      </c>
      <c r="X272">
        <v>0.5</v>
      </c>
      <c r="Y272">
        <v>4.5</v>
      </c>
      <c r="Z272">
        <v>7</v>
      </c>
      <c r="AA272">
        <v>0</v>
      </c>
      <c r="AB272" s="3">
        <v>438.13</v>
      </c>
      <c r="AC272" s="3"/>
      <c r="AD272">
        <v>3</v>
      </c>
      <c r="AE272" t="s">
        <v>37</v>
      </c>
      <c r="AF272" s="4"/>
    </row>
    <row r="273" spans="1:32" x14ac:dyDescent="0.3">
      <c r="A273" t="s">
        <v>364</v>
      </c>
      <c r="B273">
        <v>30</v>
      </c>
      <c r="C273" t="str">
        <f t="shared" si="4"/>
        <v>Young Adults</v>
      </c>
      <c r="D273" t="s">
        <v>28</v>
      </c>
      <c r="E273">
        <v>5</v>
      </c>
      <c r="G273" t="s">
        <v>39</v>
      </c>
      <c r="H273" t="s">
        <v>120</v>
      </c>
      <c r="I273" t="s">
        <v>50</v>
      </c>
      <c r="J273">
        <v>6.9</v>
      </c>
      <c r="L273" t="s">
        <v>41</v>
      </c>
      <c r="M273" t="s">
        <v>42</v>
      </c>
      <c r="N273" t="s">
        <v>62</v>
      </c>
      <c r="P273">
        <v>9</v>
      </c>
      <c r="Q273" t="s">
        <v>44</v>
      </c>
      <c r="R273" t="s">
        <v>33</v>
      </c>
      <c r="S273" t="b">
        <v>0</v>
      </c>
      <c r="T273" t="b">
        <v>0</v>
      </c>
      <c r="U273" t="b">
        <v>0</v>
      </c>
      <c r="V273" t="b">
        <v>1</v>
      </c>
      <c r="W273" t="b">
        <v>0</v>
      </c>
      <c r="X273">
        <v>1</v>
      </c>
      <c r="Y273">
        <v>7.1</v>
      </c>
      <c r="Z273">
        <v>4</v>
      </c>
      <c r="AA273">
        <v>10.5</v>
      </c>
      <c r="AB273" s="3">
        <v>106.3</v>
      </c>
      <c r="AC273" s="3"/>
      <c r="AD273">
        <v>12</v>
      </c>
      <c r="AE273" t="s">
        <v>46</v>
      </c>
      <c r="AF273" s="4"/>
    </row>
    <row r="274" spans="1:32" x14ac:dyDescent="0.3">
      <c r="A274" t="s">
        <v>365</v>
      </c>
      <c r="B274">
        <v>27</v>
      </c>
      <c r="C274" t="str">
        <f t="shared" si="4"/>
        <v>Young Adults</v>
      </c>
      <c r="D274" t="s">
        <v>53</v>
      </c>
      <c r="E274">
        <v>5.4</v>
      </c>
      <c r="G274" t="s">
        <v>48</v>
      </c>
      <c r="H274" t="s">
        <v>49</v>
      </c>
      <c r="I274" t="s">
        <v>50</v>
      </c>
      <c r="J274">
        <v>5.3</v>
      </c>
      <c r="L274" t="s">
        <v>43</v>
      </c>
      <c r="M274" t="s">
        <v>33</v>
      </c>
      <c r="N274" t="s">
        <v>62</v>
      </c>
      <c r="P274">
        <v>7</v>
      </c>
      <c r="Q274" t="s">
        <v>105</v>
      </c>
      <c r="R274" t="s">
        <v>45</v>
      </c>
      <c r="S274" t="b">
        <v>0</v>
      </c>
      <c r="T274" t="b">
        <v>0</v>
      </c>
      <c r="U274" t="b">
        <v>0</v>
      </c>
      <c r="V274" t="b">
        <v>0</v>
      </c>
      <c r="W274" t="b">
        <v>0</v>
      </c>
      <c r="X274">
        <v>1</v>
      </c>
      <c r="Y274">
        <v>9.5</v>
      </c>
      <c r="Z274">
        <v>3</v>
      </c>
      <c r="AA274">
        <v>11.3</v>
      </c>
      <c r="AB274" s="3">
        <v>106.06</v>
      </c>
      <c r="AC274" s="3"/>
      <c r="AD274">
        <v>8</v>
      </c>
      <c r="AE274" t="s">
        <v>46</v>
      </c>
      <c r="AF274" s="4"/>
    </row>
    <row r="275" spans="1:32" x14ac:dyDescent="0.3">
      <c r="A275" t="s">
        <v>366</v>
      </c>
      <c r="B275">
        <v>17</v>
      </c>
      <c r="C275" t="str">
        <f t="shared" si="4"/>
        <v>Teenager</v>
      </c>
      <c r="D275" t="s">
        <v>28</v>
      </c>
      <c r="E275">
        <v>5.3</v>
      </c>
      <c r="G275" t="s">
        <v>48</v>
      </c>
      <c r="H275" t="s">
        <v>49</v>
      </c>
      <c r="I275" t="s">
        <v>86</v>
      </c>
      <c r="J275">
        <v>6.5</v>
      </c>
      <c r="L275" t="s">
        <v>41</v>
      </c>
      <c r="M275" t="s">
        <v>33</v>
      </c>
      <c r="N275" t="s">
        <v>62</v>
      </c>
      <c r="O275">
        <v>2.1800000000000002</v>
      </c>
      <c r="Q275" t="s">
        <v>69</v>
      </c>
      <c r="R275" t="s">
        <v>36</v>
      </c>
      <c r="S275" t="b">
        <v>0</v>
      </c>
      <c r="T275" t="b">
        <v>0</v>
      </c>
      <c r="U275" t="b">
        <v>0</v>
      </c>
      <c r="V275" t="b">
        <v>1</v>
      </c>
      <c r="W275" t="b">
        <v>0</v>
      </c>
      <c r="X275">
        <v>2</v>
      </c>
      <c r="Y275">
        <v>6.1</v>
      </c>
      <c r="Z275">
        <v>1</v>
      </c>
      <c r="AA275">
        <v>6.5</v>
      </c>
      <c r="AB275" s="3">
        <v>122.21</v>
      </c>
      <c r="AC275" s="3"/>
      <c r="AD275">
        <v>3</v>
      </c>
      <c r="AE275" t="s">
        <v>46</v>
      </c>
      <c r="AF275" s="4"/>
    </row>
    <row r="276" spans="1:32" x14ac:dyDescent="0.3">
      <c r="A276" t="s">
        <v>367</v>
      </c>
      <c r="B276">
        <v>25</v>
      </c>
      <c r="C276" t="str">
        <f t="shared" si="4"/>
        <v>Young Adults</v>
      </c>
      <c r="D276" t="s">
        <v>53</v>
      </c>
      <c r="E276">
        <v>9.4</v>
      </c>
      <c r="G276" t="s">
        <v>54</v>
      </c>
      <c r="H276" t="s">
        <v>98</v>
      </c>
      <c r="I276" t="s">
        <v>86</v>
      </c>
      <c r="J276">
        <v>4.8</v>
      </c>
      <c r="L276" t="s">
        <v>51</v>
      </c>
      <c r="M276" t="s">
        <v>33</v>
      </c>
      <c r="N276" t="s">
        <v>34</v>
      </c>
      <c r="P276">
        <v>9</v>
      </c>
      <c r="Q276" t="s">
        <v>105</v>
      </c>
      <c r="R276" t="s">
        <v>42</v>
      </c>
      <c r="S276" t="b">
        <v>0</v>
      </c>
      <c r="T276" t="b">
        <v>0</v>
      </c>
      <c r="U276" t="b">
        <v>0</v>
      </c>
      <c r="V276" t="b">
        <v>1</v>
      </c>
      <c r="W276" t="b">
        <v>1</v>
      </c>
      <c r="X276">
        <v>1.7</v>
      </c>
      <c r="Y276">
        <v>7.4</v>
      </c>
      <c r="Z276">
        <v>6</v>
      </c>
      <c r="AA276">
        <v>4.4000000000000004</v>
      </c>
      <c r="AB276" s="3">
        <v>469.94</v>
      </c>
      <c r="AC276" s="3"/>
      <c r="AD276">
        <v>3</v>
      </c>
      <c r="AE276" t="s">
        <v>64</v>
      </c>
      <c r="AF276" s="4"/>
    </row>
    <row r="277" spans="1:32" x14ac:dyDescent="0.3">
      <c r="A277" t="s">
        <v>368</v>
      </c>
      <c r="B277">
        <v>24</v>
      </c>
      <c r="C277" t="str">
        <f t="shared" si="4"/>
        <v>Young Adults</v>
      </c>
      <c r="D277" t="s">
        <v>28</v>
      </c>
      <c r="E277">
        <v>7.8</v>
      </c>
      <c r="G277" t="s">
        <v>29</v>
      </c>
      <c r="H277" t="s">
        <v>30</v>
      </c>
      <c r="I277" t="s">
        <v>86</v>
      </c>
      <c r="J277">
        <v>4.8</v>
      </c>
      <c r="L277" t="s">
        <v>51</v>
      </c>
      <c r="M277" t="s">
        <v>74</v>
      </c>
      <c r="N277" t="s">
        <v>34</v>
      </c>
      <c r="P277">
        <v>10</v>
      </c>
      <c r="Q277" t="s">
        <v>44</v>
      </c>
      <c r="R277" t="s">
        <v>57</v>
      </c>
      <c r="S277" t="b">
        <v>0</v>
      </c>
      <c r="T277" t="b">
        <v>0</v>
      </c>
      <c r="U277" t="b">
        <v>0</v>
      </c>
      <c r="V277" t="b">
        <v>1</v>
      </c>
      <c r="W277" t="b">
        <v>0</v>
      </c>
      <c r="X277">
        <v>0.2</v>
      </c>
      <c r="Y277">
        <v>5.2</v>
      </c>
      <c r="Z277">
        <v>5</v>
      </c>
      <c r="AA277">
        <v>7.6</v>
      </c>
      <c r="AB277" s="3">
        <v>93.67</v>
      </c>
      <c r="AC277" s="3"/>
      <c r="AD277">
        <v>5</v>
      </c>
      <c r="AE277" t="s">
        <v>46</v>
      </c>
      <c r="AF277" s="4"/>
    </row>
    <row r="278" spans="1:32" x14ac:dyDescent="0.3">
      <c r="A278" t="s">
        <v>369</v>
      </c>
      <c r="B278">
        <v>22</v>
      </c>
      <c r="C278" t="str">
        <f t="shared" si="4"/>
        <v>Young Adults</v>
      </c>
      <c r="D278" t="s">
        <v>53</v>
      </c>
      <c r="E278">
        <v>5.0999999999999996</v>
      </c>
      <c r="G278" t="s">
        <v>54</v>
      </c>
      <c r="H278" t="s">
        <v>55</v>
      </c>
      <c r="I278" t="s">
        <v>71</v>
      </c>
      <c r="J278">
        <v>6.7</v>
      </c>
      <c r="L278" t="s">
        <v>43</v>
      </c>
      <c r="M278" t="s">
        <v>42</v>
      </c>
      <c r="N278" t="s">
        <v>62</v>
      </c>
      <c r="O278">
        <v>2.54</v>
      </c>
      <c r="P278">
        <v>2</v>
      </c>
      <c r="Q278" t="s">
        <v>63</v>
      </c>
      <c r="R278" t="s">
        <v>45</v>
      </c>
      <c r="S278" t="b">
        <v>0</v>
      </c>
      <c r="T278" t="b">
        <v>0</v>
      </c>
      <c r="U278" t="b">
        <v>0</v>
      </c>
      <c r="V278" t="b">
        <v>1</v>
      </c>
      <c r="W278" t="b">
        <v>0</v>
      </c>
      <c r="X278">
        <v>0.4</v>
      </c>
      <c r="Y278">
        <v>5.7</v>
      </c>
      <c r="Z278">
        <v>3</v>
      </c>
      <c r="AA278">
        <v>9.8000000000000007</v>
      </c>
      <c r="AB278" s="3">
        <v>24.45</v>
      </c>
      <c r="AC278" s="3"/>
      <c r="AD278">
        <v>1</v>
      </c>
      <c r="AE278" t="s">
        <v>46</v>
      </c>
      <c r="AF278" s="4"/>
    </row>
    <row r="279" spans="1:32" x14ac:dyDescent="0.3">
      <c r="A279" t="s">
        <v>370</v>
      </c>
      <c r="B279">
        <v>19</v>
      </c>
      <c r="C279" t="str">
        <f t="shared" si="4"/>
        <v>Teenager</v>
      </c>
      <c r="D279" t="s">
        <v>53</v>
      </c>
      <c r="E279">
        <v>1.9</v>
      </c>
      <c r="G279" t="s">
        <v>54</v>
      </c>
      <c r="H279" t="s">
        <v>98</v>
      </c>
      <c r="I279" t="s">
        <v>86</v>
      </c>
      <c r="J279">
        <v>7.4</v>
      </c>
      <c r="L279" t="s">
        <v>43</v>
      </c>
      <c r="M279" t="s">
        <v>33</v>
      </c>
      <c r="N279" t="s">
        <v>43</v>
      </c>
      <c r="O279">
        <v>1.1399999999999999</v>
      </c>
      <c r="P279">
        <v>8</v>
      </c>
      <c r="Q279" t="s">
        <v>63</v>
      </c>
      <c r="R279" t="s">
        <v>36</v>
      </c>
      <c r="S279" t="b">
        <v>0</v>
      </c>
      <c r="T279" t="b">
        <v>0</v>
      </c>
      <c r="U279" t="b">
        <v>0</v>
      </c>
      <c r="V279" t="b">
        <v>0</v>
      </c>
      <c r="W279" t="b">
        <v>0</v>
      </c>
      <c r="X279">
        <v>0.5</v>
      </c>
      <c r="Y279">
        <v>7.4</v>
      </c>
      <c r="Z279">
        <v>2</v>
      </c>
      <c r="AA279">
        <v>15.3</v>
      </c>
      <c r="AB279" s="3">
        <v>23.64</v>
      </c>
      <c r="AC279" s="3"/>
      <c r="AD279">
        <v>2</v>
      </c>
      <c r="AE279" t="s">
        <v>46</v>
      </c>
      <c r="AF279" s="4"/>
    </row>
    <row r="280" spans="1:32" x14ac:dyDescent="0.3">
      <c r="A280" t="s">
        <v>371</v>
      </c>
      <c r="B280">
        <v>15</v>
      </c>
      <c r="C280" t="str">
        <f t="shared" si="4"/>
        <v>Teenager</v>
      </c>
      <c r="D280" t="s">
        <v>28</v>
      </c>
      <c r="E280">
        <v>8.8000000000000007</v>
      </c>
      <c r="G280" t="s">
        <v>29</v>
      </c>
      <c r="H280" t="s">
        <v>73</v>
      </c>
      <c r="I280" t="s">
        <v>31</v>
      </c>
      <c r="J280">
        <v>5.4</v>
      </c>
      <c r="L280" t="s">
        <v>41</v>
      </c>
      <c r="M280" t="s">
        <v>74</v>
      </c>
      <c r="N280" t="s">
        <v>34</v>
      </c>
      <c r="O280">
        <v>2.6</v>
      </c>
      <c r="Q280" t="s">
        <v>105</v>
      </c>
      <c r="R280" t="s">
        <v>45</v>
      </c>
      <c r="S280" t="b">
        <v>1</v>
      </c>
      <c r="T280" t="b">
        <v>1</v>
      </c>
      <c r="U280" t="b">
        <v>0</v>
      </c>
      <c r="V280" t="b">
        <v>0</v>
      </c>
      <c r="W280" t="b">
        <v>1</v>
      </c>
      <c r="X280">
        <v>0.7</v>
      </c>
      <c r="Y280">
        <v>7</v>
      </c>
      <c r="Z280">
        <v>7</v>
      </c>
      <c r="AA280">
        <v>7.1</v>
      </c>
      <c r="AB280" s="3">
        <v>83.42</v>
      </c>
      <c r="AC280" s="3"/>
      <c r="AD280">
        <v>1</v>
      </c>
      <c r="AE280" t="s">
        <v>37</v>
      </c>
      <c r="AF280" s="4"/>
    </row>
    <row r="281" spans="1:32" x14ac:dyDescent="0.3">
      <c r="A281" t="s">
        <v>372</v>
      </c>
      <c r="B281">
        <v>16</v>
      </c>
      <c r="C281" t="str">
        <f t="shared" si="4"/>
        <v>Teenager</v>
      </c>
      <c r="D281" t="s">
        <v>28</v>
      </c>
      <c r="E281">
        <v>1.8</v>
      </c>
      <c r="G281" t="s">
        <v>54</v>
      </c>
      <c r="H281" t="s">
        <v>55</v>
      </c>
      <c r="I281" t="s">
        <v>86</v>
      </c>
      <c r="J281">
        <v>8.5</v>
      </c>
      <c r="L281" t="s">
        <v>41</v>
      </c>
      <c r="M281" t="s">
        <v>74</v>
      </c>
      <c r="N281" t="s">
        <v>43</v>
      </c>
      <c r="O281">
        <v>2.0099999999999998</v>
      </c>
      <c r="Q281" t="s">
        <v>66</v>
      </c>
      <c r="R281" t="s">
        <v>45</v>
      </c>
      <c r="S281" t="b">
        <v>0</v>
      </c>
      <c r="T281" t="b">
        <v>0</v>
      </c>
      <c r="U281" t="b">
        <v>0</v>
      </c>
      <c r="V281" t="b">
        <v>0</v>
      </c>
      <c r="W281" t="b">
        <v>0</v>
      </c>
      <c r="X281">
        <v>0.5</v>
      </c>
      <c r="Y281">
        <v>10.1</v>
      </c>
      <c r="Z281">
        <v>1</v>
      </c>
      <c r="AA281">
        <v>11.8</v>
      </c>
      <c r="AB281" s="3">
        <v>35</v>
      </c>
      <c r="AC281" s="3"/>
      <c r="AD281">
        <v>6</v>
      </c>
      <c r="AE281" t="s">
        <v>46</v>
      </c>
      <c r="AF281" s="4"/>
    </row>
    <row r="282" spans="1:32" x14ac:dyDescent="0.3">
      <c r="A282" t="s">
        <v>373</v>
      </c>
      <c r="B282">
        <v>26</v>
      </c>
      <c r="C282" t="str">
        <f t="shared" si="4"/>
        <v>Young Adults</v>
      </c>
      <c r="D282" t="s">
        <v>53</v>
      </c>
      <c r="E282">
        <v>2.9</v>
      </c>
      <c r="G282" t="s">
        <v>60</v>
      </c>
      <c r="H282" t="s">
        <v>102</v>
      </c>
      <c r="I282" t="s">
        <v>31</v>
      </c>
      <c r="J282">
        <v>9</v>
      </c>
      <c r="L282" t="s">
        <v>41</v>
      </c>
      <c r="M282" t="s">
        <v>74</v>
      </c>
      <c r="N282" t="s">
        <v>43</v>
      </c>
      <c r="P282">
        <v>6</v>
      </c>
      <c r="Q282" t="s">
        <v>66</v>
      </c>
      <c r="R282" t="s">
        <v>57</v>
      </c>
      <c r="S282" t="b">
        <v>0</v>
      </c>
      <c r="T282" t="b">
        <v>0</v>
      </c>
      <c r="U282" t="b">
        <v>0</v>
      </c>
      <c r="V282" t="b">
        <v>0</v>
      </c>
      <c r="W282" t="b">
        <v>0</v>
      </c>
      <c r="X282">
        <v>0.8</v>
      </c>
      <c r="Y282">
        <v>9.6999999999999993</v>
      </c>
      <c r="Z282">
        <v>3</v>
      </c>
      <c r="AA282">
        <v>14.3</v>
      </c>
      <c r="AB282" s="3">
        <v>33.83</v>
      </c>
      <c r="AC282" s="3"/>
      <c r="AD282">
        <v>14</v>
      </c>
      <c r="AE282" t="s">
        <v>46</v>
      </c>
      <c r="AF282" s="4"/>
    </row>
    <row r="283" spans="1:32" x14ac:dyDescent="0.3">
      <c r="A283" t="s">
        <v>374</v>
      </c>
      <c r="B283">
        <v>28</v>
      </c>
      <c r="C283" t="str">
        <f t="shared" si="4"/>
        <v>Young Adults</v>
      </c>
      <c r="D283" t="s">
        <v>28</v>
      </c>
      <c r="E283">
        <v>3.5</v>
      </c>
      <c r="G283" t="s">
        <v>60</v>
      </c>
      <c r="H283" t="s">
        <v>102</v>
      </c>
      <c r="I283" t="s">
        <v>50</v>
      </c>
      <c r="J283">
        <v>6.5</v>
      </c>
      <c r="L283" t="s">
        <v>41</v>
      </c>
      <c r="M283" t="s">
        <v>74</v>
      </c>
      <c r="N283" t="s">
        <v>62</v>
      </c>
      <c r="P283">
        <v>10</v>
      </c>
      <c r="Q283" t="s">
        <v>56</v>
      </c>
      <c r="R283" t="s">
        <v>42</v>
      </c>
      <c r="S283" t="b">
        <v>0</v>
      </c>
      <c r="T283" t="b">
        <v>0</v>
      </c>
      <c r="U283" t="b">
        <v>0</v>
      </c>
      <c r="V283" t="b">
        <v>0</v>
      </c>
      <c r="W283" t="b">
        <v>0</v>
      </c>
      <c r="X283">
        <v>0.7</v>
      </c>
      <c r="Y283">
        <v>7.6</v>
      </c>
      <c r="Z283">
        <v>1</v>
      </c>
      <c r="AA283">
        <v>7.7</v>
      </c>
      <c r="AB283" s="3">
        <v>2.0099999999999998</v>
      </c>
      <c r="AC283" s="3"/>
      <c r="AD283">
        <v>7</v>
      </c>
      <c r="AE283" t="s">
        <v>46</v>
      </c>
      <c r="AF283" s="4"/>
    </row>
    <row r="284" spans="1:32" x14ac:dyDescent="0.3">
      <c r="A284" t="s">
        <v>375</v>
      </c>
      <c r="B284">
        <v>16</v>
      </c>
      <c r="C284" t="str">
        <f t="shared" si="4"/>
        <v>Teenager</v>
      </c>
      <c r="D284" t="s">
        <v>28</v>
      </c>
      <c r="E284">
        <v>9.9</v>
      </c>
      <c r="G284" t="s">
        <v>48</v>
      </c>
      <c r="H284" t="s">
        <v>49</v>
      </c>
      <c r="I284" t="s">
        <v>31</v>
      </c>
      <c r="J284">
        <v>3.7</v>
      </c>
      <c r="L284" t="s">
        <v>43</v>
      </c>
      <c r="M284" t="s">
        <v>45</v>
      </c>
      <c r="N284" t="s">
        <v>34</v>
      </c>
      <c r="O284">
        <v>3.99</v>
      </c>
      <c r="Q284" t="s">
        <v>56</v>
      </c>
      <c r="R284" t="s">
        <v>36</v>
      </c>
      <c r="S284" t="b">
        <v>0</v>
      </c>
      <c r="T284" t="b">
        <v>0</v>
      </c>
      <c r="U284" t="b">
        <v>1</v>
      </c>
      <c r="V284" t="b">
        <v>1</v>
      </c>
      <c r="W284" t="b">
        <v>0</v>
      </c>
      <c r="X284">
        <v>1.9</v>
      </c>
      <c r="Y284">
        <v>4.5</v>
      </c>
      <c r="Z284">
        <v>5</v>
      </c>
      <c r="AA284">
        <v>3.4</v>
      </c>
      <c r="AB284" s="3">
        <v>257</v>
      </c>
      <c r="AC284" s="3"/>
      <c r="AD284">
        <v>4</v>
      </c>
      <c r="AE284" t="s">
        <v>58</v>
      </c>
      <c r="AF284" s="4"/>
    </row>
    <row r="285" spans="1:32" x14ac:dyDescent="0.3">
      <c r="A285" t="s">
        <v>376</v>
      </c>
      <c r="B285">
        <v>17</v>
      </c>
      <c r="C285" t="str">
        <f t="shared" si="4"/>
        <v>Teenager</v>
      </c>
      <c r="D285" t="s">
        <v>28</v>
      </c>
      <c r="E285">
        <v>6.3</v>
      </c>
      <c r="G285" t="s">
        <v>48</v>
      </c>
      <c r="H285" t="s">
        <v>68</v>
      </c>
      <c r="I285" t="s">
        <v>71</v>
      </c>
      <c r="J285">
        <v>5</v>
      </c>
      <c r="L285" t="s">
        <v>41</v>
      </c>
      <c r="M285" t="s">
        <v>42</v>
      </c>
      <c r="N285" t="s">
        <v>34</v>
      </c>
      <c r="O285">
        <v>3.66</v>
      </c>
      <c r="Q285" t="s">
        <v>63</v>
      </c>
      <c r="R285" t="s">
        <v>42</v>
      </c>
      <c r="S285" t="b">
        <v>0</v>
      </c>
      <c r="T285" t="b">
        <v>1</v>
      </c>
      <c r="U285" t="b">
        <v>0</v>
      </c>
      <c r="V285" t="b">
        <v>1</v>
      </c>
      <c r="W285" t="b">
        <v>0</v>
      </c>
      <c r="X285">
        <v>1.8</v>
      </c>
      <c r="Y285">
        <v>7.3</v>
      </c>
      <c r="Z285">
        <v>6</v>
      </c>
      <c r="AA285">
        <v>10.1</v>
      </c>
      <c r="AB285" s="3">
        <v>33.479999999999997</v>
      </c>
      <c r="AC285" s="3"/>
      <c r="AD285">
        <v>3</v>
      </c>
      <c r="AE285" t="s">
        <v>64</v>
      </c>
      <c r="AF285" s="4"/>
    </row>
    <row r="286" spans="1:32" x14ac:dyDescent="0.3">
      <c r="A286" t="s">
        <v>377</v>
      </c>
      <c r="B286">
        <v>19</v>
      </c>
      <c r="C286" t="str">
        <f t="shared" si="4"/>
        <v>Teenager</v>
      </c>
      <c r="D286" t="s">
        <v>28</v>
      </c>
      <c r="E286">
        <v>8</v>
      </c>
      <c r="G286" t="s">
        <v>39</v>
      </c>
      <c r="H286" t="s">
        <v>93</v>
      </c>
      <c r="I286" t="s">
        <v>86</v>
      </c>
      <c r="J286">
        <v>5.4</v>
      </c>
      <c r="L286" t="s">
        <v>41</v>
      </c>
      <c r="M286" t="s">
        <v>33</v>
      </c>
      <c r="N286" t="s">
        <v>51</v>
      </c>
      <c r="O286">
        <v>1.0900000000000001</v>
      </c>
      <c r="P286">
        <v>6</v>
      </c>
      <c r="Q286" t="s">
        <v>56</v>
      </c>
      <c r="R286" t="s">
        <v>45</v>
      </c>
      <c r="S286" t="b">
        <v>1</v>
      </c>
      <c r="T286" t="b">
        <v>0</v>
      </c>
      <c r="U286" t="b">
        <v>0</v>
      </c>
      <c r="V286" t="b">
        <v>1</v>
      </c>
      <c r="W286" t="b">
        <v>1</v>
      </c>
      <c r="X286">
        <v>1</v>
      </c>
      <c r="Y286">
        <v>7.1</v>
      </c>
      <c r="Z286">
        <v>4</v>
      </c>
      <c r="AA286">
        <v>2.9</v>
      </c>
      <c r="AB286" s="3">
        <v>18.98</v>
      </c>
      <c r="AC286" s="3"/>
      <c r="AD286">
        <v>8</v>
      </c>
      <c r="AE286" t="s">
        <v>64</v>
      </c>
      <c r="AF286" s="4"/>
    </row>
    <row r="287" spans="1:32" x14ac:dyDescent="0.3">
      <c r="A287" t="s">
        <v>378</v>
      </c>
      <c r="B287">
        <v>22</v>
      </c>
      <c r="C287" t="str">
        <f t="shared" si="4"/>
        <v>Young Adults</v>
      </c>
      <c r="D287" t="s">
        <v>28</v>
      </c>
      <c r="E287">
        <v>3.8</v>
      </c>
      <c r="G287" t="s">
        <v>60</v>
      </c>
      <c r="H287" t="s">
        <v>96</v>
      </c>
      <c r="I287" t="s">
        <v>71</v>
      </c>
      <c r="J287">
        <v>5.4</v>
      </c>
      <c r="L287" t="s">
        <v>43</v>
      </c>
      <c r="M287" t="s">
        <v>74</v>
      </c>
      <c r="N287" t="s">
        <v>62</v>
      </c>
      <c r="O287">
        <v>1.69</v>
      </c>
      <c r="P287">
        <v>5</v>
      </c>
      <c r="Q287" t="s">
        <v>105</v>
      </c>
      <c r="R287" t="s">
        <v>45</v>
      </c>
      <c r="S287" t="b">
        <v>0</v>
      </c>
      <c r="T287" t="b">
        <v>0</v>
      </c>
      <c r="U287" t="b">
        <v>0</v>
      </c>
      <c r="V287" t="b">
        <v>0</v>
      </c>
      <c r="W287" t="b">
        <v>0</v>
      </c>
      <c r="X287">
        <v>1</v>
      </c>
      <c r="Y287">
        <v>10</v>
      </c>
      <c r="Z287">
        <v>3</v>
      </c>
      <c r="AA287">
        <v>9.4</v>
      </c>
      <c r="AB287" s="3">
        <v>31.5</v>
      </c>
      <c r="AC287" s="3"/>
      <c r="AD287">
        <v>8</v>
      </c>
      <c r="AE287" t="s">
        <v>46</v>
      </c>
      <c r="AF287" s="4"/>
    </row>
    <row r="288" spans="1:32" x14ac:dyDescent="0.3">
      <c r="A288" t="s">
        <v>379</v>
      </c>
      <c r="B288">
        <v>20</v>
      </c>
      <c r="C288" t="str">
        <f t="shared" si="4"/>
        <v>Young Adults</v>
      </c>
      <c r="D288" t="s">
        <v>28</v>
      </c>
      <c r="E288">
        <v>2.2000000000000002</v>
      </c>
      <c r="G288" t="s">
        <v>76</v>
      </c>
      <c r="H288" t="s">
        <v>126</v>
      </c>
      <c r="I288" t="s">
        <v>86</v>
      </c>
      <c r="J288">
        <v>8.1</v>
      </c>
      <c r="L288" t="s">
        <v>43</v>
      </c>
      <c r="M288" t="s">
        <v>36</v>
      </c>
      <c r="N288" t="s">
        <v>43</v>
      </c>
      <c r="O288">
        <v>1.1499999999999999</v>
      </c>
      <c r="P288">
        <v>5</v>
      </c>
      <c r="Q288" t="s">
        <v>121</v>
      </c>
      <c r="R288" t="s">
        <v>42</v>
      </c>
      <c r="S288" t="b">
        <v>0</v>
      </c>
      <c r="T288" t="b">
        <v>0</v>
      </c>
      <c r="U288" t="b">
        <v>0</v>
      </c>
      <c r="V288" t="b">
        <v>0</v>
      </c>
      <c r="W288" t="b">
        <v>0</v>
      </c>
      <c r="X288">
        <v>1.2</v>
      </c>
      <c r="Y288">
        <v>8.8000000000000007</v>
      </c>
      <c r="Z288">
        <v>2</v>
      </c>
      <c r="AA288">
        <v>12.5</v>
      </c>
      <c r="AB288" s="3">
        <v>0.65</v>
      </c>
      <c r="AC288" s="3"/>
      <c r="AD288">
        <v>8</v>
      </c>
      <c r="AE288" t="s">
        <v>46</v>
      </c>
      <c r="AF288" s="4"/>
    </row>
    <row r="289" spans="1:32" x14ac:dyDescent="0.3">
      <c r="A289" t="s">
        <v>380</v>
      </c>
      <c r="B289">
        <v>17</v>
      </c>
      <c r="C289" t="str">
        <f t="shared" si="4"/>
        <v>Teenager</v>
      </c>
      <c r="D289" t="s">
        <v>28</v>
      </c>
      <c r="E289">
        <v>3.6</v>
      </c>
      <c r="G289" t="s">
        <v>48</v>
      </c>
      <c r="H289" t="s">
        <v>214</v>
      </c>
      <c r="I289" t="s">
        <v>31</v>
      </c>
      <c r="J289">
        <v>6.1</v>
      </c>
      <c r="L289" t="s">
        <v>32</v>
      </c>
      <c r="M289" t="s">
        <v>42</v>
      </c>
      <c r="N289" t="s">
        <v>43</v>
      </c>
      <c r="O289">
        <v>1.08</v>
      </c>
      <c r="Q289" t="s">
        <v>80</v>
      </c>
      <c r="R289" t="s">
        <v>33</v>
      </c>
      <c r="S289" t="b">
        <v>0</v>
      </c>
      <c r="T289" t="b">
        <v>0</v>
      </c>
      <c r="U289" t="b">
        <v>0</v>
      </c>
      <c r="V289" t="b">
        <v>0</v>
      </c>
      <c r="W289" t="b">
        <v>0</v>
      </c>
      <c r="X289">
        <v>0.9</v>
      </c>
      <c r="Y289">
        <v>6.4</v>
      </c>
      <c r="Z289">
        <v>3</v>
      </c>
      <c r="AA289">
        <v>10.199999999999999</v>
      </c>
      <c r="AB289" s="3">
        <v>15.92</v>
      </c>
      <c r="AC289" s="3"/>
      <c r="AD289">
        <v>5</v>
      </c>
      <c r="AE289" t="s">
        <v>46</v>
      </c>
      <c r="AF289" s="4"/>
    </row>
    <row r="290" spans="1:32" x14ac:dyDescent="0.3">
      <c r="A290" t="s">
        <v>381</v>
      </c>
      <c r="B290">
        <v>21</v>
      </c>
      <c r="C290" t="str">
        <f t="shared" si="4"/>
        <v>Young Adults</v>
      </c>
      <c r="D290" t="s">
        <v>28</v>
      </c>
      <c r="E290">
        <v>3.7</v>
      </c>
      <c r="G290" t="s">
        <v>48</v>
      </c>
      <c r="H290" t="s">
        <v>49</v>
      </c>
      <c r="I290" t="s">
        <v>31</v>
      </c>
      <c r="J290">
        <v>6.9</v>
      </c>
      <c r="L290" t="s">
        <v>41</v>
      </c>
      <c r="M290" t="s">
        <v>45</v>
      </c>
      <c r="N290" t="s">
        <v>84</v>
      </c>
      <c r="O290">
        <v>2.74</v>
      </c>
      <c r="P290">
        <v>4</v>
      </c>
      <c r="Q290" t="s">
        <v>69</v>
      </c>
      <c r="R290" t="s">
        <v>45</v>
      </c>
      <c r="S290" t="b">
        <v>0</v>
      </c>
      <c r="T290" t="b">
        <v>0</v>
      </c>
      <c r="U290" t="b">
        <v>0</v>
      </c>
      <c r="V290" t="b">
        <v>0</v>
      </c>
      <c r="W290" t="b">
        <v>0</v>
      </c>
      <c r="X290">
        <v>0.3</v>
      </c>
      <c r="Y290">
        <v>6.1</v>
      </c>
      <c r="Z290">
        <v>3</v>
      </c>
      <c r="AA290">
        <v>7.5</v>
      </c>
      <c r="AB290" s="3">
        <v>44.68</v>
      </c>
      <c r="AC290" s="3"/>
      <c r="AD290">
        <v>3</v>
      </c>
      <c r="AE290" t="s">
        <v>46</v>
      </c>
      <c r="AF290" s="4"/>
    </row>
    <row r="291" spans="1:32" x14ac:dyDescent="0.3">
      <c r="A291" t="s">
        <v>382</v>
      </c>
      <c r="B291">
        <v>21</v>
      </c>
      <c r="C291" t="str">
        <f t="shared" si="4"/>
        <v>Young Adults</v>
      </c>
      <c r="D291" t="s">
        <v>53</v>
      </c>
      <c r="E291">
        <v>1.9</v>
      </c>
      <c r="G291" t="s">
        <v>48</v>
      </c>
      <c r="H291" t="s">
        <v>128</v>
      </c>
      <c r="I291" t="s">
        <v>50</v>
      </c>
      <c r="J291">
        <v>8.6999999999999993</v>
      </c>
      <c r="L291" t="s">
        <v>43</v>
      </c>
      <c r="M291" t="s">
        <v>42</v>
      </c>
      <c r="N291" t="s">
        <v>43</v>
      </c>
      <c r="O291">
        <v>3.9</v>
      </c>
      <c r="P291">
        <v>3</v>
      </c>
      <c r="Q291" t="s">
        <v>56</v>
      </c>
      <c r="R291" t="s">
        <v>36</v>
      </c>
      <c r="S291" t="b">
        <v>0</v>
      </c>
      <c r="T291" t="b">
        <v>0</v>
      </c>
      <c r="U291" t="b">
        <v>0</v>
      </c>
      <c r="V291" t="b">
        <v>0</v>
      </c>
      <c r="W291" t="b">
        <v>0</v>
      </c>
      <c r="X291">
        <v>0.1</v>
      </c>
      <c r="Y291">
        <v>9.6999999999999993</v>
      </c>
      <c r="Z291">
        <v>1</v>
      </c>
      <c r="AA291">
        <v>14.5</v>
      </c>
      <c r="AB291" s="3">
        <v>16.75</v>
      </c>
      <c r="AC291" s="3"/>
      <c r="AD291">
        <v>7</v>
      </c>
      <c r="AE291" t="s">
        <v>46</v>
      </c>
      <c r="AF291" s="4"/>
    </row>
    <row r="292" spans="1:32" x14ac:dyDescent="0.3">
      <c r="A292" t="s">
        <v>383</v>
      </c>
      <c r="B292">
        <v>18</v>
      </c>
      <c r="C292" t="str">
        <f t="shared" si="4"/>
        <v>Teenager</v>
      </c>
      <c r="D292" t="s">
        <v>28</v>
      </c>
      <c r="E292">
        <v>6.7</v>
      </c>
      <c r="G292" t="s">
        <v>48</v>
      </c>
      <c r="H292" t="s">
        <v>68</v>
      </c>
      <c r="I292" t="s">
        <v>31</v>
      </c>
      <c r="J292">
        <v>3.6</v>
      </c>
      <c r="L292" t="s">
        <v>51</v>
      </c>
      <c r="M292" t="s">
        <v>36</v>
      </c>
      <c r="N292" t="s">
        <v>51</v>
      </c>
      <c r="O292">
        <v>1.39</v>
      </c>
      <c r="Q292" t="s">
        <v>56</v>
      </c>
      <c r="R292" t="s">
        <v>42</v>
      </c>
      <c r="S292" t="b">
        <v>0</v>
      </c>
      <c r="T292" t="b">
        <v>0</v>
      </c>
      <c r="U292" t="b">
        <v>0</v>
      </c>
      <c r="V292" t="b">
        <v>0</v>
      </c>
      <c r="W292" t="b">
        <v>0</v>
      </c>
      <c r="X292">
        <v>0.5</v>
      </c>
      <c r="Y292">
        <v>7.5</v>
      </c>
      <c r="Z292">
        <v>4</v>
      </c>
      <c r="AA292">
        <v>5.4</v>
      </c>
      <c r="AB292" s="3">
        <v>148.22</v>
      </c>
      <c r="AC292" s="3"/>
      <c r="AD292">
        <v>5</v>
      </c>
      <c r="AE292" t="s">
        <v>46</v>
      </c>
      <c r="AF292" s="4"/>
    </row>
    <row r="293" spans="1:32" x14ac:dyDescent="0.3">
      <c r="A293" t="s">
        <v>384</v>
      </c>
      <c r="B293">
        <v>19</v>
      </c>
      <c r="C293" t="str">
        <f t="shared" si="4"/>
        <v>Teenager</v>
      </c>
      <c r="D293" t="s">
        <v>28</v>
      </c>
      <c r="E293">
        <v>4.0999999999999996</v>
      </c>
      <c r="G293" t="s">
        <v>60</v>
      </c>
      <c r="H293" t="s">
        <v>102</v>
      </c>
      <c r="I293" t="s">
        <v>50</v>
      </c>
      <c r="J293">
        <v>5.3</v>
      </c>
      <c r="L293" t="s">
        <v>41</v>
      </c>
      <c r="M293" t="s">
        <v>45</v>
      </c>
      <c r="N293" t="s">
        <v>34</v>
      </c>
      <c r="O293">
        <v>2.36</v>
      </c>
      <c r="P293">
        <v>5</v>
      </c>
      <c r="Q293" t="s">
        <v>44</v>
      </c>
      <c r="R293" t="s">
        <v>36</v>
      </c>
      <c r="S293" t="b">
        <v>0</v>
      </c>
      <c r="T293" t="b">
        <v>0</v>
      </c>
      <c r="U293" t="b">
        <v>0</v>
      </c>
      <c r="V293" t="b">
        <v>0</v>
      </c>
      <c r="W293" t="b">
        <v>0</v>
      </c>
      <c r="X293">
        <v>0.4</v>
      </c>
      <c r="Y293">
        <v>8.1</v>
      </c>
      <c r="Z293">
        <v>2</v>
      </c>
      <c r="AA293">
        <v>11.5</v>
      </c>
      <c r="AB293" s="3">
        <v>36.57</v>
      </c>
      <c r="AC293" s="3"/>
      <c r="AD293">
        <v>3</v>
      </c>
      <c r="AE293" t="s">
        <v>46</v>
      </c>
      <c r="AF293" s="4"/>
    </row>
    <row r="294" spans="1:32" x14ac:dyDescent="0.3">
      <c r="A294" t="s">
        <v>385</v>
      </c>
      <c r="B294">
        <v>20</v>
      </c>
      <c r="C294" t="str">
        <f t="shared" si="4"/>
        <v>Young Adults</v>
      </c>
      <c r="D294" t="s">
        <v>28</v>
      </c>
      <c r="E294">
        <v>3.9</v>
      </c>
      <c r="G294" t="s">
        <v>39</v>
      </c>
      <c r="H294" t="s">
        <v>93</v>
      </c>
      <c r="I294" t="s">
        <v>86</v>
      </c>
      <c r="J294">
        <v>6.7</v>
      </c>
      <c r="L294" t="s">
        <v>43</v>
      </c>
      <c r="M294" t="s">
        <v>36</v>
      </c>
      <c r="N294" t="s">
        <v>34</v>
      </c>
      <c r="O294">
        <v>3.88</v>
      </c>
      <c r="P294">
        <v>8</v>
      </c>
      <c r="Q294" t="s">
        <v>44</v>
      </c>
      <c r="R294" t="s">
        <v>45</v>
      </c>
      <c r="S294" t="b">
        <v>0</v>
      </c>
      <c r="T294" t="b">
        <v>0</v>
      </c>
      <c r="U294" t="b">
        <v>0</v>
      </c>
      <c r="V294" t="b">
        <v>0</v>
      </c>
      <c r="W294" t="b">
        <v>0</v>
      </c>
      <c r="X294">
        <v>0.1</v>
      </c>
      <c r="Y294">
        <v>7</v>
      </c>
      <c r="Z294">
        <v>3</v>
      </c>
      <c r="AA294">
        <v>12.1</v>
      </c>
      <c r="AB294" s="3">
        <v>42.46</v>
      </c>
      <c r="AC294" s="3"/>
      <c r="AD294">
        <v>2</v>
      </c>
      <c r="AE294" t="s">
        <v>46</v>
      </c>
      <c r="AF294" s="4"/>
    </row>
    <row r="295" spans="1:32" x14ac:dyDescent="0.3">
      <c r="A295" t="s">
        <v>386</v>
      </c>
      <c r="B295">
        <v>34</v>
      </c>
      <c r="C295" t="str">
        <f t="shared" si="4"/>
        <v>Old Adults</v>
      </c>
      <c r="D295" t="s">
        <v>28</v>
      </c>
      <c r="E295">
        <v>2.8</v>
      </c>
      <c r="G295" t="s">
        <v>82</v>
      </c>
      <c r="H295" t="s">
        <v>83</v>
      </c>
      <c r="I295" t="s">
        <v>31</v>
      </c>
      <c r="J295">
        <v>7.1</v>
      </c>
      <c r="L295" t="s">
        <v>43</v>
      </c>
      <c r="M295" t="s">
        <v>33</v>
      </c>
      <c r="N295" t="s">
        <v>84</v>
      </c>
      <c r="P295">
        <v>2</v>
      </c>
      <c r="Q295" t="s">
        <v>35</v>
      </c>
      <c r="R295" t="s">
        <v>42</v>
      </c>
      <c r="S295" t="b">
        <v>0</v>
      </c>
      <c r="T295" t="b">
        <v>0</v>
      </c>
      <c r="U295" t="b">
        <v>0</v>
      </c>
      <c r="V295" t="b">
        <v>0</v>
      </c>
      <c r="W295" t="b">
        <v>0</v>
      </c>
      <c r="X295">
        <v>0.9</v>
      </c>
      <c r="Y295">
        <v>9.9</v>
      </c>
      <c r="Z295">
        <v>2</v>
      </c>
      <c r="AA295">
        <v>13.5</v>
      </c>
      <c r="AB295" s="3">
        <v>4.3499999999999996</v>
      </c>
      <c r="AC295" s="3"/>
      <c r="AD295">
        <v>16</v>
      </c>
      <c r="AE295" t="s">
        <v>46</v>
      </c>
      <c r="AF295" s="4"/>
    </row>
    <row r="296" spans="1:32" x14ac:dyDescent="0.3">
      <c r="A296" t="s">
        <v>387</v>
      </c>
      <c r="B296">
        <v>20</v>
      </c>
      <c r="C296" t="str">
        <f t="shared" si="4"/>
        <v>Young Adults</v>
      </c>
      <c r="D296" t="s">
        <v>28</v>
      </c>
      <c r="E296">
        <v>8.4</v>
      </c>
      <c r="G296" t="s">
        <v>76</v>
      </c>
      <c r="H296" t="s">
        <v>110</v>
      </c>
      <c r="I296" t="s">
        <v>86</v>
      </c>
      <c r="J296">
        <v>4.3</v>
      </c>
      <c r="L296" t="s">
        <v>41</v>
      </c>
      <c r="M296" t="s">
        <v>33</v>
      </c>
      <c r="N296" t="s">
        <v>34</v>
      </c>
      <c r="O296">
        <v>2</v>
      </c>
      <c r="P296">
        <v>4</v>
      </c>
      <c r="Q296" t="s">
        <v>63</v>
      </c>
      <c r="R296" t="s">
        <v>42</v>
      </c>
      <c r="S296" t="b">
        <v>1</v>
      </c>
      <c r="T296" t="b">
        <v>1</v>
      </c>
      <c r="U296" t="b">
        <v>0</v>
      </c>
      <c r="V296" t="b">
        <v>1</v>
      </c>
      <c r="W296" t="b">
        <v>1</v>
      </c>
      <c r="X296">
        <v>0.9</v>
      </c>
      <c r="Y296">
        <v>4.0999999999999996</v>
      </c>
      <c r="Z296">
        <v>5</v>
      </c>
      <c r="AA296">
        <v>3</v>
      </c>
      <c r="AB296" s="3">
        <v>18.07</v>
      </c>
      <c r="AC296" s="3"/>
      <c r="AD296">
        <v>1</v>
      </c>
      <c r="AE296" t="s">
        <v>58</v>
      </c>
      <c r="AF296" s="4"/>
    </row>
    <row r="297" spans="1:32" x14ac:dyDescent="0.3">
      <c r="A297" t="s">
        <v>388</v>
      </c>
      <c r="B297">
        <v>19</v>
      </c>
      <c r="C297" t="str">
        <f t="shared" si="4"/>
        <v>Teenager</v>
      </c>
      <c r="D297" t="s">
        <v>53</v>
      </c>
      <c r="E297">
        <v>5.4</v>
      </c>
      <c r="G297" t="s">
        <v>39</v>
      </c>
      <c r="H297" t="s">
        <v>120</v>
      </c>
      <c r="I297" t="s">
        <v>71</v>
      </c>
      <c r="J297">
        <v>6.4</v>
      </c>
      <c r="L297" t="s">
        <v>41</v>
      </c>
      <c r="M297" t="s">
        <v>42</v>
      </c>
      <c r="N297" t="s">
        <v>62</v>
      </c>
      <c r="O297">
        <v>2.94</v>
      </c>
      <c r="P297">
        <v>3</v>
      </c>
      <c r="Q297" t="s">
        <v>44</v>
      </c>
      <c r="R297" t="s">
        <v>36</v>
      </c>
      <c r="S297" t="b">
        <v>0</v>
      </c>
      <c r="T297" t="b">
        <v>0</v>
      </c>
      <c r="U297" t="b">
        <v>0</v>
      </c>
      <c r="V297" t="b">
        <v>1</v>
      </c>
      <c r="W297" t="b">
        <v>0</v>
      </c>
      <c r="X297">
        <v>0.2</v>
      </c>
      <c r="Y297">
        <v>6.7</v>
      </c>
      <c r="Z297">
        <v>3</v>
      </c>
      <c r="AA297">
        <v>11.1</v>
      </c>
      <c r="AB297" s="3">
        <v>144.36000000000001</v>
      </c>
      <c r="AC297" s="3"/>
      <c r="AD297">
        <v>7</v>
      </c>
      <c r="AE297" t="s">
        <v>46</v>
      </c>
      <c r="AF297" s="4"/>
    </row>
    <row r="298" spans="1:32" x14ac:dyDescent="0.3">
      <c r="A298" t="s">
        <v>389</v>
      </c>
      <c r="B298">
        <v>13</v>
      </c>
      <c r="C298" t="str">
        <f t="shared" si="4"/>
        <v>Teenager</v>
      </c>
      <c r="D298" t="s">
        <v>28</v>
      </c>
      <c r="E298">
        <v>6.2</v>
      </c>
      <c r="G298" t="s">
        <v>76</v>
      </c>
      <c r="H298" t="s">
        <v>126</v>
      </c>
      <c r="I298" t="s">
        <v>71</v>
      </c>
      <c r="J298">
        <v>5.7</v>
      </c>
      <c r="L298" t="s">
        <v>32</v>
      </c>
      <c r="M298" t="s">
        <v>74</v>
      </c>
      <c r="N298" t="s">
        <v>62</v>
      </c>
      <c r="O298">
        <v>2.61</v>
      </c>
      <c r="Q298" t="s">
        <v>44</v>
      </c>
      <c r="R298" t="s">
        <v>45</v>
      </c>
      <c r="S298" t="b">
        <v>0</v>
      </c>
      <c r="T298" t="b">
        <v>0</v>
      </c>
      <c r="U298" t="b">
        <v>0</v>
      </c>
      <c r="V298" t="b">
        <v>1</v>
      </c>
      <c r="W298" t="b">
        <v>1</v>
      </c>
      <c r="X298">
        <v>1.1000000000000001</v>
      </c>
      <c r="Y298">
        <v>6.6</v>
      </c>
      <c r="Z298">
        <v>4</v>
      </c>
      <c r="AA298">
        <v>10.4</v>
      </c>
      <c r="AB298" s="3">
        <v>75.94</v>
      </c>
      <c r="AC298" s="3"/>
      <c r="AD298">
        <v>3</v>
      </c>
      <c r="AE298" t="s">
        <v>46</v>
      </c>
      <c r="AF298" s="4"/>
    </row>
    <row r="299" spans="1:32" x14ac:dyDescent="0.3">
      <c r="A299" t="s">
        <v>390</v>
      </c>
      <c r="B299">
        <v>21</v>
      </c>
      <c r="C299" t="str">
        <f t="shared" si="4"/>
        <v>Young Adults</v>
      </c>
      <c r="D299" t="s">
        <v>28</v>
      </c>
      <c r="E299">
        <v>8.6</v>
      </c>
      <c r="G299" t="s">
        <v>39</v>
      </c>
      <c r="H299" t="s">
        <v>40</v>
      </c>
      <c r="I299" t="s">
        <v>31</v>
      </c>
      <c r="J299">
        <v>3.2</v>
      </c>
      <c r="L299" t="s">
        <v>32</v>
      </c>
      <c r="M299" t="s">
        <v>33</v>
      </c>
      <c r="N299" t="s">
        <v>34</v>
      </c>
      <c r="O299">
        <v>3.75</v>
      </c>
      <c r="P299">
        <v>6</v>
      </c>
      <c r="Q299" t="s">
        <v>80</v>
      </c>
      <c r="R299" t="s">
        <v>57</v>
      </c>
      <c r="S299" t="b">
        <v>1</v>
      </c>
      <c r="T299" t="b">
        <v>1</v>
      </c>
      <c r="U299" t="b">
        <v>1</v>
      </c>
      <c r="V299" t="b">
        <v>1</v>
      </c>
      <c r="W299" t="b">
        <v>0</v>
      </c>
      <c r="X299">
        <v>2.8</v>
      </c>
      <c r="Y299">
        <v>6.5</v>
      </c>
      <c r="Z299">
        <v>8</v>
      </c>
      <c r="AA299">
        <v>4.7</v>
      </c>
      <c r="AB299" s="3">
        <v>394.83</v>
      </c>
      <c r="AC299" s="3"/>
      <c r="AD299">
        <v>6</v>
      </c>
      <c r="AE299" t="s">
        <v>37</v>
      </c>
      <c r="AF299" s="4"/>
    </row>
    <row r="300" spans="1:32" x14ac:dyDescent="0.3">
      <c r="A300" t="s">
        <v>391</v>
      </c>
      <c r="B300">
        <v>20</v>
      </c>
      <c r="C300" t="str">
        <f t="shared" si="4"/>
        <v>Young Adults</v>
      </c>
      <c r="D300" t="s">
        <v>28</v>
      </c>
      <c r="E300">
        <v>7.6</v>
      </c>
      <c r="G300" t="s">
        <v>60</v>
      </c>
      <c r="H300" t="s">
        <v>61</v>
      </c>
      <c r="I300" t="s">
        <v>86</v>
      </c>
      <c r="J300">
        <v>5.2</v>
      </c>
      <c r="L300" t="s">
        <v>41</v>
      </c>
      <c r="M300" t="s">
        <v>42</v>
      </c>
      <c r="N300" t="s">
        <v>51</v>
      </c>
      <c r="O300">
        <v>1.45</v>
      </c>
      <c r="P300">
        <v>7</v>
      </c>
      <c r="Q300" t="s">
        <v>105</v>
      </c>
      <c r="R300" t="s">
        <v>42</v>
      </c>
      <c r="S300" t="b">
        <v>1</v>
      </c>
      <c r="T300" t="b">
        <v>0</v>
      </c>
      <c r="U300" t="b">
        <v>1</v>
      </c>
      <c r="V300" t="b">
        <v>1</v>
      </c>
      <c r="W300" t="b">
        <v>0</v>
      </c>
      <c r="X300">
        <v>2.1</v>
      </c>
      <c r="Y300">
        <v>5.7</v>
      </c>
      <c r="Z300">
        <v>7</v>
      </c>
      <c r="AA300">
        <v>3.7</v>
      </c>
      <c r="AB300" s="3">
        <v>49.2</v>
      </c>
      <c r="AC300" s="3"/>
      <c r="AD300">
        <v>7</v>
      </c>
      <c r="AE300" t="s">
        <v>58</v>
      </c>
      <c r="AF300" s="4"/>
    </row>
    <row r="301" spans="1:32" x14ac:dyDescent="0.3">
      <c r="A301" t="s">
        <v>392</v>
      </c>
      <c r="B301">
        <v>24</v>
      </c>
      <c r="C301" t="str">
        <f t="shared" si="4"/>
        <v>Young Adults</v>
      </c>
      <c r="D301" t="s">
        <v>53</v>
      </c>
      <c r="E301">
        <v>8.6</v>
      </c>
      <c r="G301" t="s">
        <v>54</v>
      </c>
      <c r="H301" t="s">
        <v>98</v>
      </c>
      <c r="I301" t="s">
        <v>31</v>
      </c>
      <c r="J301">
        <v>3.8</v>
      </c>
      <c r="L301" t="s">
        <v>51</v>
      </c>
      <c r="M301" t="s">
        <v>36</v>
      </c>
      <c r="N301" t="s">
        <v>43</v>
      </c>
      <c r="P301">
        <v>7</v>
      </c>
      <c r="Q301" t="s">
        <v>44</v>
      </c>
      <c r="R301" t="s">
        <v>57</v>
      </c>
      <c r="S301" t="b">
        <v>1</v>
      </c>
      <c r="T301" t="b">
        <v>1</v>
      </c>
      <c r="U301" t="b">
        <v>0</v>
      </c>
      <c r="V301" t="b">
        <v>1</v>
      </c>
      <c r="W301" t="b">
        <v>1</v>
      </c>
      <c r="X301">
        <v>1.7</v>
      </c>
      <c r="Y301">
        <v>5</v>
      </c>
      <c r="Z301">
        <v>7</v>
      </c>
      <c r="AA301">
        <v>6.9</v>
      </c>
      <c r="AB301" s="3">
        <v>142.09</v>
      </c>
      <c r="AC301" s="3"/>
      <c r="AD301">
        <v>12</v>
      </c>
      <c r="AE301" t="s">
        <v>37</v>
      </c>
      <c r="AF301" s="4"/>
    </row>
    <row r="302" spans="1:32" x14ac:dyDescent="0.3">
      <c r="A302" t="s">
        <v>393</v>
      </c>
      <c r="B302">
        <v>22</v>
      </c>
      <c r="C302" t="str">
        <f t="shared" si="4"/>
        <v>Young Adults</v>
      </c>
      <c r="D302" t="s">
        <v>53</v>
      </c>
      <c r="E302">
        <v>3.8</v>
      </c>
      <c r="G302" t="s">
        <v>54</v>
      </c>
      <c r="H302" t="s">
        <v>98</v>
      </c>
      <c r="I302" t="s">
        <v>50</v>
      </c>
      <c r="J302">
        <v>5.4</v>
      </c>
      <c r="L302" t="s">
        <v>51</v>
      </c>
      <c r="M302" t="s">
        <v>36</v>
      </c>
      <c r="N302" t="s">
        <v>62</v>
      </c>
      <c r="O302">
        <v>1.25</v>
      </c>
      <c r="P302">
        <v>8</v>
      </c>
      <c r="Q302" t="s">
        <v>44</v>
      </c>
      <c r="R302" t="s">
        <v>45</v>
      </c>
      <c r="S302" t="b">
        <v>0</v>
      </c>
      <c r="T302" t="b">
        <v>0</v>
      </c>
      <c r="U302" t="b">
        <v>0</v>
      </c>
      <c r="V302" t="b">
        <v>0</v>
      </c>
      <c r="W302" t="b">
        <v>0</v>
      </c>
      <c r="X302">
        <v>1.5</v>
      </c>
      <c r="Y302">
        <v>6.4</v>
      </c>
      <c r="Z302">
        <v>2</v>
      </c>
      <c r="AA302">
        <v>12.9</v>
      </c>
      <c r="AB302" s="3">
        <v>16.03</v>
      </c>
      <c r="AC302" s="3"/>
      <c r="AD302">
        <v>8</v>
      </c>
      <c r="AE302" t="s">
        <v>46</v>
      </c>
      <c r="AF302" s="4"/>
    </row>
    <row r="303" spans="1:32" x14ac:dyDescent="0.3">
      <c r="A303" t="s">
        <v>394</v>
      </c>
      <c r="B303">
        <v>17</v>
      </c>
      <c r="C303" t="str">
        <f t="shared" si="4"/>
        <v>Teenager</v>
      </c>
      <c r="D303" t="s">
        <v>28</v>
      </c>
      <c r="E303">
        <v>6.2</v>
      </c>
      <c r="G303" t="s">
        <v>76</v>
      </c>
      <c r="H303" t="s">
        <v>77</v>
      </c>
      <c r="I303" t="s">
        <v>31</v>
      </c>
      <c r="J303">
        <v>6.4</v>
      </c>
      <c r="L303" t="s">
        <v>43</v>
      </c>
      <c r="M303" t="s">
        <v>36</v>
      </c>
      <c r="N303" t="s">
        <v>62</v>
      </c>
      <c r="O303">
        <v>3.16</v>
      </c>
      <c r="Q303" t="s">
        <v>35</v>
      </c>
      <c r="R303" t="s">
        <v>33</v>
      </c>
      <c r="S303" t="b">
        <v>0</v>
      </c>
      <c r="T303" t="b">
        <v>1</v>
      </c>
      <c r="U303" t="b">
        <v>0</v>
      </c>
      <c r="V303" t="b">
        <v>0</v>
      </c>
      <c r="W303" t="b">
        <v>1</v>
      </c>
      <c r="X303">
        <v>1.5</v>
      </c>
      <c r="Y303">
        <v>5.9</v>
      </c>
      <c r="Z303">
        <v>5</v>
      </c>
      <c r="AA303">
        <v>10.199999999999999</v>
      </c>
      <c r="AB303" s="3">
        <v>144.07</v>
      </c>
      <c r="AC303" s="3"/>
      <c r="AD303">
        <v>5</v>
      </c>
      <c r="AE303" t="s">
        <v>64</v>
      </c>
      <c r="AF303" s="4"/>
    </row>
    <row r="304" spans="1:32" x14ac:dyDescent="0.3">
      <c r="A304" t="s">
        <v>395</v>
      </c>
      <c r="B304">
        <v>18</v>
      </c>
      <c r="C304" t="str">
        <f t="shared" si="4"/>
        <v>Teenager</v>
      </c>
      <c r="D304" t="s">
        <v>28</v>
      </c>
      <c r="E304">
        <v>4.9000000000000004</v>
      </c>
      <c r="G304" t="s">
        <v>82</v>
      </c>
      <c r="H304" t="s">
        <v>134</v>
      </c>
      <c r="I304" t="s">
        <v>86</v>
      </c>
      <c r="J304">
        <v>6.3</v>
      </c>
      <c r="L304" t="s">
        <v>51</v>
      </c>
      <c r="M304" t="s">
        <v>33</v>
      </c>
      <c r="N304" t="s">
        <v>43</v>
      </c>
      <c r="O304">
        <v>3.45</v>
      </c>
      <c r="Q304" t="s">
        <v>44</v>
      </c>
      <c r="R304" t="s">
        <v>45</v>
      </c>
      <c r="S304" t="b">
        <v>0</v>
      </c>
      <c r="T304" t="b">
        <v>0</v>
      </c>
      <c r="U304" t="b">
        <v>0</v>
      </c>
      <c r="V304" t="b">
        <v>1</v>
      </c>
      <c r="W304" t="b">
        <v>0</v>
      </c>
      <c r="X304">
        <v>0.3</v>
      </c>
      <c r="Y304">
        <v>7.8</v>
      </c>
      <c r="Z304">
        <v>4</v>
      </c>
      <c r="AA304">
        <v>10.3</v>
      </c>
      <c r="AB304" s="3">
        <v>65.41</v>
      </c>
      <c r="AC304" s="3"/>
      <c r="AD304">
        <v>6</v>
      </c>
      <c r="AE304" t="s">
        <v>46</v>
      </c>
      <c r="AF304" s="4"/>
    </row>
    <row r="305" spans="1:32" x14ac:dyDescent="0.3">
      <c r="A305" t="s">
        <v>396</v>
      </c>
      <c r="B305">
        <v>20</v>
      </c>
      <c r="C305" t="str">
        <f t="shared" si="4"/>
        <v>Young Adults</v>
      </c>
      <c r="D305" t="s">
        <v>53</v>
      </c>
      <c r="E305">
        <v>7</v>
      </c>
      <c r="G305" t="s">
        <v>82</v>
      </c>
      <c r="H305" t="s">
        <v>83</v>
      </c>
      <c r="I305" t="s">
        <v>71</v>
      </c>
      <c r="J305">
        <v>3.7</v>
      </c>
      <c r="L305" t="s">
        <v>78</v>
      </c>
      <c r="M305" t="s">
        <v>42</v>
      </c>
      <c r="N305" t="s">
        <v>51</v>
      </c>
      <c r="O305">
        <v>1.73</v>
      </c>
      <c r="P305">
        <v>5</v>
      </c>
      <c r="Q305" t="s">
        <v>35</v>
      </c>
      <c r="R305" t="s">
        <v>36</v>
      </c>
      <c r="S305" t="b">
        <v>1</v>
      </c>
      <c r="T305" t="b">
        <v>1</v>
      </c>
      <c r="U305" t="b">
        <v>0</v>
      </c>
      <c r="V305" t="b">
        <v>1</v>
      </c>
      <c r="W305" t="b">
        <v>0</v>
      </c>
      <c r="X305">
        <v>0.5</v>
      </c>
      <c r="Y305">
        <v>6.2</v>
      </c>
      <c r="Z305">
        <v>5</v>
      </c>
      <c r="AA305">
        <v>4.9000000000000004</v>
      </c>
      <c r="AB305" s="3">
        <v>99.51</v>
      </c>
      <c r="AC305" s="3"/>
      <c r="AD305">
        <v>8</v>
      </c>
      <c r="AE305" t="s">
        <v>58</v>
      </c>
      <c r="AF305" s="4"/>
    </row>
    <row r="306" spans="1:32" x14ac:dyDescent="0.3">
      <c r="A306" t="s">
        <v>397</v>
      </c>
      <c r="B306">
        <v>19</v>
      </c>
      <c r="C306" t="str">
        <f t="shared" si="4"/>
        <v>Teenager</v>
      </c>
      <c r="D306" t="s">
        <v>28</v>
      </c>
      <c r="E306">
        <v>6.1</v>
      </c>
      <c r="G306" t="s">
        <v>54</v>
      </c>
      <c r="H306" t="s">
        <v>89</v>
      </c>
      <c r="I306" t="s">
        <v>71</v>
      </c>
      <c r="J306">
        <v>6.6</v>
      </c>
      <c r="L306" t="s">
        <v>41</v>
      </c>
      <c r="M306" t="s">
        <v>33</v>
      </c>
      <c r="N306" t="s">
        <v>34</v>
      </c>
      <c r="O306">
        <v>1.1499999999999999</v>
      </c>
      <c r="P306">
        <v>1</v>
      </c>
      <c r="Q306" t="s">
        <v>69</v>
      </c>
      <c r="R306" t="s">
        <v>36</v>
      </c>
      <c r="S306" t="b">
        <v>0</v>
      </c>
      <c r="T306" t="b">
        <v>1</v>
      </c>
      <c r="U306" t="b">
        <v>0</v>
      </c>
      <c r="V306" t="b">
        <v>1</v>
      </c>
      <c r="W306" t="b">
        <v>0</v>
      </c>
      <c r="X306">
        <v>0.1</v>
      </c>
      <c r="Y306">
        <v>8.9</v>
      </c>
      <c r="Z306">
        <v>3</v>
      </c>
      <c r="AA306">
        <v>5.9</v>
      </c>
      <c r="AB306" s="3">
        <v>96.25</v>
      </c>
      <c r="AC306" s="3"/>
      <c r="AD306">
        <v>4</v>
      </c>
      <c r="AE306" t="s">
        <v>64</v>
      </c>
      <c r="AF306" s="4"/>
    </row>
    <row r="307" spans="1:32" x14ac:dyDescent="0.3">
      <c r="A307" t="s">
        <v>398</v>
      </c>
      <c r="B307">
        <v>22</v>
      </c>
      <c r="C307" t="str">
        <f t="shared" si="4"/>
        <v>Young Adults</v>
      </c>
      <c r="D307" t="s">
        <v>28</v>
      </c>
      <c r="E307">
        <v>6</v>
      </c>
      <c r="G307" t="s">
        <v>60</v>
      </c>
      <c r="H307" t="s">
        <v>96</v>
      </c>
      <c r="I307" t="s">
        <v>31</v>
      </c>
      <c r="J307">
        <v>7</v>
      </c>
      <c r="L307" t="s">
        <v>51</v>
      </c>
      <c r="M307" t="s">
        <v>33</v>
      </c>
      <c r="N307" t="s">
        <v>43</v>
      </c>
      <c r="O307">
        <v>3.24</v>
      </c>
      <c r="P307">
        <v>5</v>
      </c>
      <c r="Q307" t="s">
        <v>35</v>
      </c>
      <c r="R307" t="s">
        <v>36</v>
      </c>
      <c r="S307" t="b">
        <v>0</v>
      </c>
      <c r="T307" t="b">
        <v>0</v>
      </c>
      <c r="U307" t="b">
        <v>0</v>
      </c>
      <c r="V307" t="b">
        <v>1</v>
      </c>
      <c r="W307" t="b">
        <v>1</v>
      </c>
      <c r="X307">
        <v>1.6</v>
      </c>
      <c r="Y307">
        <v>7</v>
      </c>
      <c r="Z307">
        <v>4</v>
      </c>
      <c r="AA307">
        <v>7</v>
      </c>
      <c r="AB307" s="3">
        <v>41.72</v>
      </c>
      <c r="AC307" s="3"/>
      <c r="AD307">
        <v>10</v>
      </c>
      <c r="AE307" t="s">
        <v>46</v>
      </c>
      <c r="AF307" s="4"/>
    </row>
    <row r="308" spans="1:32" x14ac:dyDescent="0.3">
      <c r="A308" t="s">
        <v>399</v>
      </c>
      <c r="B308">
        <v>19</v>
      </c>
      <c r="C308" t="str">
        <f t="shared" si="4"/>
        <v>Teenager</v>
      </c>
      <c r="D308" t="s">
        <v>28</v>
      </c>
      <c r="E308">
        <v>7.8</v>
      </c>
      <c r="G308" t="s">
        <v>76</v>
      </c>
      <c r="H308" t="s">
        <v>110</v>
      </c>
      <c r="I308" t="s">
        <v>50</v>
      </c>
      <c r="J308">
        <v>3.5</v>
      </c>
      <c r="L308" t="s">
        <v>51</v>
      </c>
      <c r="M308" t="s">
        <v>45</v>
      </c>
      <c r="N308" t="s">
        <v>43</v>
      </c>
      <c r="O308">
        <v>3.5</v>
      </c>
      <c r="P308">
        <v>10</v>
      </c>
      <c r="Q308" t="s">
        <v>56</v>
      </c>
      <c r="R308" t="s">
        <v>42</v>
      </c>
      <c r="S308" t="b">
        <v>1</v>
      </c>
      <c r="T308" t="b">
        <v>0</v>
      </c>
      <c r="U308" t="b">
        <v>1</v>
      </c>
      <c r="V308" t="b">
        <v>0</v>
      </c>
      <c r="W308" t="b">
        <v>0</v>
      </c>
      <c r="X308">
        <v>1.5</v>
      </c>
      <c r="Y308">
        <v>5.5</v>
      </c>
      <c r="Z308">
        <v>4</v>
      </c>
      <c r="AA308">
        <v>7.5</v>
      </c>
      <c r="AB308" s="3">
        <v>58.16</v>
      </c>
      <c r="AC308" s="3"/>
      <c r="AD308">
        <v>1</v>
      </c>
      <c r="AE308" t="s">
        <v>58</v>
      </c>
      <c r="AF308" s="4"/>
    </row>
    <row r="309" spans="1:32" x14ac:dyDescent="0.3">
      <c r="A309" t="s">
        <v>400</v>
      </c>
      <c r="B309">
        <v>19</v>
      </c>
      <c r="C309" t="str">
        <f t="shared" si="4"/>
        <v>Teenager</v>
      </c>
      <c r="D309" t="s">
        <v>28</v>
      </c>
      <c r="E309">
        <v>8.1999999999999993</v>
      </c>
      <c r="G309" t="s">
        <v>54</v>
      </c>
      <c r="H309" t="s">
        <v>98</v>
      </c>
      <c r="I309" t="s">
        <v>86</v>
      </c>
      <c r="J309">
        <v>4.4000000000000004</v>
      </c>
      <c r="L309" t="s">
        <v>78</v>
      </c>
      <c r="M309" t="s">
        <v>74</v>
      </c>
      <c r="N309" t="s">
        <v>62</v>
      </c>
      <c r="O309">
        <v>3.66</v>
      </c>
      <c r="P309">
        <v>6</v>
      </c>
      <c r="Q309" t="s">
        <v>44</v>
      </c>
      <c r="R309" t="s">
        <v>36</v>
      </c>
      <c r="S309" t="b">
        <v>1</v>
      </c>
      <c r="T309" t="b">
        <v>1</v>
      </c>
      <c r="U309" t="b">
        <v>1</v>
      </c>
      <c r="V309" t="b">
        <v>1</v>
      </c>
      <c r="W309" t="b">
        <v>1</v>
      </c>
      <c r="X309">
        <v>3.2</v>
      </c>
      <c r="Y309">
        <v>5.0999999999999996</v>
      </c>
      <c r="Z309">
        <v>5</v>
      </c>
      <c r="AA309">
        <v>7.8</v>
      </c>
      <c r="AB309" s="3">
        <v>54.27</v>
      </c>
      <c r="AC309" s="3"/>
      <c r="AD309">
        <v>6</v>
      </c>
      <c r="AE309" t="s">
        <v>37</v>
      </c>
      <c r="AF309" s="4"/>
    </row>
    <row r="310" spans="1:32" x14ac:dyDescent="0.3">
      <c r="A310" t="s">
        <v>401</v>
      </c>
      <c r="B310">
        <v>25</v>
      </c>
      <c r="C310" t="str">
        <f t="shared" si="4"/>
        <v>Young Adults</v>
      </c>
      <c r="D310" t="s">
        <v>53</v>
      </c>
      <c r="E310">
        <v>6.6</v>
      </c>
      <c r="G310" t="s">
        <v>29</v>
      </c>
      <c r="H310" t="s">
        <v>104</v>
      </c>
      <c r="I310" t="s">
        <v>50</v>
      </c>
      <c r="J310">
        <v>5.3</v>
      </c>
      <c r="L310" t="s">
        <v>51</v>
      </c>
      <c r="M310" t="s">
        <v>45</v>
      </c>
      <c r="N310" t="s">
        <v>51</v>
      </c>
      <c r="P310">
        <v>9</v>
      </c>
      <c r="Q310" t="s">
        <v>80</v>
      </c>
      <c r="R310" t="s">
        <v>42</v>
      </c>
      <c r="S310" t="b">
        <v>1</v>
      </c>
      <c r="T310" t="b">
        <v>1</v>
      </c>
      <c r="U310" t="b">
        <v>0</v>
      </c>
      <c r="V310" t="b">
        <v>0</v>
      </c>
      <c r="W310" t="b">
        <v>1</v>
      </c>
      <c r="X310">
        <v>2.9</v>
      </c>
      <c r="Y310">
        <v>6.4</v>
      </c>
      <c r="Z310">
        <v>4</v>
      </c>
      <c r="AA310">
        <v>9.1999999999999993</v>
      </c>
      <c r="AB310" s="3">
        <v>33.83</v>
      </c>
      <c r="AC310" s="3"/>
      <c r="AD310">
        <v>2</v>
      </c>
      <c r="AE310" t="s">
        <v>58</v>
      </c>
      <c r="AF310" s="4"/>
    </row>
    <row r="311" spans="1:32" x14ac:dyDescent="0.3">
      <c r="A311" t="s">
        <v>402</v>
      </c>
      <c r="B311">
        <v>16</v>
      </c>
      <c r="C311" t="str">
        <f t="shared" si="4"/>
        <v>Teenager</v>
      </c>
      <c r="D311" t="s">
        <v>28</v>
      </c>
      <c r="E311">
        <v>1.9</v>
      </c>
      <c r="G311" t="s">
        <v>29</v>
      </c>
      <c r="H311" t="s">
        <v>118</v>
      </c>
      <c r="I311" t="s">
        <v>71</v>
      </c>
      <c r="J311">
        <v>7.2</v>
      </c>
      <c r="L311" t="s">
        <v>41</v>
      </c>
      <c r="M311" t="s">
        <v>74</v>
      </c>
      <c r="N311" t="s">
        <v>43</v>
      </c>
      <c r="O311">
        <v>3.14</v>
      </c>
      <c r="Q311" t="s">
        <v>66</v>
      </c>
      <c r="R311" t="s">
        <v>33</v>
      </c>
      <c r="S311" t="b">
        <v>0</v>
      </c>
      <c r="T311" t="b">
        <v>0</v>
      </c>
      <c r="U311" t="b">
        <v>0</v>
      </c>
      <c r="V311" t="b">
        <v>0</v>
      </c>
      <c r="W311" t="b">
        <v>0</v>
      </c>
      <c r="X311">
        <v>0.4</v>
      </c>
      <c r="Y311">
        <v>8.1999999999999993</v>
      </c>
      <c r="Z311">
        <v>1</v>
      </c>
      <c r="AA311">
        <v>12.6</v>
      </c>
      <c r="AB311" s="3">
        <v>17.48</v>
      </c>
      <c r="AC311" s="3"/>
      <c r="AD311">
        <v>3</v>
      </c>
      <c r="AE311" t="s">
        <v>46</v>
      </c>
      <c r="AF311" s="4"/>
    </row>
    <row r="312" spans="1:32" x14ac:dyDescent="0.3">
      <c r="A312" t="s">
        <v>403</v>
      </c>
      <c r="B312">
        <v>19</v>
      </c>
      <c r="C312" t="str">
        <f t="shared" si="4"/>
        <v>Teenager</v>
      </c>
      <c r="D312" t="s">
        <v>53</v>
      </c>
      <c r="E312">
        <v>4.8</v>
      </c>
      <c r="G312" t="s">
        <v>76</v>
      </c>
      <c r="H312" t="s">
        <v>110</v>
      </c>
      <c r="I312" t="s">
        <v>31</v>
      </c>
      <c r="J312">
        <v>6.5</v>
      </c>
      <c r="L312" t="s">
        <v>32</v>
      </c>
      <c r="M312" t="s">
        <v>36</v>
      </c>
      <c r="N312" t="s">
        <v>43</v>
      </c>
      <c r="O312">
        <v>2.02</v>
      </c>
      <c r="P312">
        <v>3</v>
      </c>
      <c r="Q312" t="s">
        <v>69</v>
      </c>
      <c r="R312" t="s">
        <v>36</v>
      </c>
      <c r="S312" t="b">
        <v>0</v>
      </c>
      <c r="T312" t="b">
        <v>0</v>
      </c>
      <c r="U312" t="b">
        <v>0</v>
      </c>
      <c r="V312" t="b">
        <v>1</v>
      </c>
      <c r="W312" t="b">
        <v>0</v>
      </c>
      <c r="X312">
        <v>2</v>
      </c>
      <c r="Y312">
        <v>7.9</v>
      </c>
      <c r="Z312">
        <v>4</v>
      </c>
      <c r="AA312">
        <v>7</v>
      </c>
      <c r="AB312" s="3">
        <v>111.95</v>
      </c>
      <c r="AC312" s="3"/>
      <c r="AD312">
        <v>5</v>
      </c>
      <c r="AE312" t="s">
        <v>46</v>
      </c>
      <c r="AF312" s="4"/>
    </row>
    <row r="313" spans="1:32" x14ac:dyDescent="0.3">
      <c r="A313" t="s">
        <v>404</v>
      </c>
      <c r="B313">
        <v>19</v>
      </c>
      <c r="C313" t="str">
        <f t="shared" si="4"/>
        <v>Teenager</v>
      </c>
      <c r="D313" t="s">
        <v>28</v>
      </c>
      <c r="E313">
        <v>7.1</v>
      </c>
      <c r="G313" t="s">
        <v>39</v>
      </c>
      <c r="H313" t="s">
        <v>40</v>
      </c>
      <c r="I313" t="s">
        <v>31</v>
      </c>
      <c r="J313">
        <v>3.3</v>
      </c>
      <c r="L313" t="s">
        <v>41</v>
      </c>
      <c r="M313" t="s">
        <v>42</v>
      </c>
      <c r="N313" t="s">
        <v>129</v>
      </c>
      <c r="O313">
        <v>3.78</v>
      </c>
      <c r="P313">
        <v>4</v>
      </c>
      <c r="Q313" t="s">
        <v>44</v>
      </c>
      <c r="R313" t="s">
        <v>42</v>
      </c>
      <c r="S313" t="b">
        <v>1</v>
      </c>
      <c r="T313" t="b">
        <v>0</v>
      </c>
      <c r="U313" t="b">
        <v>0</v>
      </c>
      <c r="V313" t="b">
        <v>1</v>
      </c>
      <c r="W313" t="b">
        <v>0</v>
      </c>
      <c r="X313">
        <v>1.8</v>
      </c>
      <c r="Y313">
        <v>5.7</v>
      </c>
      <c r="Z313">
        <v>3</v>
      </c>
      <c r="AA313">
        <v>6.6</v>
      </c>
      <c r="AB313" s="3">
        <v>117.05</v>
      </c>
      <c r="AC313" s="3"/>
      <c r="AD313">
        <v>6</v>
      </c>
      <c r="AE313" t="s">
        <v>64</v>
      </c>
      <c r="AF313" s="4"/>
    </row>
    <row r="314" spans="1:32" x14ac:dyDescent="0.3">
      <c r="A314" t="s">
        <v>405</v>
      </c>
      <c r="B314">
        <v>19</v>
      </c>
      <c r="C314" t="str">
        <f t="shared" si="4"/>
        <v>Teenager</v>
      </c>
      <c r="D314" t="s">
        <v>53</v>
      </c>
      <c r="E314">
        <v>2.2999999999999998</v>
      </c>
      <c r="G314" t="s">
        <v>76</v>
      </c>
      <c r="H314" t="s">
        <v>77</v>
      </c>
      <c r="I314" t="s">
        <v>86</v>
      </c>
      <c r="J314">
        <v>8.3000000000000007</v>
      </c>
      <c r="L314" t="s">
        <v>32</v>
      </c>
      <c r="M314" t="s">
        <v>42</v>
      </c>
      <c r="N314" t="s">
        <v>34</v>
      </c>
      <c r="O314">
        <v>1.48</v>
      </c>
      <c r="P314">
        <v>7</v>
      </c>
      <c r="Q314" t="s">
        <v>44</v>
      </c>
      <c r="R314" t="s">
        <v>33</v>
      </c>
      <c r="S314" t="b">
        <v>0</v>
      </c>
      <c r="T314" t="b">
        <v>0</v>
      </c>
      <c r="U314" t="b">
        <v>0</v>
      </c>
      <c r="V314" t="b">
        <v>0</v>
      </c>
      <c r="W314" t="b">
        <v>0</v>
      </c>
      <c r="X314">
        <v>0.1</v>
      </c>
      <c r="Y314">
        <v>9.6999999999999993</v>
      </c>
      <c r="Z314">
        <v>1</v>
      </c>
      <c r="AA314">
        <v>11.5</v>
      </c>
      <c r="AB314" s="3">
        <v>13.66</v>
      </c>
      <c r="AC314" s="3"/>
      <c r="AD314">
        <v>9</v>
      </c>
      <c r="AE314" t="s">
        <v>46</v>
      </c>
      <c r="AF314" s="4"/>
    </row>
    <row r="315" spans="1:32" x14ac:dyDescent="0.3">
      <c r="A315" t="s">
        <v>406</v>
      </c>
      <c r="B315">
        <v>30</v>
      </c>
      <c r="C315" t="str">
        <f t="shared" si="4"/>
        <v>Young Adults</v>
      </c>
      <c r="D315" t="s">
        <v>28</v>
      </c>
      <c r="E315">
        <v>3.5</v>
      </c>
      <c r="G315" t="s">
        <v>76</v>
      </c>
      <c r="H315" t="s">
        <v>126</v>
      </c>
      <c r="I315" t="s">
        <v>31</v>
      </c>
      <c r="J315">
        <v>5.0999999999999996</v>
      </c>
      <c r="L315" t="s">
        <v>41</v>
      </c>
      <c r="M315" t="s">
        <v>33</v>
      </c>
      <c r="N315" t="s">
        <v>62</v>
      </c>
      <c r="P315">
        <v>3</v>
      </c>
      <c r="Q315" t="s">
        <v>66</v>
      </c>
      <c r="R315" t="s">
        <v>57</v>
      </c>
      <c r="S315" t="b">
        <v>0</v>
      </c>
      <c r="T315" t="b">
        <v>0</v>
      </c>
      <c r="U315" t="b">
        <v>0</v>
      </c>
      <c r="V315" t="b">
        <v>0</v>
      </c>
      <c r="W315" t="b">
        <v>0</v>
      </c>
      <c r="X315">
        <v>0.4</v>
      </c>
      <c r="Y315">
        <v>6.2</v>
      </c>
      <c r="Z315">
        <v>3</v>
      </c>
      <c r="AA315">
        <v>8.6</v>
      </c>
      <c r="AB315" s="3">
        <v>45.36</v>
      </c>
      <c r="AC315" s="3"/>
      <c r="AD315">
        <v>4</v>
      </c>
      <c r="AE315" t="s">
        <v>46</v>
      </c>
      <c r="AF315" s="4"/>
    </row>
    <row r="316" spans="1:32" x14ac:dyDescent="0.3">
      <c r="A316" t="s">
        <v>407</v>
      </c>
      <c r="B316">
        <v>19</v>
      </c>
      <c r="C316" t="str">
        <f t="shared" si="4"/>
        <v>Teenager</v>
      </c>
      <c r="D316" t="s">
        <v>28</v>
      </c>
      <c r="E316">
        <v>6.2</v>
      </c>
      <c r="G316" t="s">
        <v>82</v>
      </c>
      <c r="H316" t="s">
        <v>134</v>
      </c>
      <c r="I316" t="s">
        <v>86</v>
      </c>
      <c r="J316">
        <v>6.4</v>
      </c>
      <c r="L316" t="s">
        <v>51</v>
      </c>
      <c r="M316" t="s">
        <v>45</v>
      </c>
      <c r="N316" t="s">
        <v>34</v>
      </c>
      <c r="O316">
        <v>1.77</v>
      </c>
      <c r="P316">
        <v>1</v>
      </c>
      <c r="Q316" t="s">
        <v>35</v>
      </c>
      <c r="R316" t="s">
        <v>42</v>
      </c>
      <c r="S316" t="b">
        <v>0</v>
      </c>
      <c r="T316" t="b">
        <v>0</v>
      </c>
      <c r="U316" t="b">
        <v>0</v>
      </c>
      <c r="V316" t="b">
        <v>0</v>
      </c>
      <c r="W316" t="b">
        <v>1</v>
      </c>
      <c r="X316">
        <v>2.4</v>
      </c>
      <c r="Y316">
        <v>8.4</v>
      </c>
      <c r="Z316">
        <v>3</v>
      </c>
      <c r="AA316">
        <v>9.4</v>
      </c>
      <c r="AB316" s="3">
        <v>36.33</v>
      </c>
      <c r="AC316" s="3"/>
      <c r="AD316">
        <v>3</v>
      </c>
      <c r="AE316" t="s">
        <v>46</v>
      </c>
      <c r="AF316" s="4"/>
    </row>
    <row r="317" spans="1:32" x14ac:dyDescent="0.3">
      <c r="A317" t="s">
        <v>408</v>
      </c>
      <c r="B317">
        <v>15</v>
      </c>
      <c r="C317" t="str">
        <f t="shared" si="4"/>
        <v>Teenager</v>
      </c>
      <c r="D317" t="s">
        <v>53</v>
      </c>
      <c r="E317">
        <v>6.8</v>
      </c>
      <c r="G317" t="s">
        <v>39</v>
      </c>
      <c r="H317" t="s">
        <v>40</v>
      </c>
      <c r="I317" t="s">
        <v>31</v>
      </c>
      <c r="J317">
        <v>5.3</v>
      </c>
      <c r="L317" t="s">
        <v>43</v>
      </c>
      <c r="M317" t="s">
        <v>33</v>
      </c>
      <c r="N317" t="s">
        <v>34</v>
      </c>
      <c r="O317">
        <v>3.27</v>
      </c>
      <c r="Q317" t="s">
        <v>35</v>
      </c>
      <c r="R317" t="s">
        <v>36</v>
      </c>
      <c r="S317" t="b">
        <v>0</v>
      </c>
      <c r="T317" t="b">
        <v>0</v>
      </c>
      <c r="U317" t="b">
        <v>0</v>
      </c>
      <c r="V317" t="b">
        <v>0</v>
      </c>
      <c r="W317" t="b">
        <v>1</v>
      </c>
      <c r="X317">
        <v>1.7</v>
      </c>
      <c r="Y317">
        <v>6.6</v>
      </c>
      <c r="Z317">
        <v>3</v>
      </c>
      <c r="AA317">
        <v>6.1</v>
      </c>
      <c r="AB317" s="3">
        <v>125.63</v>
      </c>
      <c r="AC317" s="3"/>
      <c r="AD317">
        <v>5</v>
      </c>
      <c r="AE317" t="s">
        <v>46</v>
      </c>
      <c r="AF317" s="4"/>
    </row>
    <row r="318" spans="1:32" x14ac:dyDescent="0.3">
      <c r="A318" t="s">
        <v>409</v>
      </c>
      <c r="B318">
        <v>18</v>
      </c>
      <c r="C318" t="str">
        <f t="shared" si="4"/>
        <v>Teenager</v>
      </c>
      <c r="D318" t="s">
        <v>28</v>
      </c>
      <c r="E318">
        <v>3.8</v>
      </c>
      <c r="G318" t="s">
        <v>54</v>
      </c>
      <c r="H318" t="s">
        <v>89</v>
      </c>
      <c r="I318" t="s">
        <v>31</v>
      </c>
      <c r="J318">
        <v>5.2</v>
      </c>
      <c r="L318" t="s">
        <v>41</v>
      </c>
      <c r="M318" t="s">
        <v>74</v>
      </c>
      <c r="N318" t="s">
        <v>43</v>
      </c>
      <c r="O318">
        <v>3.74</v>
      </c>
      <c r="Q318" t="s">
        <v>35</v>
      </c>
      <c r="R318" t="s">
        <v>42</v>
      </c>
      <c r="S318" t="b">
        <v>0</v>
      </c>
      <c r="T318" t="b">
        <v>0</v>
      </c>
      <c r="U318" t="b">
        <v>0</v>
      </c>
      <c r="V318" t="b">
        <v>0</v>
      </c>
      <c r="W318" t="b">
        <v>0</v>
      </c>
      <c r="X318">
        <v>0.9</v>
      </c>
      <c r="Y318">
        <v>9.4</v>
      </c>
      <c r="Z318">
        <v>2</v>
      </c>
      <c r="AA318">
        <v>13</v>
      </c>
      <c r="AB318" s="3">
        <v>3.71</v>
      </c>
      <c r="AC318" s="3"/>
      <c r="AD318">
        <v>8</v>
      </c>
      <c r="AE318" t="s">
        <v>46</v>
      </c>
      <c r="AF318" s="4"/>
    </row>
    <row r="319" spans="1:32" x14ac:dyDescent="0.3">
      <c r="A319" t="s">
        <v>410</v>
      </c>
      <c r="B319">
        <v>21</v>
      </c>
      <c r="C319" t="str">
        <f t="shared" si="4"/>
        <v>Young Adults</v>
      </c>
      <c r="D319" t="s">
        <v>28</v>
      </c>
      <c r="E319">
        <v>5.3</v>
      </c>
      <c r="G319" t="s">
        <v>29</v>
      </c>
      <c r="H319" t="s">
        <v>30</v>
      </c>
      <c r="I319" t="s">
        <v>50</v>
      </c>
      <c r="J319">
        <v>6.2</v>
      </c>
      <c r="L319" t="s">
        <v>32</v>
      </c>
      <c r="M319" t="s">
        <v>42</v>
      </c>
      <c r="N319" t="s">
        <v>62</v>
      </c>
      <c r="O319">
        <v>2.2400000000000002</v>
      </c>
      <c r="P319">
        <v>2</v>
      </c>
      <c r="Q319" t="s">
        <v>80</v>
      </c>
      <c r="R319" t="s">
        <v>57</v>
      </c>
      <c r="S319" t="b">
        <v>0</v>
      </c>
      <c r="T319" t="b">
        <v>0</v>
      </c>
      <c r="U319" t="b">
        <v>0</v>
      </c>
      <c r="V319" t="b">
        <v>1</v>
      </c>
      <c r="W319" t="b">
        <v>0</v>
      </c>
      <c r="X319">
        <v>1.4</v>
      </c>
      <c r="Y319">
        <v>7.9</v>
      </c>
      <c r="Z319">
        <v>3</v>
      </c>
      <c r="AA319">
        <v>8.1999999999999993</v>
      </c>
      <c r="AB319" s="3">
        <v>11.59</v>
      </c>
      <c r="AC319" s="3"/>
      <c r="AD319">
        <v>11</v>
      </c>
      <c r="AE319" t="s">
        <v>46</v>
      </c>
      <c r="AF319" s="4"/>
    </row>
    <row r="320" spans="1:32" x14ac:dyDescent="0.3">
      <c r="A320" t="s">
        <v>411</v>
      </c>
      <c r="B320">
        <v>23</v>
      </c>
      <c r="C320" t="str">
        <f t="shared" si="4"/>
        <v>Young Adults</v>
      </c>
      <c r="D320" t="s">
        <v>28</v>
      </c>
      <c r="E320">
        <v>9.4</v>
      </c>
      <c r="G320" t="s">
        <v>60</v>
      </c>
      <c r="H320" t="s">
        <v>200</v>
      </c>
      <c r="I320" t="s">
        <v>31</v>
      </c>
      <c r="J320">
        <v>3.5</v>
      </c>
      <c r="L320" t="s">
        <v>41</v>
      </c>
      <c r="M320" t="s">
        <v>45</v>
      </c>
      <c r="N320" t="s">
        <v>51</v>
      </c>
      <c r="P320">
        <v>6</v>
      </c>
      <c r="Q320" t="s">
        <v>66</v>
      </c>
      <c r="R320" t="s">
        <v>42</v>
      </c>
      <c r="S320" t="b">
        <v>0</v>
      </c>
      <c r="T320" t="b">
        <v>1</v>
      </c>
      <c r="U320" t="b">
        <v>1</v>
      </c>
      <c r="V320" t="b">
        <v>1</v>
      </c>
      <c r="W320" t="b">
        <v>0</v>
      </c>
      <c r="X320">
        <v>4.0999999999999996</v>
      </c>
      <c r="Y320">
        <v>6.7</v>
      </c>
      <c r="Z320">
        <v>6</v>
      </c>
      <c r="AA320">
        <v>3.1</v>
      </c>
      <c r="AB320" s="3">
        <v>230.02</v>
      </c>
      <c r="AC320" s="3"/>
      <c r="AD320">
        <v>4</v>
      </c>
      <c r="AE320" t="s">
        <v>37</v>
      </c>
      <c r="AF320" s="4"/>
    </row>
    <row r="321" spans="1:32" x14ac:dyDescent="0.3">
      <c r="A321" t="s">
        <v>412</v>
      </c>
      <c r="B321">
        <v>30</v>
      </c>
      <c r="C321" t="str">
        <f t="shared" si="4"/>
        <v>Young Adults</v>
      </c>
      <c r="D321" t="s">
        <v>28</v>
      </c>
      <c r="E321">
        <v>8.3000000000000007</v>
      </c>
      <c r="G321" t="s">
        <v>39</v>
      </c>
      <c r="H321" t="s">
        <v>40</v>
      </c>
      <c r="I321" t="s">
        <v>31</v>
      </c>
      <c r="J321">
        <v>3.4</v>
      </c>
      <c r="L321" t="s">
        <v>32</v>
      </c>
      <c r="M321" t="s">
        <v>33</v>
      </c>
      <c r="N321" t="s">
        <v>62</v>
      </c>
      <c r="P321">
        <v>1</v>
      </c>
      <c r="Q321" t="s">
        <v>63</v>
      </c>
      <c r="R321" t="s">
        <v>57</v>
      </c>
      <c r="S321" t="b">
        <v>0</v>
      </c>
      <c r="T321" t="b">
        <v>1</v>
      </c>
      <c r="U321" t="b">
        <v>0</v>
      </c>
      <c r="V321" t="b">
        <v>1</v>
      </c>
      <c r="W321" t="b">
        <v>0</v>
      </c>
      <c r="X321">
        <v>1.6</v>
      </c>
      <c r="Y321">
        <v>7</v>
      </c>
      <c r="Z321">
        <v>6</v>
      </c>
      <c r="AA321">
        <v>3.1</v>
      </c>
      <c r="AB321" s="3">
        <v>28.19</v>
      </c>
      <c r="AC321" s="3"/>
      <c r="AD321">
        <v>1</v>
      </c>
      <c r="AE321" t="s">
        <v>64</v>
      </c>
      <c r="AF321" s="4"/>
    </row>
    <row r="322" spans="1:32" x14ac:dyDescent="0.3">
      <c r="A322" t="s">
        <v>413</v>
      </c>
      <c r="B322">
        <v>13</v>
      </c>
      <c r="C322" t="str">
        <f t="shared" si="4"/>
        <v>Teenager</v>
      </c>
      <c r="D322" t="s">
        <v>28</v>
      </c>
      <c r="E322">
        <v>9.4</v>
      </c>
      <c r="G322" t="s">
        <v>29</v>
      </c>
      <c r="H322" t="s">
        <v>104</v>
      </c>
      <c r="I322" t="s">
        <v>31</v>
      </c>
      <c r="J322">
        <v>5.3</v>
      </c>
      <c r="L322" t="s">
        <v>51</v>
      </c>
      <c r="M322" t="s">
        <v>33</v>
      </c>
      <c r="N322" t="s">
        <v>62</v>
      </c>
      <c r="O322">
        <v>3.66</v>
      </c>
      <c r="Q322" t="s">
        <v>105</v>
      </c>
      <c r="R322" t="s">
        <v>33</v>
      </c>
      <c r="S322" t="b">
        <v>1</v>
      </c>
      <c r="T322" t="b">
        <v>1</v>
      </c>
      <c r="U322" t="b">
        <v>0</v>
      </c>
      <c r="V322" t="b">
        <v>1</v>
      </c>
      <c r="W322" t="b">
        <v>1</v>
      </c>
      <c r="X322">
        <v>0.8</v>
      </c>
      <c r="Y322">
        <v>5.7</v>
      </c>
      <c r="Z322">
        <v>7</v>
      </c>
      <c r="AA322">
        <v>3.6</v>
      </c>
      <c r="AB322" s="3">
        <v>209.9</v>
      </c>
      <c r="AC322" s="3"/>
      <c r="AD322">
        <v>1</v>
      </c>
      <c r="AE322" t="s">
        <v>37</v>
      </c>
      <c r="AF322" s="4"/>
    </row>
    <row r="323" spans="1:32" x14ac:dyDescent="0.3">
      <c r="A323" t="s">
        <v>414</v>
      </c>
      <c r="B323">
        <v>20</v>
      </c>
      <c r="C323" t="str">
        <f t="shared" ref="C323:C386" si="5">IF(B323&lt;=19,"Teenager",IF(B323&lt;=30,"Young Adults",IF(B323&gt;30,"Old Adults")))</f>
        <v>Young Adults</v>
      </c>
      <c r="D323" t="s">
        <v>53</v>
      </c>
      <c r="E323">
        <v>5.2</v>
      </c>
      <c r="G323" t="s">
        <v>48</v>
      </c>
      <c r="H323" t="s">
        <v>128</v>
      </c>
      <c r="I323" t="s">
        <v>50</v>
      </c>
      <c r="J323">
        <v>5.3</v>
      </c>
      <c r="L323" t="s">
        <v>43</v>
      </c>
      <c r="M323" t="s">
        <v>45</v>
      </c>
      <c r="N323" t="s">
        <v>34</v>
      </c>
      <c r="O323">
        <v>2.76</v>
      </c>
      <c r="P323">
        <v>7</v>
      </c>
      <c r="Q323" t="s">
        <v>66</v>
      </c>
      <c r="R323" t="s">
        <v>33</v>
      </c>
      <c r="S323" t="b">
        <v>0</v>
      </c>
      <c r="T323" t="b">
        <v>0</v>
      </c>
      <c r="U323" t="b">
        <v>0</v>
      </c>
      <c r="V323" t="b">
        <v>0</v>
      </c>
      <c r="W323" t="b">
        <v>0</v>
      </c>
      <c r="X323">
        <v>1.2</v>
      </c>
      <c r="Y323">
        <v>7.2</v>
      </c>
      <c r="Z323">
        <v>4</v>
      </c>
      <c r="AA323">
        <v>6.5</v>
      </c>
      <c r="AB323" s="3">
        <v>38.79</v>
      </c>
      <c r="AC323" s="3"/>
      <c r="AD323">
        <v>2</v>
      </c>
      <c r="AE323" t="s">
        <v>46</v>
      </c>
      <c r="AF323" s="4"/>
    </row>
    <row r="324" spans="1:32" x14ac:dyDescent="0.3">
      <c r="A324" t="s">
        <v>415</v>
      </c>
      <c r="B324">
        <v>16</v>
      </c>
      <c r="C324" t="str">
        <f t="shared" si="5"/>
        <v>Teenager</v>
      </c>
      <c r="D324" t="s">
        <v>28</v>
      </c>
      <c r="E324">
        <v>8.3000000000000007</v>
      </c>
      <c r="G324" t="s">
        <v>54</v>
      </c>
      <c r="H324" t="s">
        <v>89</v>
      </c>
      <c r="I324" t="s">
        <v>50</v>
      </c>
      <c r="J324">
        <v>5.4</v>
      </c>
      <c r="L324" t="s">
        <v>51</v>
      </c>
      <c r="M324" t="s">
        <v>36</v>
      </c>
      <c r="N324" t="s">
        <v>51</v>
      </c>
      <c r="O324">
        <v>1.8</v>
      </c>
      <c r="Q324" t="s">
        <v>69</v>
      </c>
      <c r="R324" t="s">
        <v>36</v>
      </c>
      <c r="S324" t="b">
        <v>1</v>
      </c>
      <c r="T324" t="b">
        <v>1</v>
      </c>
      <c r="U324" t="b">
        <v>1</v>
      </c>
      <c r="V324" t="b">
        <v>1</v>
      </c>
      <c r="W324" t="b">
        <v>1</v>
      </c>
      <c r="X324">
        <v>3.1</v>
      </c>
      <c r="Y324">
        <v>6.9</v>
      </c>
      <c r="Z324">
        <v>3</v>
      </c>
      <c r="AA324">
        <v>8.1</v>
      </c>
      <c r="AB324" s="3">
        <v>15.74</v>
      </c>
      <c r="AC324" s="3"/>
      <c r="AD324">
        <v>4</v>
      </c>
      <c r="AE324" t="s">
        <v>37</v>
      </c>
      <c r="AF324" s="4"/>
    </row>
    <row r="325" spans="1:32" x14ac:dyDescent="0.3">
      <c r="A325" t="s">
        <v>416</v>
      </c>
      <c r="B325">
        <v>30</v>
      </c>
      <c r="C325" t="str">
        <f t="shared" si="5"/>
        <v>Young Adults</v>
      </c>
      <c r="D325" t="s">
        <v>28</v>
      </c>
      <c r="E325">
        <v>4.4000000000000004</v>
      </c>
      <c r="G325" t="s">
        <v>82</v>
      </c>
      <c r="H325" t="s">
        <v>167</v>
      </c>
      <c r="I325" t="s">
        <v>50</v>
      </c>
      <c r="J325">
        <v>6.3</v>
      </c>
      <c r="L325" t="s">
        <v>43</v>
      </c>
      <c r="M325" t="s">
        <v>33</v>
      </c>
      <c r="N325" t="s">
        <v>62</v>
      </c>
      <c r="P325">
        <v>2</v>
      </c>
      <c r="Q325" t="s">
        <v>35</v>
      </c>
      <c r="R325" t="s">
        <v>42</v>
      </c>
      <c r="S325" t="b">
        <v>0</v>
      </c>
      <c r="T325" t="b">
        <v>0</v>
      </c>
      <c r="U325" t="b">
        <v>0</v>
      </c>
      <c r="V325" t="b">
        <v>0</v>
      </c>
      <c r="W325" t="b">
        <v>0</v>
      </c>
      <c r="X325">
        <v>1.6</v>
      </c>
      <c r="Y325">
        <v>7.5</v>
      </c>
      <c r="Z325">
        <v>2</v>
      </c>
      <c r="AA325">
        <v>10.4</v>
      </c>
      <c r="AB325" s="3">
        <v>38.229999999999997</v>
      </c>
      <c r="AC325" s="3"/>
      <c r="AD325">
        <v>11</v>
      </c>
      <c r="AE325" t="s">
        <v>46</v>
      </c>
      <c r="AF325" s="4"/>
    </row>
    <row r="326" spans="1:32" x14ac:dyDescent="0.3">
      <c r="A326" t="s">
        <v>417</v>
      </c>
      <c r="B326">
        <v>20</v>
      </c>
      <c r="C326" t="str">
        <f t="shared" si="5"/>
        <v>Young Adults</v>
      </c>
      <c r="D326" t="s">
        <v>28</v>
      </c>
      <c r="E326">
        <v>10.3</v>
      </c>
      <c r="G326" t="s">
        <v>76</v>
      </c>
      <c r="H326" t="s">
        <v>77</v>
      </c>
      <c r="I326" t="s">
        <v>86</v>
      </c>
      <c r="J326">
        <v>5</v>
      </c>
      <c r="L326" t="s">
        <v>51</v>
      </c>
      <c r="M326" t="s">
        <v>36</v>
      </c>
      <c r="N326" t="s">
        <v>51</v>
      </c>
      <c r="O326">
        <v>1.1200000000000001</v>
      </c>
      <c r="P326">
        <v>4</v>
      </c>
      <c r="Q326" t="s">
        <v>35</v>
      </c>
      <c r="R326" t="s">
        <v>42</v>
      </c>
      <c r="S326" t="b">
        <v>1</v>
      </c>
      <c r="T326" t="b">
        <v>1</v>
      </c>
      <c r="U326" t="b">
        <v>0</v>
      </c>
      <c r="V326" t="b">
        <v>0</v>
      </c>
      <c r="W326" t="b">
        <v>1</v>
      </c>
      <c r="X326">
        <v>1.9</v>
      </c>
      <c r="Y326">
        <v>4.2</v>
      </c>
      <c r="Z326">
        <v>6</v>
      </c>
      <c r="AA326">
        <v>4.5</v>
      </c>
      <c r="AB326" s="3">
        <v>420.51</v>
      </c>
      <c r="AC326" s="3"/>
      <c r="AD326">
        <v>7</v>
      </c>
      <c r="AE326" t="s">
        <v>37</v>
      </c>
      <c r="AF326" s="4"/>
    </row>
    <row r="327" spans="1:32" x14ac:dyDescent="0.3">
      <c r="A327" t="s">
        <v>418</v>
      </c>
      <c r="B327">
        <v>20</v>
      </c>
      <c r="C327" t="str">
        <f t="shared" si="5"/>
        <v>Young Adults</v>
      </c>
      <c r="D327" t="s">
        <v>28</v>
      </c>
      <c r="E327">
        <v>9.8000000000000007</v>
      </c>
      <c r="G327" t="s">
        <v>54</v>
      </c>
      <c r="H327" t="s">
        <v>89</v>
      </c>
      <c r="I327" t="s">
        <v>31</v>
      </c>
      <c r="J327">
        <v>3.6</v>
      </c>
      <c r="L327" t="s">
        <v>51</v>
      </c>
      <c r="M327" t="s">
        <v>36</v>
      </c>
      <c r="N327" t="s">
        <v>34</v>
      </c>
      <c r="O327">
        <v>3.74</v>
      </c>
      <c r="P327">
        <v>4</v>
      </c>
      <c r="Q327" t="s">
        <v>44</v>
      </c>
      <c r="R327" t="s">
        <v>42</v>
      </c>
      <c r="S327" t="b">
        <v>1</v>
      </c>
      <c r="T327" t="b">
        <v>1</v>
      </c>
      <c r="U327" t="b">
        <v>0</v>
      </c>
      <c r="V327" t="b">
        <v>0</v>
      </c>
      <c r="W327" t="b">
        <v>0</v>
      </c>
      <c r="X327">
        <v>0.6</v>
      </c>
      <c r="Y327">
        <v>3.6</v>
      </c>
      <c r="Z327">
        <v>8</v>
      </c>
      <c r="AA327">
        <v>2.9</v>
      </c>
      <c r="AB327" s="3">
        <v>362.82</v>
      </c>
      <c r="AC327" s="3"/>
      <c r="AD327">
        <v>7</v>
      </c>
      <c r="AE327" t="s">
        <v>37</v>
      </c>
      <c r="AF327" s="4"/>
    </row>
    <row r="328" spans="1:32" x14ac:dyDescent="0.3">
      <c r="A328" t="s">
        <v>419</v>
      </c>
      <c r="B328">
        <v>14</v>
      </c>
      <c r="C328" t="str">
        <f t="shared" si="5"/>
        <v>Teenager</v>
      </c>
      <c r="D328" t="s">
        <v>53</v>
      </c>
      <c r="E328">
        <v>12.2</v>
      </c>
      <c r="G328" t="s">
        <v>60</v>
      </c>
      <c r="H328" t="s">
        <v>102</v>
      </c>
      <c r="I328" t="s">
        <v>71</v>
      </c>
      <c r="J328">
        <v>4</v>
      </c>
      <c r="L328" t="s">
        <v>43</v>
      </c>
      <c r="M328" t="s">
        <v>33</v>
      </c>
      <c r="N328" t="s">
        <v>62</v>
      </c>
      <c r="O328">
        <v>3.98</v>
      </c>
      <c r="Q328" t="s">
        <v>105</v>
      </c>
      <c r="R328" t="s">
        <v>45</v>
      </c>
      <c r="S328" t="b">
        <v>1</v>
      </c>
      <c r="T328" t="b">
        <v>0</v>
      </c>
      <c r="U328" t="b">
        <v>0</v>
      </c>
      <c r="V328" t="b">
        <v>1</v>
      </c>
      <c r="W328" t="b">
        <v>1</v>
      </c>
      <c r="X328">
        <v>1.3</v>
      </c>
      <c r="Y328">
        <v>2.4</v>
      </c>
      <c r="Z328">
        <v>7</v>
      </c>
      <c r="AA328">
        <v>0</v>
      </c>
      <c r="AB328" s="3">
        <v>98.66</v>
      </c>
      <c r="AC328" s="3"/>
      <c r="AD328">
        <v>2</v>
      </c>
      <c r="AE328" t="s">
        <v>58</v>
      </c>
      <c r="AF328" s="4"/>
    </row>
    <row r="329" spans="1:32" x14ac:dyDescent="0.3">
      <c r="A329" t="s">
        <v>420</v>
      </c>
      <c r="B329">
        <v>25</v>
      </c>
      <c r="C329" t="str">
        <f t="shared" si="5"/>
        <v>Young Adults</v>
      </c>
      <c r="D329" t="s">
        <v>28</v>
      </c>
      <c r="E329">
        <v>0.5</v>
      </c>
      <c r="G329" t="s">
        <v>82</v>
      </c>
      <c r="H329" t="s">
        <v>167</v>
      </c>
      <c r="I329" t="s">
        <v>50</v>
      </c>
      <c r="J329">
        <v>7.7</v>
      </c>
      <c r="L329" t="s">
        <v>41</v>
      </c>
      <c r="M329" t="s">
        <v>74</v>
      </c>
      <c r="N329" t="s">
        <v>43</v>
      </c>
      <c r="P329">
        <v>1</v>
      </c>
      <c r="Q329" t="s">
        <v>66</v>
      </c>
      <c r="R329" t="s">
        <v>57</v>
      </c>
      <c r="S329" t="b">
        <v>0</v>
      </c>
      <c r="T329" t="b">
        <v>0</v>
      </c>
      <c r="U329" t="b">
        <v>0</v>
      </c>
      <c r="V329" t="b">
        <v>0</v>
      </c>
      <c r="W329" t="b">
        <v>0</v>
      </c>
      <c r="X329">
        <v>0.5</v>
      </c>
      <c r="Y329">
        <v>8</v>
      </c>
      <c r="Z329">
        <v>1</v>
      </c>
      <c r="AA329">
        <v>14.1</v>
      </c>
      <c r="AB329" s="3">
        <v>34.47</v>
      </c>
      <c r="AC329" s="3"/>
      <c r="AD329">
        <v>3</v>
      </c>
      <c r="AE329" t="s">
        <v>46</v>
      </c>
      <c r="AF329" s="4"/>
    </row>
    <row r="330" spans="1:32" x14ac:dyDescent="0.3">
      <c r="A330" t="s">
        <v>421</v>
      </c>
      <c r="B330">
        <v>20</v>
      </c>
      <c r="C330" t="str">
        <f t="shared" si="5"/>
        <v>Young Adults</v>
      </c>
      <c r="D330" t="s">
        <v>53</v>
      </c>
      <c r="E330">
        <v>5.5</v>
      </c>
      <c r="G330" t="s">
        <v>48</v>
      </c>
      <c r="H330" t="s">
        <v>68</v>
      </c>
      <c r="I330" t="s">
        <v>50</v>
      </c>
      <c r="J330">
        <v>6.3</v>
      </c>
      <c r="L330" t="s">
        <v>41</v>
      </c>
      <c r="M330" t="s">
        <v>33</v>
      </c>
      <c r="N330" t="s">
        <v>51</v>
      </c>
      <c r="O330">
        <v>3.78</v>
      </c>
      <c r="P330">
        <v>8</v>
      </c>
      <c r="Q330" t="s">
        <v>66</v>
      </c>
      <c r="R330" t="s">
        <v>45</v>
      </c>
      <c r="S330" t="b">
        <v>0</v>
      </c>
      <c r="T330" t="b">
        <v>0</v>
      </c>
      <c r="U330" t="b">
        <v>0</v>
      </c>
      <c r="V330" t="b">
        <v>1</v>
      </c>
      <c r="W330" t="b">
        <v>0</v>
      </c>
      <c r="X330">
        <v>2.5</v>
      </c>
      <c r="Y330">
        <v>7.3</v>
      </c>
      <c r="Z330">
        <v>3</v>
      </c>
      <c r="AA330">
        <v>6</v>
      </c>
      <c r="AB330" s="3">
        <v>88.16</v>
      </c>
      <c r="AC330" s="3"/>
      <c r="AD330">
        <v>1</v>
      </c>
      <c r="AE330" t="s">
        <v>46</v>
      </c>
      <c r="AF330" s="4"/>
    </row>
    <row r="331" spans="1:32" x14ac:dyDescent="0.3">
      <c r="A331" t="s">
        <v>422</v>
      </c>
      <c r="B331">
        <v>24</v>
      </c>
      <c r="C331" t="str">
        <f t="shared" si="5"/>
        <v>Young Adults</v>
      </c>
      <c r="D331" t="s">
        <v>28</v>
      </c>
      <c r="E331">
        <v>6.8</v>
      </c>
      <c r="G331" t="s">
        <v>60</v>
      </c>
      <c r="H331" t="s">
        <v>102</v>
      </c>
      <c r="I331" t="s">
        <v>86</v>
      </c>
      <c r="J331">
        <v>3.6</v>
      </c>
      <c r="L331" t="s">
        <v>78</v>
      </c>
      <c r="M331" t="s">
        <v>74</v>
      </c>
      <c r="N331" t="s">
        <v>62</v>
      </c>
      <c r="P331">
        <v>3</v>
      </c>
      <c r="Q331" t="s">
        <v>44</v>
      </c>
      <c r="R331" t="s">
        <v>33</v>
      </c>
      <c r="S331" t="b">
        <v>1</v>
      </c>
      <c r="T331" t="b">
        <v>1</v>
      </c>
      <c r="U331" t="b">
        <v>0</v>
      </c>
      <c r="V331" t="b">
        <v>0</v>
      </c>
      <c r="W331" t="b">
        <v>0</v>
      </c>
      <c r="X331">
        <v>2.1</v>
      </c>
      <c r="Y331">
        <v>4.9000000000000004</v>
      </c>
      <c r="Z331">
        <v>6</v>
      </c>
      <c r="AA331">
        <v>6.6</v>
      </c>
      <c r="AB331" s="3">
        <v>99.36</v>
      </c>
      <c r="AC331" s="3"/>
      <c r="AD331">
        <v>6</v>
      </c>
      <c r="AE331" t="s">
        <v>58</v>
      </c>
      <c r="AF331" s="4"/>
    </row>
    <row r="332" spans="1:32" x14ac:dyDescent="0.3">
      <c r="A332" t="s">
        <v>423</v>
      </c>
      <c r="B332">
        <v>27</v>
      </c>
      <c r="C332" t="str">
        <f t="shared" si="5"/>
        <v>Young Adults</v>
      </c>
      <c r="D332" t="s">
        <v>53</v>
      </c>
      <c r="E332">
        <v>0.6</v>
      </c>
      <c r="G332" t="s">
        <v>82</v>
      </c>
      <c r="H332" t="s">
        <v>134</v>
      </c>
      <c r="I332" t="s">
        <v>71</v>
      </c>
      <c r="J332">
        <v>7.1</v>
      </c>
      <c r="L332" t="s">
        <v>32</v>
      </c>
      <c r="M332" t="s">
        <v>36</v>
      </c>
      <c r="N332" t="s">
        <v>34</v>
      </c>
      <c r="P332">
        <v>9</v>
      </c>
      <c r="Q332" t="s">
        <v>69</v>
      </c>
      <c r="R332" t="s">
        <v>42</v>
      </c>
      <c r="S332" t="b">
        <v>0</v>
      </c>
      <c r="T332" t="b">
        <v>0</v>
      </c>
      <c r="U332" t="b">
        <v>0</v>
      </c>
      <c r="V332" t="b">
        <v>0</v>
      </c>
      <c r="W332" t="b">
        <v>0</v>
      </c>
      <c r="X332">
        <v>0.2</v>
      </c>
      <c r="Y332">
        <v>8</v>
      </c>
      <c r="Z332">
        <v>1</v>
      </c>
      <c r="AA332">
        <v>13.6</v>
      </c>
      <c r="AB332" s="3">
        <v>43.71</v>
      </c>
      <c r="AC332" s="3"/>
      <c r="AD332">
        <v>12</v>
      </c>
      <c r="AE332" t="s">
        <v>46</v>
      </c>
      <c r="AF332" s="4"/>
    </row>
    <row r="333" spans="1:32" x14ac:dyDescent="0.3">
      <c r="A333" t="s">
        <v>424</v>
      </c>
      <c r="B333">
        <v>20</v>
      </c>
      <c r="C333" t="str">
        <f t="shared" si="5"/>
        <v>Young Adults</v>
      </c>
      <c r="D333" t="s">
        <v>53</v>
      </c>
      <c r="E333">
        <v>4.4000000000000004</v>
      </c>
      <c r="G333" t="s">
        <v>29</v>
      </c>
      <c r="H333" t="s">
        <v>118</v>
      </c>
      <c r="I333" t="s">
        <v>86</v>
      </c>
      <c r="J333">
        <v>6.2</v>
      </c>
      <c r="L333" t="s">
        <v>41</v>
      </c>
      <c r="M333" t="s">
        <v>45</v>
      </c>
      <c r="N333" t="s">
        <v>34</v>
      </c>
      <c r="O333">
        <v>1.76</v>
      </c>
      <c r="P333">
        <v>3</v>
      </c>
      <c r="Q333" t="s">
        <v>63</v>
      </c>
      <c r="R333" t="s">
        <v>45</v>
      </c>
      <c r="S333" t="b">
        <v>0</v>
      </c>
      <c r="T333" t="b">
        <v>0</v>
      </c>
      <c r="U333" t="b">
        <v>0</v>
      </c>
      <c r="V333" t="b">
        <v>0</v>
      </c>
      <c r="W333" t="b">
        <v>0</v>
      </c>
      <c r="X333">
        <v>1</v>
      </c>
      <c r="Y333">
        <v>6.2</v>
      </c>
      <c r="Z333">
        <v>2</v>
      </c>
      <c r="AA333">
        <v>8.6</v>
      </c>
      <c r="AB333" s="3">
        <v>40.729999999999997</v>
      </c>
      <c r="AC333" s="3"/>
      <c r="AD333">
        <v>6</v>
      </c>
      <c r="AE333" t="s">
        <v>46</v>
      </c>
      <c r="AF333" s="4"/>
    </row>
    <row r="334" spans="1:32" x14ac:dyDescent="0.3">
      <c r="A334" t="s">
        <v>425</v>
      </c>
      <c r="B334">
        <v>15</v>
      </c>
      <c r="C334" t="str">
        <f t="shared" si="5"/>
        <v>Teenager</v>
      </c>
      <c r="D334" t="s">
        <v>28</v>
      </c>
      <c r="E334">
        <v>6.6</v>
      </c>
      <c r="G334" t="s">
        <v>60</v>
      </c>
      <c r="H334" t="s">
        <v>96</v>
      </c>
      <c r="I334" t="s">
        <v>71</v>
      </c>
      <c r="J334">
        <v>5</v>
      </c>
      <c r="L334" t="s">
        <v>51</v>
      </c>
      <c r="M334" t="s">
        <v>36</v>
      </c>
      <c r="N334" t="s">
        <v>129</v>
      </c>
      <c r="O334">
        <v>3.68</v>
      </c>
      <c r="Q334" t="s">
        <v>80</v>
      </c>
      <c r="R334" t="s">
        <v>42</v>
      </c>
      <c r="S334" t="b">
        <v>1</v>
      </c>
      <c r="T334" t="b">
        <v>1</v>
      </c>
      <c r="U334" t="b">
        <v>0</v>
      </c>
      <c r="V334" t="b">
        <v>1</v>
      </c>
      <c r="W334" t="b">
        <v>0</v>
      </c>
      <c r="X334">
        <v>0.4</v>
      </c>
      <c r="Y334">
        <v>7.4</v>
      </c>
      <c r="Z334">
        <v>5</v>
      </c>
      <c r="AA334">
        <v>6.2</v>
      </c>
      <c r="AB334" s="3">
        <v>31.87</v>
      </c>
      <c r="AC334" s="3"/>
      <c r="AD334">
        <v>2</v>
      </c>
      <c r="AE334" t="s">
        <v>58</v>
      </c>
      <c r="AF334" s="4"/>
    </row>
    <row r="335" spans="1:32" x14ac:dyDescent="0.3">
      <c r="A335" t="s">
        <v>426</v>
      </c>
      <c r="B335">
        <v>26</v>
      </c>
      <c r="C335" t="str">
        <f t="shared" si="5"/>
        <v>Young Adults</v>
      </c>
      <c r="D335" t="s">
        <v>28</v>
      </c>
      <c r="E335">
        <v>0.8</v>
      </c>
      <c r="G335" t="s">
        <v>29</v>
      </c>
      <c r="H335" t="s">
        <v>73</v>
      </c>
      <c r="I335" t="s">
        <v>50</v>
      </c>
      <c r="J335">
        <v>7.9</v>
      </c>
      <c r="L335" t="s">
        <v>43</v>
      </c>
      <c r="M335" t="s">
        <v>42</v>
      </c>
      <c r="N335" t="s">
        <v>62</v>
      </c>
      <c r="P335">
        <v>1</v>
      </c>
      <c r="Q335" t="s">
        <v>66</v>
      </c>
      <c r="R335" t="s">
        <v>45</v>
      </c>
      <c r="S335" t="b">
        <v>0</v>
      </c>
      <c r="T335" t="b">
        <v>0</v>
      </c>
      <c r="U335" t="b">
        <v>0</v>
      </c>
      <c r="V335" t="b">
        <v>0</v>
      </c>
      <c r="W335" t="b">
        <v>0</v>
      </c>
      <c r="X335">
        <v>0.4</v>
      </c>
      <c r="Y335">
        <v>9.9</v>
      </c>
      <c r="Z335">
        <v>1</v>
      </c>
      <c r="AA335">
        <v>15.4</v>
      </c>
      <c r="AB335" s="3">
        <v>36.549999999999997</v>
      </c>
      <c r="AC335" s="3"/>
      <c r="AD335">
        <v>9</v>
      </c>
      <c r="AE335" t="s">
        <v>46</v>
      </c>
      <c r="AF335" s="4"/>
    </row>
    <row r="336" spans="1:32" x14ac:dyDescent="0.3">
      <c r="A336" t="s">
        <v>427</v>
      </c>
      <c r="B336">
        <v>18</v>
      </c>
      <c r="C336" t="str">
        <f t="shared" si="5"/>
        <v>Teenager</v>
      </c>
      <c r="D336" t="s">
        <v>53</v>
      </c>
      <c r="E336">
        <v>6.5</v>
      </c>
      <c r="G336" t="s">
        <v>82</v>
      </c>
      <c r="H336" t="s">
        <v>167</v>
      </c>
      <c r="I336" t="s">
        <v>31</v>
      </c>
      <c r="J336">
        <v>5.3</v>
      </c>
      <c r="L336" t="s">
        <v>32</v>
      </c>
      <c r="M336" t="s">
        <v>36</v>
      </c>
      <c r="N336" t="s">
        <v>34</v>
      </c>
      <c r="O336">
        <v>1.71</v>
      </c>
      <c r="Q336" t="s">
        <v>35</v>
      </c>
      <c r="R336" t="s">
        <v>42</v>
      </c>
      <c r="S336" t="b">
        <v>0</v>
      </c>
      <c r="T336" t="b">
        <v>0</v>
      </c>
      <c r="U336" t="b">
        <v>0</v>
      </c>
      <c r="V336" t="b">
        <v>1</v>
      </c>
      <c r="W336" t="b">
        <v>0</v>
      </c>
      <c r="X336">
        <v>0.7</v>
      </c>
      <c r="Y336">
        <v>7.8</v>
      </c>
      <c r="Z336">
        <v>5</v>
      </c>
      <c r="AA336">
        <v>9.1</v>
      </c>
      <c r="AB336" s="3">
        <v>143.91999999999999</v>
      </c>
      <c r="AC336" s="3"/>
      <c r="AD336">
        <v>4</v>
      </c>
      <c r="AE336" t="s">
        <v>46</v>
      </c>
      <c r="AF336" s="4"/>
    </row>
    <row r="337" spans="1:32" x14ac:dyDescent="0.3">
      <c r="A337" t="s">
        <v>428</v>
      </c>
      <c r="B337">
        <v>26</v>
      </c>
      <c r="C337" t="str">
        <f t="shared" si="5"/>
        <v>Young Adults</v>
      </c>
      <c r="D337" t="s">
        <v>28</v>
      </c>
      <c r="E337">
        <v>10.4</v>
      </c>
      <c r="G337" t="s">
        <v>54</v>
      </c>
      <c r="H337" t="s">
        <v>89</v>
      </c>
      <c r="I337" t="s">
        <v>86</v>
      </c>
      <c r="J337">
        <v>4.2</v>
      </c>
      <c r="L337" t="s">
        <v>41</v>
      </c>
      <c r="M337" t="s">
        <v>74</v>
      </c>
      <c r="N337" t="s">
        <v>51</v>
      </c>
      <c r="P337">
        <v>2</v>
      </c>
      <c r="Q337" t="s">
        <v>35</v>
      </c>
      <c r="R337" t="s">
        <v>36</v>
      </c>
      <c r="S337" t="b">
        <v>0</v>
      </c>
      <c r="T337" t="b">
        <v>0</v>
      </c>
      <c r="U337" t="b">
        <v>1</v>
      </c>
      <c r="V337" t="b">
        <v>1</v>
      </c>
      <c r="W337" t="b">
        <v>0</v>
      </c>
      <c r="X337">
        <v>2.2000000000000002</v>
      </c>
      <c r="Y337">
        <v>6.5</v>
      </c>
      <c r="Z337">
        <v>7</v>
      </c>
      <c r="AA337">
        <v>2.6</v>
      </c>
      <c r="AB337" s="3">
        <v>65.47</v>
      </c>
      <c r="AC337" s="3"/>
      <c r="AD337">
        <v>14</v>
      </c>
      <c r="AE337" t="s">
        <v>58</v>
      </c>
      <c r="AF337" s="4"/>
    </row>
    <row r="338" spans="1:32" x14ac:dyDescent="0.3">
      <c r="A338" t="s">
        <v>429</v>
      </c>
      <c r="B338">
        <v>18</v>
      </c>
      <c r="C338" t="str">
        <f t="shared" si="5"/>
        <v>Teenager</v>
      </c>
      <c r="D338" t="s">
        <v>28</v>
      </c>
      <c r="E338">
        <v>3.2</v>
      </c>
      <c r="G338" t="s">
        <v>60</v>
      </c>
      <c r="H338" t="s">
        <v>102</v>
      </c>
      <c r="I338" t="s">
        <v>50</v>
      </c>
      <c r="J338">
        <v>8.1999999999999993</v>
      </c>
      <c r="L338" t="s">
        <v>43</v>
      </c>
      <c r="M338" t="s">
        <v>36</v>
      </c>
      <c r="N338" t="s">
        <v>62</v>
      </c>
      <c r="O338">
        <v>2.4500000000000002</v>
      </c>
      <c r="Q338" t="s">
        <v>66</v>
      </c>
      <c r="R338" t="s">
        <v>36</v>
      </c>
      <c r="S338" t="b">
        <v>0</v>
      </c>
      <c r="T338" t="b">
        <v>0</v>
      </c>
      <c r="U338" t="b">
        <v>0</v>
      </c>
      <c r="V338" t="b">
        <v>0</v>
      </c>
      <c r="W338" t="b">
        <v>0</v>
      </c>
      <c r="X338">
        <v>0.8</v>
      </c>
      <c r="Y338">
        <v>10.199999999999999</v>
      </c>
      <c r="Z338">
        <v>1</v>
      </c>
      <c r="AA338">
        <v>13.9</v>
      </c>
      <c r="AB338" s="3">
        <v>34.090000000000003</v>
      </c>
      <c r="AC338" s="3"/>
      <c r="AD338">
        <v>2</v>
      </c>
      <c r="AE338" t="s">
        <v>46</v>
      </c>
      <c r="AF338" s="4"/>
    </row>
    <row r="339" spans="1:32" x14ac:dyDescent="0.3">
      <c r="A339" t="s">
        <v>430</v>
      </c>
      <c r="B339">
        <v>23</v>
      </c>
      <c r="C339" t="str">
        <f t="shared" si="5"/>
        <v>Young Adults</v>
      </c>
      <c r="D339" t="s">
        <v>53</v>
      </c>
      <c r="E339">
        <v>7</v>
      </c>
      <c r="G339" t="s">
        <v>82</v>
      </c>
      <c r="H339" t="s">
        <v>83</v>
      </c>
      <c r="I339" t="s">
        <v>86</v>
      </c>
      <c r="J339">
        <v>3.3</v>
      </c>
      <c r="L339" t="s">
        <v>32</v>
      </c>
      <c r="M339" t="s">
        <v>45</v>
      </c>
      <c r="N339" t="s">
        <v>51</v>
      </c>
      <c r="P339">
        <v>4</v>
      </c>
      <c r="Q339" t="s">
        <v>35</v>
      </c>
      <c r="R339" t="s">
        <v>36</v>
      </c>
      <c r="S339" t="b">
        <v>0</v>
      </c>
      <c r="T339" t="b">
        <v>1</v>
      </c>
      <c r="U339" t="b">
        <v>0</v>
      </c>
      <c r="V339" t="b">
        <v>1</v>
      </c>
      <c r="W339" t="b">
        <v>1</v>
      </c>
      <c r="X339">
        <v>0</v>
      </c>
      <c r="Y339">
        <v>6.1</v>
      </c>
      <c r="Z339">
        <v>5</v>
      </c>
      <c r="AA339">
        <v>8.8000000000000007</v>
      </c>
      <c r="AB339" s="3">
        <v>134.49</v>
      </c>
      <c r="AC339" s="3"/>
      <c r="AD339">
        <v>13</v>
      </c>
      <c r="AE339" t="s">
        <v>64</v>
      </c>
      <c r="AF339" s="4"/>
    </row>
    <row r="340" spans="1:32" x14ac:dyDescent="0.3">
      <c r="A340" t="s">
        <v>431</v>
      </c>
      <c r="B340">
        <v>19</v>
      </c>
      <c r="C340" t="str">
        <f t="shared" si="5"/>
        <v>Teenager</v>
      </c>
      <c r="D340" t="s">
        <v>28</v>
      </c>
      <c r="E340">
        <v>2.6</v>
      </c>
      <c r="G340" t="s">
        <v>54</v>
      </c>
      <c r="H340" t="s">
        <v>55</v>
      </c>
      <c r="I340" t="s">
        <v>71</v>
      </c>
      <c r="J340">
        <v>8.6999999999999993</v>
      </c>
      <c r="L340" t="s">
        <v>43</v>
      </c>
      <c r="M340" t="s">
        <v>45</v>
      </c>
      <c r="N340" t="s">
        <v>43</v>
      </c>
      <c r="O340">
        <v>2.62</v>
      </c>
      <c r="P340">
        <v>7</v>
      </c>
      <c r="Q340" t="s">
        <v>69</v>
      </c>
      <c r="R340" t="s">
        <v>42</v>
      </c>
      <c r="S340" t="b">
        <v>0</v>
      </c>
      <c r="T340" t="b">
        <v>0</v>
      </c>
      <c r="U340" t="b">
        <v>0</v>
      </c>
      <c r="V340" t="b">
        <v>0</v>
      </c>
      <c r="W340" t="b">
        <v>0</v>
      </c>
      <c r="X340">
        <v>1.1000000000000001</v>
      </c>
      <c r="Y340">
        <v>6.6</v>
      </c>
      <c r="Z340">
        <v>2</v>
      </c>
      <c r="AA340">
        <v>9.1</v>
      </c>
      <c r="AB340" s="3">
        <v>27.14</v>
      </c>
      <c r="AC340" s="3"/>
      <c r="AD340">
        <v>5</v>
      </c>
      <c r="AE340" t="s">
        <v>46</v>
      </c>
      <c r="AF340" s="4"/>
    </row>
    <row r="341" spans="1:32" x14ac:dyDescent="0.3">
      <c r="A341" t="s">
        <v>432</v>
      </c>
      <c r="B341">
        <v>32</v>
      </c>
      <c r="C341" t="str">
        <f t="shared" si="5"/>
        <v>Old Adults</v>
      </c>
      <c r="D341" t="s">
        <v>28</v>
      </c>
      <c r="E341">
        <v>7.4</v>
      </c>
      <c r="G341" t="s">
        <v>54</v>
      </c>
      <c r="H341" t="s">
        <v>89</v>
      </c>
      <c r="I341" t="s">
        <v>50</v>
      </c>
      <c r="J341">
        <v>4.7</v>
      </c>
      <c r="L341" t="s">
        <v>51</v>
      </c>
      <c r="M341" t="s">
        <v>36</v>
      </c>
      <c r="N341" t="s">
        <v>51</v>
      </c>
      <c r="P341">
        <v>3</v>
      </c>
      <c r="Q341" t="s">
        <v>56</v>
      </c>
      <c r="R341" t="s">
        <v>45</v>
      </c>
      <c r="S341" t="b">
        <v>0</v>
      </c>
      <c r="T341" t="b">
        <v>1</v>
      </c>
      <c r="U341" t="b">
        <v>0</v>
      </c>
      <c r="V341" t="b">
        <v>1</v>
      </c>
      <c r="W341" t="b">
        <v>0</v>
      </c>
      <c r="X341">
        <v>1.8</v>
      </c>
      <c r="Y341">
        <v>7.3</v>
      </c>
      <c r="Z341">
        <v>5</v>
      </c>
      <c r="AA341">
        <v>4.0999999999999996</v>
      </c>
      <c r="AB341" s="3">
        <v>110.37</v>
      </c>
      <c r="AC341" s="3"/>
      <c r="AD341">
        <v>7</v>
      </c>
      <c r="AE341" t="s">
        <v>64</v>
      </c>
      <c r="AF341" s="4"/>
    </row>
    <row r="342" spans="1:32" x14ac:dyDescent="0.3">
      <c r="A342" t="s">
        <v>433</v>
      </c>
      <c r="B342">
        <v>24</v>
      </c>
      <c r="C342" t="str">
        <f t="shared" si="5"/>
        <v>Young Adults</v>
      </c>
      <c r="D342" t="s">
        <v>28</v>
      </c>
      <c r="E342">
        <v>4</v>
      </c>
      <c r="G342" t="s">
        <v>60</v>
      </c>
      <c r="H342" t="s">
        <v>61</v>
      </c>
      <c r="I342" t="s">
        <v>50</v>
      </c>
      <c r="J342">
        <v>6.7</v>
      </c>
      <c r="L342" t="s">
        <v>51</v>
      </c>
      <c r="M342" t="s">
        <v>42</v>
      </c>
      <c r="N342" t="s">
        <v>51</v>
      </c>
      <c r="P342">
        <v>5</v>
      </c>
      <c r="Q342" t="s">
        <v>44</v>
      </c>
      <c r="R342" t="s">
        <v>57</v>
      </c>
      <c r="S342" t="b">
        <v>0</v>
      </c>
      <c r="T342" t="b">
        <v>0</v>
      </c>
      <c r="U342" t="b">
        <v>0</v>
      </c>
      <c r="V342" t="b">
        <v>0</v>
      </c>
      <c r="W342" t="b">
        <v>0</v>
      </c>
      <c r="X342">
        <v>1.5</v>
      </c>
      <c r="Y342">
        <v>9.1</v>
      </c>
      <c r="Z342">
        <v>3</v>
      </c>
      <c r="AA342">
        <v>12.6</v>
      </c>
      <c r="AB342" s="3">
        <v>1.34</v>
      </c>
      <c r="AC342" s="3"/>
      <c r="AD342">
        <v>12</v>
      </c>
      <c r="AE342" t="s">
        <v>46</v>
      </c>
      <c r="AF342" s="4"/>
    </row>
    <row r="343" spans="1:32" x14ac:dyDescent="0.3">
      <c r="A343" t="s">
        <v>434</v>
      </c>
      <c r="B343">
        <v>33</v>
      </c>
      <c r="C343" t="str">
        <f t="shared" si="5"/>
        <v>Old Adults</v>
      </c>
      <c r="D343" t="s">
        <v>28</v>
      </c>
      <c r="E343">
        <v>4.3</v>
      </c>
      <c r="G343" t="s">
        <v>76</v>
      </c>
      <c r="H343" t="s">
        <v>126</v>
      </c>
      <c r="I343" t="s">
        <v>86</v>
      </c>
      <c r="J343">
        <v>5.5</v>
      </c>
      <c r="L343" t="s">
        <v>41</v>
      </c>
      <c r="M343" t="s">
        <v>45</v>
      </c>
      <c r="N343" t="s">
        <v>62</v>
      </c>
      <c r="P343">
        <v>10</v>
      </c>
      <c r="Q343" t="s">
        <v>63</v>
      </c>
      <c r="R343" t="s">
        <v>42</v>
      </c>
      <c r="S343" t="b">
        <v>0</v>
      </c>
      <c r="T343" t="b">
        <v>0</v>
      </c>
      <c r="U343" t="b">
        <v>0</v>
      </c>
      <c r="V343" t="b">
        <v>0</v>
      </c>
      <c r="W343" t="b">
        <v>0</v>
      </c>
      <c r="X343">
        <v>0.2</v>
      </c>
      <c r="Y343">
        <v>6.1</v>
      </c>
      <c r="Z343">
        <v>3</v>
      </c>
      <c r="AA343">
        <v>9.6</v>
      </c>
      <c r="AB343" s="3">
        <v>2.87</v>
      </c>
      <c r="AC343" s="3"/>
      <c r="AD343">
        <v>5</v>
      </c>
      <c r="AE343" t="s">
        <v>46</v>
      </c>
      <c r="AF343" s="4"/>
    </row>
    <row r="344" spans="1:32" x14ac:dyDescent="0.3">
      <c r="A344" t="s">
        <v>435</v>
      </c>
      <c r="B344">
        <v>26</v>
      </c>
      <c r="C344" t="str">
        <f t="shared" si="5"/>
        <v>Young Adults</v>
      </c>
      <c r="D344" t="s">
        <v>28</v>
      </c>
      <c r="E344">
        <v>10.7</v>
      </c>
      <c r="G344" t="s">
        <v>60</v>
      </c>
      <c r="H344" t="s">
        <v>200</v>
      </c>
      <c r="I344" t="s">
        <v>50</v>
      </c>
      <c r="J344">
        <v>5.6</v>
      </c>
      <c r="L344" t="s">
        <v>51</v>
      </c>
      <c r="M344" t="s">
        <v>33</v>
      </c>
      <c r="N344" t="s">
        <v>129</v>
      </c>
      <c r="P344">
        <v>7</v>
      </c>
      <c r="Q344" t="s">
        <v>80</v>
      </c>
      <c r="R344" t="s">
        <v>33</v>
      </c>
      <c r="S344" t="b">
        <v>1</v>
      </c>
      <c r="T344" t="b">
        <v>0</v>
      </c>
      <c r="U344" t="b">
        <v>1</v>
      </c>
      <c r="V344" t="b">
        <v>0</v>
      </c>
      <c r="W344" t="b">
        <v>0</v>
      </c>
      <c r="X344">
        <v>5.6</v>
      </c>
      <c r="Y344">
        <v>4.3</v>
      </c>
      <c r="Z344">
        <v>7</v>
      </c>
      <c r="AA344">
        <v>0.6</v>
      </c>
      <c r="AB344" s="3">
        <v>129.72999999999999</v>
      </c>
      <c r="AC344" s="3"/>
      <c r="AD344">
        <v>5</v>
      </c>
      <c r="AE344" t="s">
        <v>37</v>
      </c>
      <c r="AF344" s="4"/>
    </row>
    <row r="345" spans="1:32" x14ac:dyDescent="0.3">
      <c r="A345" t="s">
        <v>436</v>
      </c>
      <c r="B345">
        <v>19</v>
      </c>
      <c r="C345" t="str">
        <f t="shared" si="5"/>
        <v>Teenager</v>
      </c>
      <c r="D345" t="s">
        <v>28</v>
      </c>
      <c r="E345">
        <v>5.3</v>
      </c>
      <c r="G345" t="s">
        <v>48</v>
      </c>
      <c r="H345" t="s">
        <v>68</v>
      </c>
      <c r="I345" t="s">
        <v>50</v>
      </c>
      <c r="J345">
        <v>6.1</v>
      </c>
      <c r="L345" t="s">
        <v>43</v>
      </c>
      <c r="M345" t="s">
        <v>45</v>
      </c>
      <c r="N345" t="s">
        <v>51</v>
      </c>
      <c r="O345">
        <v>1.18</v>
      </c>
      <c r="P345">
        <v>10</v>
      </c>
      <c r="Q345" t="s">
        <v>80</v>
      </c>
      <c r="R345" t="s">
        <v>36</v>
      </c>
      <c r="S345" t="b">
        <v>0</v>
      </c>
      <c r="T345" t="b">
        <v>0</v>
      </c>
      <c r="U345" t="b">
        <v>0</v>
      </c>
      <c r="V345" t="b">
        <v>1</v>
      </c>
      <c r="W345" t="b">
        <v>0</v>
      </c>
      <c r="X345">
        <v>1.5</v>
      </c>
      <c r="Y345">
        <v>6.3</v>
      </c>
      <c r="Z345">
        <v>5</v>
      </c>
      <c r="AA345">
        <v>6</v>
      </c>
      <c r="AB345" s="3">
        <v>116.49</v>
      </c>
      <c r="AC345" s="3"/>
      <c r="AD345">
        <v>6</v>
      </c>
      <c r="AE345" t="s">
        <v>46</v>
      </c>
      <c r="AF345" s="4"/>
    </row>
    <row r="346" spans="1:32" x14ac:dyDescent="0.3">
      <c r="A346" t="s">
        <v>437</v>
      </c>
      <c r="B346">
        <v>27</v>
      </c>
      <c r="C346" t="str">
        <f t="shared" si="5"/>
        <v>Young Adults</v>
      </c>
      <c r="D346" t="s">
        <v>53</v>
      </c>
      <c r="E346">
        <v>0.6</v>
      </c>
      <c r="G346" t="s">
        <v>54</v>
      </c>
      <c r="H346" t="s">
        <v>89</v>
      </c>
      <c r="I346" t="s">
        <v>86</v>
      </c>
      <c r="J346">
        <v>9</v>
      </c>
      <c r="L346" t="s">
        <v>41</v>
      </c>
      <c r="M346" t="s">
        <v>42</v>
      </c>
      <c r="N346" t="s">
        <v>84</v>
      </c>
      <c r="P346">
        <v>10</v>
      </c>
      <c r="Q346" t="s">
        <v>69</v>
      </c>
      <c r="R346" t="s">
        <v>33</v>
      </c>
      <c r="S346" t="b">
        <v>0</v>
      </c>
      <c r="T346" t="b">
        <v>0</v>
      </c>
      <c r="U346" t="b">
        <v>0</v>
      </c>
      <c r="V346" t="b">
        <v>0</v>
      </c>
      <c r="W346" t="b">
        <v>0</v>
      </c>
      <c r="X346">
        <v>0.2</v>
      </c>
      <c r="Y346">
        <v>9.1</v>
      </c>
      <c r="Z346">
        <v>1</v>
      </c>
      <c r="AA346">
        <v>11.7</v>
      </c>
      <c r="AB346" s="3">
        <v>36.67</v>
      </c>
      <c r="AC346" s="3"/>
      <c r="AD346">
        <v>11</v>
      </c>
      <c r="AE346" t="s">
        <v>46</v>
      </c>
      <c r="AF346" s="4"/>
    </row>
    <row r="347" spans="1:32" x14ac:dyDescent="0.3">
      <c r="A347" t="s">
        <v>438</v>
      </c>
      <c r="B347">
        <v>25</v>
      </c>
      <c r="C347" t="str">
        <f t="shared" si="5"/>
        <v>Young Adults</v>
      </c>
      <c r="D347" t="s">
        <v>28</v>
      </c>
      <c r="E347">
        <v>5.0999999999999996</v>
      </c>
      <c r="G347" t="s">
        <v>48</v>
      </c>
      <c r="H347" t="s">
        <v>128</v>
      </c>
      <c r="I347" t="s">
        <v>50</v>
      </c>
      <c r="J347">
        <v>6</v>
      </c>
      <c r="L347" t="s">
        <v>32</v>
      </c>
      <c r="M347" t="s">
        <v>33</v>
      </c>
      <c r="N347" t="s">
        <v>34</v>
      </c>
      <c r="P347">
        <v>7</v>
      </c>
      <c r="Q347" t="s">
        <v>105</v>
      </c>
      <c r="R347" t="s">
        <v>45</v>
      </c>
      <c r="S347" t="b">
        <v>0</v>
      </c>
      <c r="T347" t="b">
        <v>0</v>
      </c>
      <c r="U347" t="b">
        <v>0</v>
      </c>
      <c r="V347" t="b">
        <v>1</v>
      </c>
      <c r="W347" t="b">
        <v>0</v>
      </c>
      <c r="X347">
        <v>0.7</v>
      </c>
      <c r="Y347">
        <v>9</v>
      </c>
      <c r="Z347">
        <v>3</v>
      </c>
      <c r="AA347">
        <v>11.5</v>
      </c>
      <c r="AB347" s="3">
        <v>76.510000000000005</v>
      </c>
      <c r="AC347" s="3"/>
      <c r="AD347">
        <v>10</v>
      </c>
      <c r="AE347" t="s">
        <v>46</v>
      </c>
      <c r="AF347" s="4"/>
    </row>
    <row r="348" spans="1:32" x14ac:dyDescent="0.3">
      <c r="A348" t="s">
        <v>439</v>
      </c>
      <c r="B348">
        <v>17</v>
      </c>
      <c r="C348" t="str">
        <f t="shared" si="5"/>
        <v>Teenager</v>
      </c>
      <c r="D348" t="s">
        <v>28</v>
      </c>
      <c r="E348">
        <v>4.2</v>
      </c>
      <c r="G348" t="s">
        <v>82</v>
      </c>
      <c r="H348" t="s">
        <v>167</v>
      </c>
      <c r="I348" t="s">
        <v>71</v>
      </c>
      <c r="J348">
        <v>6.2</v>
      </c>
      <c r="L348" t="s">
        <v>51</v>
      </c>
      <c r="M348" t="s">
        <v>33</v>
      </c>
      <c r="N348" t="s">
        <v>62</v>
      </c>
      <c r="O348">
        <v>3.36</v>
      </c>
      <c r="Q348" t="s">
        <v>66</v>
      </c>
      <c r="R348" t="s">
        <v>33</v>
      </c>
      <c r="S348" t="b">
        <v>0</v>
      </c>
      <c r="T348" t="b">
        <v>0</v>
      </c>
      <c r="U348" t="b">
        <v>0</v>
      </c>
      <c r="V348" t="b">
        <v>0</v>
      </c>
      <c r="W348" t="b">
        <v>0</v>
      </c>
      <c r="X348">
        <v>0.9</v>
      </c>
      <c r="Y348">
        <v>6.7</v>
      </c>
      <c r="Z348">
        <v>3</v>
      </c>
      <c r="AA348">
        <v>7.6</v>
      </c>
      <c r="AB348" s="3">
        <v>10.39</v>
      </c>
      <c r="AC348" s="3"/>
      <c r="AD348">
        <v>3</v>
      </c>
      <c r="AE348" t="s">
        <v>46</v>
      </c>
      <c r="AF348" s="4"/>
    </row>
    <row r="349" spans="1:32" x14ac:dyDescent="0.3">
      <c r="A349" t="s">
        <v>440</v>
      </c>
      <c r="B349">
        <v>17</v>
      </c>
      <c r="C349" t="str">
        <f t="shared" si="5"/>
        <v>Teenager</v>
      </c>
      <c r="D349" t="s">
        <v>53</v>
      </c>
      <c r="E349">
        <v>10.6</v>
      </c>
      <c r="G349" t="s">
        <v>82</v>
      </c>
      <c r="H349" t="s">
        <v>167</v>
      </c>
      <c r="I349" t="s">
        <v>71</v>
      </c>
      <c r="J349">
        <v>3.6</v>
      </c>
      <c r="L349" t="s">
        <v>41</v>
      </c>
      <c r="M349" t="s">
        <v>42</v>
      </c>
      <c r="N349" t="s">
        <v>51</v>
      </c>
      <c r="O349">
        <v>2.62</v>
      </c>
      <c r="Q349" t="s">
        <v>105</v>
      </c>
      <c r="R349" t="s">
        <v>33</v>
      </c>
      <c r="S349" t="b">
        <v>0</v>
      </c>
      <c r="T349" t="b">
        <v>0</v>
      </c>
      <c r="U349" t="b">
        <v>0</v>
      </c>
      <c r="V349" t="b">
        <v>1</v>
      </c>
      <c r="W349" t="b">
        <v>0</v>
      </c>
      <c r="X349">
        <v>1.5</v>
      </c>
      <c r="Y349">
        <v>3.6</v>
      </c>
      <c r="Z349">
        <v>6</v>
      </c>
      <c r="AA349">
        <v>3.8</v>
      </c>
      <c r="AB349" s="3">
        <v>53.97</v>
      </c>
      <c r="AC349" s="3"/>
      <c r="AD349">
        <v>3</v>
      </c>
      <c r="AE349" t="s">
        <v>64</v>
      </c>
      <c r="AF349" s="4"/>
    </row>
    <row r="350" spans="1:32" x14ac:dyDescent="0.3">
      <c r="A350" t="s">
        <v>441</v>
      </c>
      <c r="B350">
        <v>23</v>
      </c>
      <c r="C350" t="str">
        <f t="shared" si="5"/>
        <v>Young Adults</v>
      </c>
      <c r="D350" t="s">
        <v>53</v>
      </c>
      <c r="E350">
        <v>4.4000000000000004</v>
      </c>
      <c r="G350" t="s">
        <v>48</v>
      </c>
      <c r="H350" t="s">
        <v>49</v>
      </c>
      <c r="I350" t="s">
        <v>50</v>
      </c>
      <c r="J350">
        <v>7</v>
      </c>
      <c r="L350" t="s">
        <v>32</v>
      </c>
      <c r="M350" t="s">
        <v>74</v>
      </c>
      <c r="N350" t="s">
        <v>34</v>
      </c>
      <c r="P350">
        <v>9</v>
      </c>
      <c r="Q350" t="s">
        <v>44</v>
      </c>
      <c r="R350" t="s">
        <v>36</v>
      </c>
      <c r="S350" t="b">
        <v>0</v>
      </c>
      <c r="T350" t="b">
        <v>0</v>
      </c>
      <c r="U350" t="b">
        <v>0</v>
      </c>
      <c r="V350" t="b">
        <v>0</v>
      </c>
      <c r="W350" t="b">
        <v>0</v>
      </c>
      <c r="X350">
        <v>1.1000000000000001</v>
      </c>
      <c r="Y350">
        <v>9.6</v>
      </c>
      <c r="Z350">
        <v>3</v>
      </c>
      <c r="AA350">
        <v>9.6</v>
      </c>
      <c r="AB350" s="3">
        <v>22.6</v>
      </c>
      <c r="AC350" s="3"/>
      <c r="AD350">
        <v>12</v>
      </c>
      <c r="AE350" t="s">
        <v>46</v>
      </c>
      <c r="AF350" s="4"/>
    </row>
    <row r="351" spans="1:32" x14ac:dyDescent="0.3">
      <c r="A351" t="s">
        <v>442</v>
      </c>
      <c r="B351">
        <v>20</v>
      </c>
      <c r="C351" t="str">
        <f t="shared" si="5"/>
        <v>Young Adults</v>
      </c>
      <c r="D351" t="s">
        <v>28</v>
      </c>
      <c r="E351">
        <v>5.8</v>
      </c>
      <c r="G351" t="s">
        <v>82</v>
      </c>
      <c r="H351" t="s">
        <v>134</v>
      </c>
      <c r="I351" t="s">
        <v>31</v>
      </c>
      <c r="J351">
        <v>6.8</v>
      </c>
      <c r="L351" t="s">
        <v>41</v>
      </c>
      <c r="M351" t="s">
        <v>42</v>
      </c>
      <c r="N351" t="s">
        <v>62</v>
      </c>
      <c r="O351">
        <v>3.2</v>
      </c>
      <c r="P351">
        <v>2</v>
      </c>
      <c r="Q351" t="s">
        <v>35</v>
      </c>
      <c r="R351" t="s">
        <v>57</v>
      </c>
      <c r="S351" t="b">
        <v>0</v>
      </c>
      <c r="T351" t="b">
        <v>1</v>
      </c>
      <c r="U351" t="b">
        <v>0</v>
      </c>
      <c r="V351" t="b">
        <v>1</v>
      </c>
      <c r="W351" t="b">
        <v>0</v>
      </c>
      <c r="X351">
        <v>0.9</v>
      </c>
      <c r="Y351">
        <v>7.2</v>
      </c>
      <c r="Z351">
        <v>4</v>
      </c>
      <c r="AA351">
        <v>10.7</v>
      </c>
      <c r="AB351" s="3">
        <v>131.01</v>
      </c>
      <c r="AC351" s="3"/>
      <c r="AD351">
        <v>9</v>
      </c>
      <c r="AE351" t="s">
        <v>64</v>
      </c>
      <c r="AF351" s="4"/>
    </row>
    <row r="352" spans="1:32" x14ac:dyDescent="0.3">
      <c r="A352" t="s">
        <v>443</v>
      </c>
      <c r="B352">
        <v>30</v>
      </c>
      <c r="C352" t="str">
        <f t="shared" si="5"/>
        <v>Young Adults</v>
      </c>
      <c r="D352" t="s">
        <v>28</v>
      </c>
      <c r="E352">
        <v>8.6999999999999993</v>
      </c>
      <c r="G352" t="s">
        <v>60</v>
      </c>
      <c r="H352" t="s">
        <v>200</v>
      </c>
      <c r="I352" t="s">
        <v>50</v>
      </c>
      <c r="J352">
        <v>4.5999999999999996</v>
      </c>
      <c r="L352" t="s">
        <v>41</v>
      </c>
      <c r="M352" t="s">
        <v>33</v>
      </c>
      <c r="N352" t="s">
        <v>34</v>
      </c>
      <c r="P352">
        <v>5</v>
      </c>
      <c r="Q352" t="s">
        <v>69</v>
      </c>
      <c r="R352" t="s">
        <v>36</v>
      </c>
      <c r="S352" t="b">
        <v>1</v>
      </c>
      <c r="T352" t="b">
        <v>1</v>
      </c>
      <c r="U352" t="b">
        <v>1</v>
      </c>
      <c r="V352" t="b">
        <v>0</v>
      </c>
      <c r="W352" t="b">
        <v>1</v>
      </c>
      <c r="X352">
        <v>2.4</v>
      </c>
      <c r="Y352">
        <v>4.5</v>
      </c>
      <c r="Z352">
        <v>5</v>
      </c>
      <c r="AA352">
        <v>3.5</v>
      </c>
      <c r="AB352" s="3">
        <v>189.93</v>
      </c>
      <c r="AC352" s="3"/>
      <c r="AD352">
        <v>6</v>
      </c>
      <c r="AE352" t="s">
        <v>37</v>
      </c>
      <c r="AF352" s="4"/>
    </row>
    <row r="353" spans="1:32" x14ac:dyDescent="0.3">
      <c r="A353" t="s">
        <v>444</v>
      </c>
      <c r="B353">
        <v>17</v>
      </c>
      <c r="C353" t="str">
        <f t="shared" si="5"/>
        <v>Teenager</v>
      </c>
      <c r="D353" t="s">
        <v>28</v>
      </c>
      <c r="E353">
        <v>4.7</v>
      </c>
      <c r="G353" t="s">
        <v>29</v>
      </c>
      <c r="H353" t="s">
        <v>104</v>
      </c>
      <c r="I353" t="s">
        <v>31</v>
      </c>
      <c r="J353">
        <v>5.9</v>
      </c>
      <c r="L353" t="s">
        <v>41</v>
      </c>
      <c r="M353" t="s">
        <v>45</v>
      </c>
      <c r="N353" t="s">
        <v>62</v>
      </c>
      <c r="O353">
        <v>1.47</v>
      </c>
      <c r="Q353" t="s">
        <v>80</v>
      </c>
      <c r="R353" t="s">
        <v>33</v>
      </c>
      <c r="S353" t="b">
        <v>0</v>
      </c>
      <c r="T353" t="b">
        <v>0</v>
      </c>
      <c r="U353" t="b">
        <v>0</v>
      </c>
      <c r="V353" t="b">
        <v>0</v>
      </c>
      <c r="W353" t="b">
        <v>0</v>
      </c>
      <c r="X353">
        <v>2</v>
      </c>
      <c r="Y353">
        <v>8.8000000000000007</v>
      </c>
      <c r="Z353">
        <v>3</v>
      </c>
      <c r="AA353">
        <v>10.5</v>
      </c>
      <c r="AB353" s="3">
        <v>21.16</v>
      </c>
      <c r="AC353" s="3"/>
      <c r="AD353">
        <v>2</v>
      </c>
      <c r="AE353" t="s">
        <v>46</v>
      </c>
      <c r="AF353" s="4"/>
    </row>
    <row r="354" spans="1:32" x14ac:dyDescent="0.3">
      <c r="A354" t="s">
        <v>445</v>
      </c>
      <c r="B354">
        <v>19</v>
      </c>
      <c r="C354" t="str">
        <f t="shared" si="5"/>
        <v>Teenager</v>
      </c>
      <c r="D354" t="s">
        <v>28</v>
      </c>
      <c r="E354">
        <v>2.1</v>
      </c>
      <c r="G354" t="s">
        <v>48</v>
      </c>
      <c r="H354" t="s">
        <v>214</v>
      </c>
      <c r="I354" t="s">
        <v>86</v>
      </c>
      <c r="J354">
        <v>7.8</v>
      </c>
      <c r="L354" t="s">
        <v>43</v>
      </c>
      <c r="M354" t="s">
        <v>42</v>
      </c>
      <c r="N354" t="s">
        <v>34</v>
      </c>
      <c r="O354">
        <v>2.4700000000000002</v>
      </c>
      <c r="P354">
        <v>9</v>
      </c>
      <c r="Q354" t="s">
        <v>63</v>
      </c>
      <c r="R354" t="s">
        <v>33</v>
      </c>
      <c r="S354" t="b">
        <v>0</v>
      </c>
      <c r="T354" t="b">
        <v>0</v>
      </c>
      <c r="U354" t="b">
        <v>0</v>
      </c>
      <c r="V354" t="b">
        <v>0</v>
      </c>
      <c r="W354" t="b">
        <v>0</v>
      </c>
      <c r="X354">
        <v>0.8</v>
      </c>
      <c r="Y354">
        <v>8.8000000000000007</v>
      </c>
      <c r="Z354">
        <v>1</v>
      </c>
      <c r="AA354">
        <v>10</v>
      </c>
      <c r="AB354" s="3">
        <v>14.14</v>
      </c>
      <c r="AC354" s="3"/>
      <c r="AD354">
        <v>1</v>
      </c>
      <c r="AE354" t="s">
        <v>46</v>
      </c>
      <c r="AF354" s="4"/>
    </row>
    <row r="355" spans="1:32" x14ac:dyDescent="0.3">
      <c r="A355" t="s">
        <v>446</v>
      </c>
      <c r="B355">
        <v>20</v>
      </c>
      <c r="C355" t="str">
        <f t="shared" si="5"/>
        <v>Young Adults</v>
      </c>
      <c r="D355" t="s">
        <v>53</v>
      </c>
      <c r="E355">
        <v>6.3</v>
      </c>
      <c r="G355" t="s">
        <v>76</v>
      </c>
      <c r="H355" t="s">
        <v>77</v>
      </c>
      <c r="I355" t="s">
        <v>71</v>
      </c>
      <c r="J355">
        <v>6.6</v>
      </c>
      <c r="L355" t="s">
        <v>43</v>
      </c>
      <c r="M355" t="s">
        <v>42</v>
      </c>
      <c r="N355" t="s">
        <v>62</v>
      </c>
      <c r="O355">
        <v>3.3</v>
      </c>
      <c r="P355">
        <v>3</v>
      </c>
      <c r="Q355" t="s">
        <v>69</v>
      </c>
      <c r="R355" t="s">
        <v>42</v>
      </c>
      <c r="S355" t="b">
        <v>0</v>
      </c>
      <c r="T355" t="b">
        <v>1</v>
      </c>
      <c r="U355" t="b">
        <v>0</v>
      </c>
      <c r="V355" t="b">
        <v>1</v>
      </c>
      <c r="W355" t="b">
        <v>0</v>
      </c>
      <c r="X355">
        <v>1.8</v>
      </c>
      <c r="Y355">
        <v>8.5</v>
      </c>
      <c r="Z355">
        <v>3</v>
      </c>
      <c r="AA355">
        <v>7.6</v>
      </c>
      <c r="AB355" s="3">
        <v>12.48</v>
      </c>
      <c r="AC355" s="3"/>
      <c r="AD355">
        <v>5</v>
      </c>
      <c r="AE355" t="s">
        <v>64</v>
      </c>
      <c r="AF355" s="4"/>
    </row>
    <row r="356" spans="1:32" x14ac:dyDescent="0.3">
      <c r="A356" t="s">
        <v>447</v>
      </c>
      <c r="B356">
        <v>15</v>
      </c>
      <c r="C356" t="str">
        <f t="shared" si="5"/>
        <v>Teenager</v>
      </c>
      <c r="D356" t="s">
        <v>28</v>
      </c>
      <c r="E356">
        <v>6.2</v>
      </c>
      <c r="G356" t="s">
        <v>60</v>
      </c>
      <c r="H356" t="s">
        <v>61</v>
      </c>
      <c r="I356" t="s">
        <v>31</v>
      </c>
      <c r="J356">
        <v>6.6</v>
      </c>
      <c r="L356" t="s">
        <v>41</v>
      </c>
      <c r="M356" t="s">
        <v>42</v>
      </c>
      <c r="N356" t="s">
        <v>43</v>
      </c>
      <c r="O356">
        <v>1.34</v>
      </c>
      <c r="Q356" t="s">
        <v>66</v>
      </c>
      <c r="R356" t="s">
        <v>45</v>
      </c>
      <c r="S356" t="b">
        <v>0</v>
      </c>
      <c r="T356" t="b">
        <v>0</v>
      </c>
      <c r="U356" t="b">
        <v>0</v>
      </c>
      <c r="V356" t="b">
        <v>1</v>
      </c>
      <c r="W356" t="b">
        <v>0</v>
      </c>
      <c r="X356">
        <v>1.1000000000000001</v>
      </c>
      <c r="Y356">
        <v>6.5</v>
      </c>
      <c r="Z356">
        <v>3</v>
      </c>
      <c r="AA356">
        <v>4.9000000000000004</v>
      </c>
      <c r="AB356" s="3">
        <v>132.44</v>
      </c>
      <c r="AC356" s="3"/>
      <c r="AD356">
        <v>4</v>
      </c>
      <c r="AE356" t="s">
        <v>46</v>
      </c>
      <c r="AF356" s="4"/>
    </row>
    <row r="357" spans="1:32" x14ac:dyDescent="0.3">
      <c r="A357" t="s">
        <v>448</v>
      </c>
      <c r="B357">
        <v>19</v>
      </c>
      <c r="C357" t="str">
        <f t="shared" si="5"/>
        <v>Teenager</v>
      </c>
      <c r="D357" t="s">
        <v>53</v>
      </c>
      <c r="E357">
        <v>5</v>
      </c>
      <c r="G357" t="s">
        <v>60</v>
      </c>
      <c r="H357" t="s">
        <v>102</v>
      </c>
      <c r="I357" t="s">
        <v>31</v>
      </c>
      <c r="J357">
        <v>5.4</v>
      </c>
      <c r="L357" t="s">
        <v>51</v>
      </c>
      <c r="M357" t="s">
        <v>42</v>
      </c>
      <c r="N357" t="s">
        <v>62</v>
      </c>
      <c r="O357">
        <v>2.59</v>
      </c>
      <c r="P357">
        <v>9</v>
      </c>
      <c r="Q357" t="s">
        <v>44</v>
      </c>
      <c r="R357" t="s">
        <v>45</v>
      </c>
      <c r="S357" t="b">
        <v>0</v>
      </c>
      <c r="T357" t="b">
        <v>0</v>
      </c>
      <c r="U357" t="b">
        <v>0</v>
      </c>
      <c r="V357" t="b">
        <v>1</v>
      </c>
      <c r="W357" t="b">
        <v>0</v>
      </c>
      <c r="X357">
        <v>2</v>
      </c>
      <c r="Y357">
        <v>8.4</v>
      </c>
      <c r="Z357">
        <v>2</v>
      </c>
      <c r="AA357">
        <v>8.6999999999999993</v>
      </c>
      <c r="AB357" s="3">
        <v>36.549999999999997</v>
      </c>
      <c r="AC357" s="3"/>
      <c r="AD357">
        <v>4</v>
      </c>
      <c r="AE357" t="s">
        <v>46</v>
      </c>
      <c r="AF357" s="4"/>
    </row>
    <row r="358" spans="1:32" x14ac:dyDescent="0.3">
      <c r="A358" t="s">
        <v>449</v>
      </c>
      <c r="B358">
        <v>19</v>
      </c>
      <c r="C358" t="str">
        <f t="shared" si="5"/>
        <v>Teenager</v>
      </c>
      <c r="D358" t="s">
        <v>28</v>
      </c>
      <c r="E358">
        <v>5.5</v>
      </c>
      <c r="G358" t="s">
        <v>39</v>
      </c>
      <c r="H358" t="s">
        <v>40</v>
      </c>
      <c r="I358" t="s">
        <v>86</v>
      </c>
      <c r="J358">
        <v>5.2</v>
      </c>
      <c r="L358" t="s">
        <v>51</v>
      </c>
      <c r="M358" t="s">
        <v>42</v>
      </c>
      <c r="N358" t="s">
        <v>62</v>
      </c>
      <c r="O358">
        <v>3.78</v>
      </c>
      <c r="P358">
        <v>7</v>
      </c>
      <c r="Q358" t="s">
        <v>44</v>
      </c>
      <c r="R358" t="s">
        <v>33</v>
      </c>
      <c r="S358" t="b">
        <v>0</v>
      </c>
      <c r="T358" t="b">
        <v>1</v>
      </c>
      <c r="U358" t="b">
        <v>0</v>
      </c>
      <c r="V358" t="b">
        <v>1</v>
      </c>
      <c r="W358" t="b">
        <v>1</v>
      </c>
      <c r="X358">
        <v>1.6</v>
      </c>
      <c r="Y358">
        <v>7.4</v>
      </c>
      <c r="Z358">
        <v>4</v>
      </c>
      <c r="AA358">
        <v>6.2</v>
      </c>
      <c r="AB358" s="3">
        <v>100.99</v>
      </c>
      <c r="AC358" s="3"/>
      <c r="AD358">
        <v>4</v>
      </c>
      <c r="AE358" t="s">
        <v>64</v>
      </c>
      <c r="AF358" s="4"/>
    </row>
    <row r="359" spans="1:32" x14ac:dyDescent="0.3">
      <c r="A359" t="s">
        <v>450</v>
      </c>
      <c r="B359">
        <v>21</v>
      </c>
      <c r="C359" t="str">
        <f t="shared" si="5"/>
        <v>Young Adults</v>
      </c>
      <c r="D359" t="s">
        <v>28</v>
      </c>
      <c r="E359">
        <v>1.7</v>
      </c>
      <c r="G359" t="s">
        <v>54</v>
      </c>
      <c r="H359" t="s">
        <v>98</v>
      </c>
      <c r="I359" t="s">
        <v>31</v>
      </c>
      <c r="J359">
        <v>7.9</v>
      </c>
      <c r="L359" t="s">
        <v>43</v>
      </c>
      <c r="M359" t="s">
        <v>45</v>
      </c>
      <c r="N359" t="s">
        <v>84</v>
      </c>
      <c r="O359">
        <v>1.28</v>
      </c>
      <c r="P359">
        <v>4</v>
      </c>
      <c r="Q359" t="s">
        <v>105</v>
      </c>
      <c r="R359" t="s">
        <v>33</v>
      </c>
      <c r="S359" t="b">
        <v>0</v>
      </c>
      <c r="T359" t="b">
        <v>0</v>
      </c>
      <c r="U359" t="b">
        <v>0</v>
      </c>
      <c r="V359" t="b">
        <v>0</v>
      </c>
      <c r="W359" t="b">
        <v>0</v>
      </c>
      <c r="X359">
        <v>0.2</v>
      </c>
      <c r="Y359">
        <v>9.3000000000000007</v>
      </c>
      <c r="Z359">
        <v>1</v>
      </c>
      <c r="AA359">
        <v>10.9</v>
      </c>
      <c r="AB359" s="3">
        <v>11.94</v>
      </c>
      <c r="AC359" s="3"/>
      <c r="AD359">
        <v>1</v>
      </c>
      <c r="AE359" t="s">
        <v>46</v>
      </c>
      <c r="AF359" s="4"/>
    </row>
    <row r="360" spans="1:32" x14ac:dyDescent="0.3">
      <c r="A360" t="s">
        <v>451</v>
      </c>
      <c r="B360">
        <v>23</v>
      </c>
      <c r="C360" t="str">
        <f t="shared" si="5"/>
        <v>Young Adults</v>
      </c>
      <c r="D360" t="s">
        <v>53</v>
      </c>
      <c r="E360">
        <v>4.5999999999999996</v>
      </c>
      <c r="G360" t="s">
        <v>76</v>
      </c>
      <c r="H360" t="s">
        <v>110</v>
      </c>
      <c r="I360" t="s">
        <v>50</v>
      </c>
      <c r="J360">
        <v>5.9</v>
      </c>
      <c r="L360" t="s">
        <v>43</v>
      </c>
      <c r="M360" t="s">
        <v>36</v>
      </c>
      <c r="N360" t="s">
        <v>129</v>
      </c>
      <c r="P360">
        <v>2</v>
      </c>
      <c r="Q360" t="s">
        <v>105</v>
      </c>
      <c r="R360" t="s">
        <v>33</v>
      </c>
      <c r="S360" t="b">
        <v>0</v>
      </c>
      <c r="T360" t="b">
        <v>0</v>
      </c>
      <c r="U360" t="b">
        <v>0</v>
      </c>
      <c r="V360" t="b">
        <v>1</v>
      </c>
      <c r="W360" t="b">
        <v>0</v>
      </c>
      <c r="X360">
        <v>0.6</v>
      </c>
      <c r="Y360">
        <v>7.2</v>
      </c>
      <c r="Z360">
        <v>5</v>
      </c>
      <c r="AA360">
        <v>11.8</v>
      </c>
      <c r="AB360" s="3">
        <v>90.9</v>
      </c>
      <c r="AC360" s="3"/>
      <c r="AD360">
        <v>7</v>
      </c>
      <c r="AE360" t="s">
        <v>46</v>
      </c>
      <c r="AF360" s="4"/>
    </row>
    <row r="361" spans="1:32" x14ac:dyDescent="0.3">
      <c r="A361" t="s">
        <v>452</v>
      </c>
      <c r="B361">
        <v>18</v>
      </c>
      <c r="C361" t="str">
        <f t="shared" si="5"/>
        <v>Teenager</v>
      </c>
      <c r="D361" t="s">
        <v>28</v>
      </c>
      <c r="E361">
        <v>6.5</v>
      </c>
      <c r="G361" t="s">
        <v>54</v>
      </c>
      <c r="H361" t="s">
        <v>98</v>
      </c>
      <c r="I361" t="s">
        <v>71</v>
      </c>
      <c r="J361">
        <v>3.2</v>
      </c>
      <c r="L361" t="s">
        <v>32</v>
      </c>
      <c r="M361" t="s">
        <v>42</v>
      </c>
      <c r="N361" t="s">
        <v>129</v>
      </c>
      <c r="O361">
        <v>2.7</v>
      </c>
      <c r="Q361" t="s">
        <v>63</v>
      </c>
      <c r="R361" t="s">
        <v>42</v>
      </c>
      <c r="S361" t="b">
        <v>1</v>
      </c>
      <c r="T361" t="b">
        <v>0</v>
      </c>
      <c r="U361" t="b">
        <v>0</v>
      </c>
      <c r="V361" t="b">
        <v>0</v>
      </c>
      <c r="W361" t="b">
        <v>0</v>
      </c>
      <c r="X361">
        <v>0.9</v>
      </c>
      <c r="Y361">
        <v>7.6</v>
      </c>
      <c r="Z361">
        <v>4</v>
      </c>
      <c r="AA361">
        <v>4.3</v>
      </c>
      <c r="AB361" s="3">
        <v>90.46</v>
      </c>
      <c r="AC361" s="3"/>
      <c r="AD361">
        <v>3</v>
      </c>
      <c r="AE361" t="s">
        <v>64</v>
      </c>
      <c r="AF361" s="4"/>
    </row>
    <row r="362" spans="1:32" x14ac:dyDescent="0.3">
      <c r="A362" t="s">
        <v>453</v>
      </c>
      <c r="B362">
        <v>19</v>
      </c>
      <c r="C362" t="str">
        <f t="shared" si="5"/>
        <v>Teenager</v>
      </c>
      <c r="D362" t="s">
        <v>28</v>
      </c>
      <c r="E362">
        <v>6.6</v>
      </c>
      <c r="G362" t="s">
        <v>39</v>
      </c>
      <c r="H362" t="s">
        <v>40</v>
      </c>
      <c r="I362" t="s">
        <v>31</v>
      </c>
      <c r="J362">
        <v>5.8</v>
      </c>
      <c r="L362" t="s">
        <v>32</v>
      </c>
      <c r="M362" t="s">
        <v>33</v>
      </c>
      <c r="N362" t="s">
        <v>62</v>
      </c>
      <c r="O362">
        <v>3.91</v>
      </c>
      <c r="P362">
        <v>3</v>
      </c>
      <c r="Q362" t="s">
        <v>105</v>
      </c>
      <c r="R362" t="s">
        <v>42</v>
      </c>
      <c r="S362" t="b">
        <v>1</v>
      </c>
      <c r="T362" t="b">
        <v>0</v>
      </c>
      <c r="U362" t="b">
        <v>0</v>
      </c>
      <c r="V362" t="b">
        <v>1</v>
      </c>
      <c r="W362" t="b">
        <v>1</v>
      </c>
      <c r="X362">
        <v>0.2</v>
      </c>
      <c r="Y362">
        <v>8.3000000000000007</v>
      </c>
      <c r="Z362">
        <v>4</v>
      </c>
      <c r="AA362">
        <v>5.3</v>
      </c>
      <c r="AB362" s="3">
        <v>111.93</v>
      </c>
      <c r="AC362" s="3"/>
      <c r="AD362">
        <v>7</v>
      </c>
      <c r="AE362" t="s">
        <v>64</v>
      </c>
      <c r="AF362" s="4"/>
    </row>
    <row r="363" spans="1:32" x14ac:dyDescent="0.3">
      <c r="A363" t="s">
        <v>454</v>
      </c>
      <c r="B363">
        <v>22</v>
      </c>
      <c r="C363" t="str">
        <f t="shared" si="5"/>
        <v>Young Adults</v>
      </c>
      <c r="D363" t="s">
        <v>28</v>
      </c>
      <c r="E363">
        <v>6.6</v>
      </c>
      <c r="G363" t="s">
        <v>39</v>
      </c>
      <c r="H363" t="s">
        <v>93</v>
      </c>
      <c r="I363" t="s">
        <v>86</v>
      </c>
      <c r="J363">
        <v>3.9</v>
      </c>
      <c r="L363" t="s">
        <v>51</v>
      </c>
      <c r="M363" t="s">
        <v>36</v>
      </c>
      <c r="N363" t="s">
        <v>51</v>
      </c>
      <c r="O363">
        <v>1.74</v>
      </c>
      <c r="P363">
        <v>9</v>
      </c>
      <c r="Q363" t="s">
        <v>44</v>
      </c>
      <c r="R363" t="s">
        <v>42</v>
      </c>
      <c r="S363" t="b">
        <v>1</v>
      </c>
      <c r="T363" t="b">
        <v>0</v>
      </c>
      <c r="U363" t="b">
        <v>0</v>
      </c>
      <c r="V363" t="b">
        <v>1</v>
      </c>
      <c r="W363" t="b">
        <v>1</v>
      </c>
      <c r="X363">
        <v>3.4</v>
      </c>
      <c r="Y363">
        <v>7.6</v>
      </c>
      <c r="Z363">
        <v>5</v>
      </c>
      <c r="AA363">
        <v>6.2</v>
      </c>
      <c r="AB363" s="3">
        <v>22.27</v>
      </c>
      <c r="AC363" s="3"/>
      <c r="AD363">
        <v>10</v>
      </c>
      <c r="AE363" t="s">
        <v>64</v>
      </c>
      <c r="AF363" s="4"/>
    </row>
    <row r="364" spans="1:32" x14ac:dyDescent="0.3">
      <c r="A364" t="s">
        <v>455</v>
      </c>
      <c r="B364">
        <v>26</v>
      </c>
      <c r="C364" t="str">
        <f t="shared" si="5"/>
        <v>Young Adults</v>
      </c>
      <c r="D364" t="s">
        <v>28</v>
      </c>
      <c r="E364">
        <v>8.6999999999999993</v>
      </c>
      <c r="G364" t="s">
        <v>76</v>
      </c>
      <c r="H364" t="s">
        <v>110</v>
      </c>
      <c r="I364" t="s">
        <v>71</v>
      </c>
      <c r="J364">
        <v>3.1</v>
      </c>
      <c r="L364" t="s">
        <v>51</v>
      </c>
      <c r="M364" t="s">
        <v>45</v>
      </c>
      <c r="N364" t="s">
        <v>51</v>
      </c>
      <c r="P364">
        <v>3</v>
      </c>
      <c r="Q364" t="s">
        <v>44</v>
      </c>
      <c r="R364" t="s">
        <v>33</v>
      </c>
      <c r="S364" t="b">
        <v>1</v>
      </c>
      <c r="T364" t="b">
        <v>1</v>
      </c>
      <c r="U364" t="b">
        <v>0</v>
      </c>
      <c r="V364" t="b">
        <v>1</v>
      </c>
      <c r="W364" t="b">
        <v>1</v>
      </c>
      <c r="X364">
        <v>0.9</v>
      </c>
      <c r="Y364">
        <v>7.2</v>
      </c>
      <c r="Z364">
        <v>7</v>
      </c>
      <c r="AA364">
        <v>1.6</v>
      </c>
      <c r="AB364" s="3">
        <v>423.75</v>
      </c>
      <c r="AC364" s="3"/>
      <c r="AD364">
        <v>12</v>
      </c>
      <c r="AE364" t="s">
        <v>37</v>
      </c>
      <c r="AF364" s="4"/>
    </row>
    <row r="365" spans="1:32" x14ac:dyDescent="0.3">
      <c r="A365" t="s">
        <v>456</v>
      </c>
      <c r="B365">
        <v>20</v>
      </c>
      <c r="C365" t="str">
        <f t="shared" si="5"/>
        <v>Young Adults</v>
      </c>
      <c r="D365" t="s">
        <v>28</v>
      </c>
      <c r="E365">
        <v>5.8</v>
      </c>
      <c r="G365" t="s">
        <v>60</v>
      </c>
      <c r="H365" t="s">
        <v>96</v>
      </c>
      <c r="I365" t="s">
        <v>71</v>
      </c>
      <c r="J365">
        <v>6.1</v>
      </c>
      <c r="L365" t="s">
        <v>51</v>
      </c>
      <c r="M365" t="s">
        <v>42</v>
      </c>
      <c r="N365" t="s">
        <v>62</v>
      </c>
      <c r="O365">
        <v>3.99</v>
      </c>
      <c r="P365">
        <v>9</v>
      </c>
      <c r="Q365" t="s">
        <v>80</v>
      </c>
      <c r="R365" t="s">
        <v>45</v>
      </c>
      <c r="S365" t="b">
        <v>0</v>
      </c>
      <c r="T365" t="b">
        <v>0</v>
      </c>
      <c r="U365" t="b">
        <v>0</v>
      </c>
      <c r="V365" t="b">
        <v>1</v>
      </c>
      <c r="W365" t="b">
        <v>1</v>
      </c>
      <c r="X365">
        <v>2.1</v>
      </c>
      <c r="Y365">
        <v>8.1999999999999993</v>
      </c>
      <c r="Z365">
        <v>4</v>
      </c>
      <c r="AA365">
        <v>7.4</v>
      </c>
      <c r="AB365" s="3">
        <v>50.13</v>
      </c>
      <c r="AC365" s="3"/>
      <c r="AD365">
        <v>5</v>
      </c>
      <c r="AE365" t="s">
        <v>46</v>
      </c>
      <c r="AF365" s="4"/>
    </row>
    <row r="366" spans="1:32" x14ac:dyDescent="0.3">
      <c r="A366" t="s">
        <v>457</v>
      </c>
      <c r="B366">
        <v>17</v>
      </c>
      <c r="C366" t="str">
        <f t="shared" si="5"/>
        <v>Teenager</v>
      </c>
      <c r="D366" t="s">
        <v>28</v>
      </c>
      <c r="E366">
        <v>9.9</v>
      </c>
      <c r="G366" t="s">
        <v>82</v>
      </c>
      <c r="H366" t="s">
        <v>83</v>
      </c>
      <c r="I366" t="s">
        <v>50</v>
      </c>
      <c r="J366">
        <v>4.7</v>
      </c>
      <c r="L366" t="s">
        <v>51</v>
      </c>
      <c r="M366" t="s">
        <v>36</v>
      </c>
      <c r="N366" t="s">
        <v>51</v>
      </c>
      <c r="O366">
        <v>1.4</v>
      </c>
      <c r="Q366" t="s">
        <v>69</v>
      </c>
      <c r="R366" t="s">
        <v>33</v>
      </c>
      <c r="S366" t="b">
        <v>1</v>
      </c>
      <c r="T366" t="b">
        <v>0</v>
      </c>
      <c r="U366" t="b">
        <v>0</v>
      </c>
      <c r="V366" t="b">
        <v>1</v>
      </c>
      <c r="W366" t="b">
        <v>1</v>
      </c>
      <c r="X366">
        <v>0.7</v>
      </c>
      <c r="Y366">
        <v>6.4</v>
      </c>
      <c r="Z366">
        <v>6</v>
      </c>
      <c r="AA366">
        <v>3.2</v>
      </c>
      <c r="AB366" s="3">
        <v>162.18</v>
      </c>
      <c r="AC366" s="3"/>
      <c r="AD366">
        <v>4</v>
      </c>
      <c r="AE366" t="s">
        <v>58</v>
      </c>
      <c r="AF366" s="4"/>
    </row>
    <row r="367" spans="1:32" x14ac:dyDescent="0.3">
      <c r="A367" t="s">
        <v>458</v>
      </c>
      <c r="B367">
        <v>15</v>
      </c>
      <c r="C367" t="str">
        <f t="shared" si="5"/>
        <v>Teenager</v>
      </c>
      <c r="D367" t="s">
        <v>28</v>
      </c>
      <c r="E367">
        <v>10.4</v>
      </c>
      <c r="G367" t="s">
        <v>82</v>
      </c>
      <c r="H367" t="s">
        <v>167</v>
      </c>
      <c r="I367" t="s">
        <v>50</v>
      </c>
      <c r="J367">
        <v>3.1</v>
      </c>
      <c r="L367" t="s">
        <v>32</v>
      </c>
      <c r="M367" t="s">
        <v>45</v>
      </c>
      <c r="N367" t="s">
        <v>34</v>
      </c>
      <c r="O367">
        <v>3.03</v>
      </c>
      <c r="Q367" t="s">
        <v>80</v>
      </c>
      <c r="R367" t="s">
        <v>57</v>
      </c>
      <c r="S367" t="b">
        <v>1</v>
      </c>
      <c r="T367" t="b">
        <v>0</v>
      </c>
      <c r="U367" t="b">
        <v>0</v>
      </c>
      <c r="V367" t="b">
        <v>1</v>
      </c>
      <c r="W367" t="b">
        <v>1</v>
      </c>
      <c r="X367">
        <v>2.5</v>
      </c>
      <c r="Y367">
        <v>4.9000000000000004</v>
      </c>
      <c r="Z367">
        <v>7</v>
      </c>
      <c r="AA367">
        <v>3</v>
      </c>
      <c r="AB367" s="3">
        <v>157.76</v>
      </c>
      <c r="AC367" s="3"/>
      <c r="AD367">
        <v>2</v>
      </c>
      <c r="AE367" t="s">
        <v>58</v>
      </c>
      <c r="AF367" s="4"/>
    </row>
    <row r="368" spans="1:32" x14ac:dyDescent="0.3">
      <c r="A368" t="s">
        <v>459</v>
      </c>
      <c r="B368">
        <v>22</v>
      </c>
      <c r="C368" t="str">
        <f t="shared" si="5"/>
        <v>Young Adults</v>
      </c>
      <c r="D368" t="s">
        <v>53</v>
      </c>
      <c r="E368">
        <v>3.9</v>
      </c>
      <c r="G368" t="s">
        <v>48</v>
      </c>
      <c r="H368" t="s">
        <v>49</v>
      </c>
      <c r="I368" t="s">
        <v>86</v>
      </c>
      <c r="J368">
        <v>6.7</v>
      </c>
      <c r="L368" t="s">
        <v>51</v>
      </c>
      <c r="M368" t="s">
        <v>33</v>
      </c>
      <c r="N368" t="s">
        <v>62</v>
      </c>
      <c r="O368">
        <v>2.0499999999999998</v>
      </c>
      <c r="P368">
        <v>1</v>
      </c>
      <c r="Q368" t="s">
        <v>35</v>
      </c>
      <c r="R368" t="s">
        <v>33</v>
      </c>
      <c r="S368" t="b">
        <v>0</v>
      </c>
      <c r="T368" t="b">
        <v>0</v>
      </c>
      <c r="U368" t="b">
        <v>0</v>
      </c>
      <c r="V368" t="b">
        <v>0</v>
      </c>
      <c r="W368" t="b">
        <v>0</v>
      </c>
      <c r="X368">
        <v>1.1000000000000001</v>
      </c>
      <c r="Y368">
        <v>7.6</v>
      </c>
      <c r="Z368">
        <v>1</v>
      </c>
      <c r="AA368">
        <v>7.5</v>
      </c>
      <c r="AB368" s="3">
        <v>7.34</v>
      </c>
      <c r="AC368" s="3"/>
      <c r="AD368">
        <v>1</v>
      </c>
      <c r="AE368" t="s">
        <v>46</v>
      </c>
      <c r="AF368" s="4"/>
    </row>
    <row r="369" spans="1:32" x14ac:dyDescent="0.3">
      <c r="A369" t="s">
        <v>460</v>
      </c>
      <c r="B369">
        <v>14</v>
      </c>
      <c r="C369" t="str">
        <f t="shared" si="5"/>
        <v>Teenager</v>
      </c>
      <c r="D369" t="s">
        <v>53</v>
      </c>
      <c r="E369">
        <v>9.4</v>
      </c>
      <c r="G369" t="s">
        <v>39</v>
      </c>
      <c r="H369" t="s">
        <v>40</v>
      </c>
      <c r="I369" t="s">
        <v>50</v>
      </c>
      <c r="J369">
        <v>4</v>
      </c>
      <c r="L369" t="s">
        <v>51</v>
      </c>
      <c r="M369" t="s">
        <v>45</v>
      </c>
      <c r="N369" t="s">
        <v>129</v>
      </c>
      <c r="O369">
        <v>3.48</v>
      </c>
      <c r="Q369" t="s">
        <v>63</v>
      </c>
      <c r="R369" t="s">
        <v>42</v>
      </c>
      <c r="S369" t="b">
        <v>1</v>
      </c>
      <c r="T369" t="b">
        <v>1</v>
      </c>
      <c r="U369" t="b">
        <v>0</v>
      </c>
      <c r="V369" t="b">
        <v>1</v>
      </c>
      <c r="W369" t="b">
        <v>1</v>
      </c>
      <c r="X369">
        <v>3.3</v>
      </c>
      <c r="Y369">
        <v>6.2</v>
      </c>
      <c r="Z369">
        <v>5</v>
      </c>
      <c r="AA369">
        <v>4.8</v>
      </c>
      <c r="AB369" s="3">
        <v>497.21</v>
      </c>
      <c r="AC369" s="3"/>
      <c r="AD369">
        <v>2</v>
      </c>
      <c r="AE369" t="s">
        <v>37</v>
      </c>
      <c r="AF369" s="4"/>
    </row>
    <row r="370" spans="1:32" x14ac:dyDescent="0.3">
      <c r="A370" t="s">
        <v>461</v>
      </c>
      <c r="B370">
        <v>19</v>
      </c>
      <c r="C370" t="str">
        <f t="shared" si="5"/>
        <v>Teenager</v>
      </c>
      <c r="D370" t="s">
        <v>28</v>
      </c>
      <c r="E370">
        <v>4.7</v>
      </c>
      <c r="G370" t="s">
        <v>54</v>
      </c>
      <c r="H370" t="s">
        <v>55</v>
      </c>
      <c r="I370" t="s">
        <v>31</v>
      </c>
      <c r="J370">
        <v>6.3</v>
      </c>
      <c r="L370" t="s">
        <v>43</v>
      </c>
      <c r="M370" t="s">
        <v>36</v>
      </c>
      <c r="N370" t="s">
        <v>62</v>
      </c>
      <c r="O370">
        <v>2.5</v>
      </c>
      <c r="P370">
        <v>3</v>
      </c>
      <c r="Q370" t="s">
        <v>80</v>
      </c>
      <c r="R370" t="s">
        <v>33</v>
      </c>
      <c r="S370" t="b">
        <v>0</v>
      </c>
      <c r="T370" t="b">
        <v>0</v>
      </c>
      <c r="U370" t="b">
        <v>0</v>
      </c>
      <c r="V370" t="b">
        <v>1</v>
      </c>
      <c r="W370" t="b">
        <v>0</v>
      </c>
      <c r="X370">
        <v>0.1</v>
      </c>
      <c r="Y370">
        <v>8.1</v>
      </c>
      <c r="Z370">
        <v>2</v>
      </c>
      <c r="AA370">
        <v>8.6999999999999993</v>
      </c>
      <c r="AB370" s="3">
        <v>123.43</v>
      </c>
      <c r="AC370" s="3"/>
      <c r="AD370">
        <v>5</v>
      </c>
      <c r="AE370" t="s">
        <v>46</v>
      </c>
      <c r="AF370" s="4"/>
    </row>
    <row r="371" spans="1:32" x14ac:dyDescent="0.3">
      <c r="A371" t="s">
        <v>462</v>
      </c>
      <c r="B371">
        <v>21</v>
      </c>
      <c r="C371" t="str">
        <f t="shared" si="5"/>
        <v>Young Adults</v>
      </c>
      <c r="D371" t="s">
        <v>53</v>
      </c>
      <c r="E371">
        <v>8.4</v>
      </c>
      <c r="G371" t="s">
        <v>60</v>
      </c>
      <c r="H371" t="s">
        <v>102</v>
      </c>
      <c r="I371" t="s">
        <v>86</v>
      </c>
      <c r="J371">
        <v>4.8</v>
      </c>
      <c r="L371" t="s">
        <v>51</v>
      </c>
      <c r="M371" t="s">
        <v>42</v>
      </c>
      <c r="N371" t="s">
        <v>84</v>
      </c>
      <c r="O371">
        <v>3.34</v>
      </c>
      <c r="P371">
        <v>9</v>
      </c>
      <c r="Q371" t="s">
        <v>105</v>
      </c>
      <c r="R371" t="s">
        <v>45</v>
      </c>
      <c r="S371" t="b">
        <v>1</v>
      </c>
      <c r="T371" t="b">
        <v>0</v>
      </c>
      <c r="U371" t="b">
        <v>0</v>
      </c>
      <c r="V371" t="b">
        <v>1</v>
      </c>
      <c r="W371" t="b">
        <v>0</v>
      </c>
      <c r="X371">
        <v>3.1</v>
      </c>
      <c r="Y371">
        <v>7.5</v>
      </c>
      <c r="Z371">
        <v>4</v>
      </c>
      <c r="AA371">
        <v>6.3</v>
      </c>
      <c r="AB371" s="3">
        <v>21.6</v>
      </c>
      <c r="AC371" s="3"/>
      <c r="AD371">
        <v>2</v>
      </c>
      <c r="AE371" t="s">
        <v>64</v>
      </c>
      <c r="AF371" s="4"/>
    </row>
    <row r="372" spans="1:32" x14ac:dyDescent="0.3">
      <c r="A372" t="s">
        <v>463</v>
      </c>
      <c r="B372">
        <v>20</v>
      </c>
      <c r="C372" t="str">
        <f t="shared" si="5"/>
        <v>Young Adults</v>
      </c>
      <c r="D372" t="s">
        <v>53</v>
      </c>
      <c r="E372">
        <v>2.1</v>
      </c>
      <c r="G372" t="s">
        <v>82</v>
      </c>
      <c r="H372" t="s">
        <v>83</v>
      </c>
      <c r="I372" t="s">
        <v>31</v>
      </c>
      <c r="J372">
        <v>8.5</v>
      </c>
      <c r="L372" t="s">
        <v>43</v>
      </c>
      <c r="M372" t="s">
        <v>36</v>
      </c>
      <c r="N372" t="s">
        <v>43</v>
      </c>
      <c r="O372">
        <v>1.85</v>
      </c>
      <c r="P372">
        <v>8</v>
      </c>
      <c r="Q372" t="s">
        <v>121</v>
      </c>
      <c r="R372" t="s">
        <v>57</v>
      </c>
      <c r="S372" t="b">
        <v>0</v>
      </c>
      <c r="T372" t="b">
        <v>0</v>
      </c>
      <c r="U372" t="b">
        <v>0</v>
      </c>
      <c r="V372" t="b">
        <v>0</v>
      </c>
      <c r="W372" t="b">
        <v>0</v>
      </c>
      <c r="X372">
        <v>0.4</v>
      </c>
      <c r="Y372">
        <v>9.3000000000000007</v>
      </c>
      <c r="Z372">
        <v>1</v>
      </c>
      <c r="AA372">
        <v>13</v>
      </c>
      <c r="AB372" s="3">
        <v>5.6</v>
      </c>
      <c r="AC372" s="3"/>
      <c r="AD372">
        <v>2</v>
      </c>
      <c r="AE372" t="s">
        <v>46</v>
      </c>
      <c r="AF372" s="4"/>
    </row>
    <row r="373" spans="1:32" x14ac:dyDescent="0.3">
      <c r="A373" t="s">
        <v>464</v>
      </c>
      <c r="B373">
        <v>18</v>
      </c>
      <c r="C373" t="str">
        <f t="shared" si="5"/>
        <v>Teenager</v>
      </c>
      <c r="D373" t="s">
        <v>53</v>
      </c>
      <c r="E373">
        <v>4.0999999999999996</v>
      </c>
      <c r="G373" t="s">
        <v>60</v>
      </c>
      <c r="H373" t="s">
        <v>102</v>
      </c>
      <c r="I373" t="s">
        <v>31</v>
      </c>
      <c r="J373">
        <v>6.6</v>
      </c>
      <c r="L373" t="s">
        <v>51</v>
      </c>
      <c r="M373" t="s">
        <v>45</v>
      </c>
      <c r="N373" t="s">
        <v>51</v>
      </c>
      <c r="O373">
        <v>3.98</v>
      </c>
      <c r="Q373" t="s">
        <v>105</v>
      </c>
      <c r="R373" t="s">
        <v>45</v>
      </c>
      <c r="S373" t="b">
        <v>0</v>
      </c>
      <c r="T373" t="b">
        <v>0</v>
      </c>
      <c r="U373" t="b">
        <v>0</v>
      </c>
      <c r="V373" t="b">
        <v>0</v>
      </c>
      <c r="W373" t="b">
        <v>0</v>
      </c>
      <c r="X373">
        <v>1</v>
      </c>
      <c r="Y373">
        <v>9.6</v>
      </c>
      <c r="Z373">
        <v>3</v>
      </c>
      <c r="AA373">
        <v>12.5</v>
      </c>
      <c r="AB373" s="3">
        <v>9.84</v>
      </c>
      <c r="AC373" s="3"/>
      <c r="AD373">
        <v>3</v>
      </c>
      <c r="AE373" t="s">
        <v>46</v>
      </c>
      <c r="AF373" s="4"/>
    </row>
    <row r="374" spans="1:32" x14ac:dyDescent="0.3">
      <c r="A374" t="s">
        <v>465</v>
      </c>
      <c r="B374">
        <v>21</v>
      </c>
      <c r="C374" t="str">
        <f t="shared" si="5"/>
        <v>Young Adults</v>
      </c>
      <c r="D374" t="s">
        <v>28</v>
      </c>
      <c r="E374">
        <v>10.9</v>
      </c>
      <c r="G374" t="s">
        <v>39</v>
      </c>
      <c r="H374" t="s">
        <v>120</v>
      </c>
      <c r="I374" t="s">
        <v>50</v>
      </c>
      <c r="J374">
        <v>4.2</v>
      </c>
      <c r="L374" t="s">
        <v>51</v>
      </c>
      <c r="M374" t="s">
        <v>42</v>
      </c>
      <c r="N374" t="s">
        <v>51</v>
      </c>
      <c r="O374">
        <v>3.19</v>
      </c>
      <c r="P374">
        <v>4</v>
      </c>
      <c r="Q374" t="s">
        <v>66</v>
      </c>
      <c r="R374" t="s">
        <v>33</v>
      </c>
      <c r="S374" t="b">
        <v>1</v>
      </c>
      <c r="T374" t="b">
        <v>0</v>
      </c>
      <c r="U374" t="b">
        <v>1</v>
      </c>
      <c r="V374" t="b">
        <v>1</v>
      </c>
      <c r="W374" t="b">
        <v>1</v>
      </c>
      <c r="X374">
        <v>4.3</v>
      </c>
      <c r="Y374">
        <v>5.2</v>
      </c>
      <c r="Z374">
        <v>7</v>
      </c>
      <c r="AA374">
        <v>1.6</v>
      </c>
      <c r="AB374" s="3">
        <v>259.23</v>
      </c>
      <c r="AC374" s="3"/>
      <c r="AD374">
        <v>1</v>
      </c>
      <c r="AE374" t="s">
        <v>37</v>
      </c>
      <c r="AF374" s="4"/>
    </row>
    <row r="375" spans="1:32" x14ac:dyDescent="0.3">
      <c r="A375" t="s">
        <v>466</v>
      </c>
      <c r="B375">
        <v>21</v>
      </c>
      <c r="C375" t="str">
        <f t="shared" si="5"/>
        <v>Young Adults</v>
      </c>
      <c r="D375" t="s">
        <v>53</v>
      </c>
      <c r="E375">
        <v>6.8</v>
      </c>
      <c r="G375" t="s">
        <v>60</v>
      </c>
      <c r="H375" t="s">
        <v>200</v>
      </c>
      <c r="I375" t="s">
        <v>71</v>
      </c>
      <c r="J375">
        <v>3.6</v>
      </c>
      <c r="L375" t="s">
        <v>41</v>
      </c>
      <c r="M375" t="s">
        <v>33</v>
      </c>
      <c r="N375" t="s">
        <v>51</v>
      </c>
      <c r="O375">
        <v>1.49</v>
      </c>
      <c r="P375">
        <v>8</v>
      </c>
      <c r="Q375" t="s">
        <v>69</v>
      </c>
      <c r="R375" t="s">
        <v>42</v>
      </c>
      <c r="S375" t="b">
        <v>1</v>
      </c>
      <c r="T375" t="b">
        <v>1</v>
      </c>
      <c r="U375" t="b">
        <v>0</v>
      </c>
      <c r="V375" t="b">
        <v>1</v>
      </c>
      <c r="W375" t="b">
        <v>0</v>
      </c>
      <c r="X375">
        <v>0.9</v>
      </c>
      <c r="Y375">
        <v>4.7</v>
      </c>
      <c r="Z375">
        <v>5</v>
      </c>
      <c r="AA375">
        <v>5.7</v>
      </c>
      <c r="AB375" s="3">
        <v>113.4</v>
      </c>
      <c r="AC375" s="3"/>
      <c r="AD375">
        <v>1</v>
      </c>
      <c r="AE375" t="s">
        <v>58</v>
      </c>
      <c r="AF375" s="4"/>
    </row>
    <row r="376" spans="1:32" x14ac:dyDescent="0.3">
      <c r="A376" t="s">
        <v>467</v>
      </c>
      <c r="B376">
        <v>15</v>
      </c>
      <c r="C376" t="str">
        <f t="shared" si="5"/>
        <v>Teenager</v>
      </c>
      <c r="D376" t="s">
        <v>28</v>
      </c>
      <c r="E376">
        <v>2.9</v>
      </c>
      <c r="G376" t="s">
        <v>82</v>
      </c>
      <c r="H376" t="s">
        <v>83</v>
      </c>
      <c r="I376" t="s">
        <v>86</v>
      </c>
      <c r="J376">
        <v>8.5</v>
      </c>
      <c r="L376" t="s">
        <v>41</v>
      </c>
      <c r="M376" t="s">
        <v>36</v>
      </c>
      <c r="N376" t="s">
        <v>43</v>
      </c>
      <c r="O376">
        <v>3.68</v>
      </c>
      <c r="Q376" t="s">
        <v>121</v>
      </c>
      <c r="R376" t="s">
        <v>36</v>
      </c>
      <c r="S376" t="b">
        <v>0</v>
      </c>
      <c r="T376" t="b">
        <v>0</v>
      </c>
      <c r="U376" t="b">
        <v>0</v>
      </c>
      <c r="V376" t="b">
        <v>0</v>
      </c>
      <c r="W376" t="b">
        <v>0</v>
      </c>
      <c r="X376">
        <v>0.6</v>
      </c>
      <c r="Y376">
        <v>9</v>
      </c>
      <c r="Z376">
        <v>2</v>
      </c>
      <c r="AA376">
        <v>13.3</v>
      </c>
      <c r="AB376" s="3">
        <v>34.24</v>
      </c>
      <c r="AC376" s="3"/>
      <c r="AD376">
        <v>5</v>
      </c>
      <c r="AE376" t="s">
        <v>46</v>
      </c>
      <c r="AF376" s="4"/>
    </row>
    <row r="377" spans="1:32" x14ac:dyDescent="0.3">
      <c r="A377" t="s">
        <v>468</v>
      </c>
      <c r="B377">
        <v>23</v>
      </c>
      <c r="C377" t="str">
        <f t="shared" si="5"/>
        <v>Young Adults</v>
      </c>
      <c r="D377" t="s">
        <v>28</v>
      </c>
      <c r="E377">
        <v>7.4</v>
      </c>
      <c r="G377" t="s">
        <v>29</v>
      </c>
      <c r="H377" t="s">
        <v>104</v>
      </c>
      <c r="I377" t="s">
        <v>86</v>
      </c>
      <c r="J377">
        <v>4.3</v>
      </c>
      <c r="L377" t="s">
        <v>78</v>
      </c>
      <c r="M377" t="s">
        <v>45</v>
      </c>
      <c r="N377" t="s">
        <v>34</v>
      </c>
      <c r="P377">
        <v>8</v>
      </c>
      <c r="Q377" t="s">
        <v>35</v>
      </c>
      <c r="R377" t="s">
        <v>42</v>
      </c>
      <c r="S377" t="b">
        <v>1</v>
      </c>
      <c r="T377" t="b">
        <v>0</v>
      </c>
      <c r="U377" t="b">
        <v>0</v>
      </c>
      <c r="V377" t="b">
        <v>0</v>
      </c>
      <c r="W377" t="b">
        <v>1</v>
      </c>
      <c r="X377">
        <v>3.7</v>
      </c>
      <c r="Y377">
        <v>5.9</v>
      </c>
      <c r="Z377">
        <v>2</v>
      </c>
      <c r="AA377">
        <v>6.5</v>
      </c>
      <c r="AB377" s="3">
        <v>65.5</v>
      </c>
      <c r="AC377" s="3"/>
      <c r="AD377">
        <v>2</v>
      </c>
      <c r="AE377" t="s">
        <v>64</v>
      </c>
      <c r="AF377" s="4"/>
    </row>
    <row r="378" spans="1:32" x14ac:dyDescent="0.3">
      <c r="A378" t="s">
        <v>469</v>
      </c>
      <c r="B378">
        <v>22</v>
      </c>
      <c r="C378" t="str">
        <f t="shared" si="5"/>
        <v>Young Adults</v>
      </c>
      <c r="D378" t="s">
        <v>28</v>
      </c>
      <c r="E378">
        <v>6.4</v>
      </c>
      <c r="G378" t="s">
        <v>29</v>
      </c>
      <c r="H378" t="s">
        <v>73</v>
      </c>
      <c r="I378" t="s">
        <v>71</v>
      </c>
      <c r="J378">
        <v>6.5</v>
      </c>
      <c r="L378" t="s">
        <v>43</v>
      </c>
      <c r="M378" t="s">
        <v>45</v>
      </c>
      <c r="N378" t="s">
        <v>84</v>
      </c>
      <c r="O378">
        <v>3.49</v>
      </c>
      <c r="P378">
        <v>2</v>
      </c>
      <c r="Q378" t="s">
        <v>80</v>
      </c>
      <c r="R378" t="s">
        <v>42</v>
      </c>
      <c r="S378" t="b">
        <v>0</v>
      </c>
      <c r="T378" t="b">
        <v>1</v>
      </c>
      <c r="U378" t="b">
        <v>0</v>
      </c>
      <c r="V378" t="b">
        <v>0</v>
      </c>
      <c r="W378" t="b">
        <v>1</v>
      </c>
      <c r="X378">
        <v>0.1</v>
      </c>
      <c r="Y378">
        <v>7.2</v>
      </c>
      <c r="Z378">
        <v>3</v>
      </c>
      <c r="AA378">
        <v>5.3</v>
      </c>
      <c r="AB378" s="3">
        <v>138.19</v>
      </c>
      <c r="AC378" s="3"/>
      <c r="AD378">
        <v>2</v>
      </c>
      <c r="AE378" t="s">
        <v>64</v>
      </c>
      <c r="AF378" s="4"/>
    </row>
    <row r="379" spans="1:32" x14ac:dyDescent="0.3">
      <c r="A379" t="s">
        <v>470</v>
      </c>
      <c r="B379">
        <v>18</v>
      </c>
      <c r="C379" t="str">
        <f t="shared" si="5"/>
        <v>Teenager</v>
      </c>
      <c r="D379" t="s">
        <v>28</v>
      </c>
      <c r="E379">
        <v>6.4</v>
      </c>
      <c r="G379" t="s">
        <v>54</v>
      </c>
      <c r="H379" t="s">
        <v>89</v>
      </c>
      <c r="I379" t="s">
        <v>31</v>
      </c>
      <c r="J379">
        <v>6</v>
      </c>
      <c r="L379" t="s">
        <v>51</v>
      </c>
      <c r="M379" t="s">
        <v>74</v>
      </c>
      <c r="N379" t="s">
        <v>62</v>
      </c>
      <c r="O379">
        <v>2.09</v>
      </c>
      <c r="Q379" t="s">
        <v>69</v>
      </c>
      <c r="R379" t="s">
        <v>45</v>
      </c>
      <c r="S379" t="b">
        <v>0</v>
      </c>
      <c r="T379" t="b">
        <v>0</v>
      </c>
      <c r="U379" t="b">
        <v>0</v>
      </c>
      <c r="V379" t="b">
        <v>0</v>
      </c>
      <c r="W379" t="b">
        <v>0</v>
      </c>
      <c r="X379">
        <v>2.1</v>
      </c>
      <c r="Y379">
        <v>8.1</v>
      </c>
      <c r="Z379">
        <v>3</v>
      </c>
      <c r="AA379">
        <v>7.5</v>
      </c>
      <c r="AB379" s="3">
        <v>122.38</v>
      </c>
      <c r="AC379" s="3"/>
      <c r="AD379">
        <v>4</v>
      </c>
      <c r="AE379" t="s">
        <v>46</v>
      </c>
      <c r="AF379" s="4"/>
    </row>
    <row r="380" spans="1:32" x14ac:dyDescent="0.3">
      <c r="A380" t="s">
        <v>471</v>
      </c>
      <c r="B380">
        <v>19</v>
      </c>
      <c r="C380" t="str">
        <f t="shared" si="5"/>
        <v>Teenager</v>
      </c>
      <c r="D380" t="s">
        <v>53</v>
      </c>
      <c r="E380">
        <v>5.9</v>
      </c>
      <c r="G380" t="s">
        <v>54</v>
      </c>
      <c r="H380" t="s">
        <v>55</v>
      </c>
      <c r="I380" t="s">
        <v>86</v>
      </c>
      <c r="J380">
        <v>6.3</v>
      </c>
      <c r="L380" t="s">
        <v>41</v>
      </c>
      <c r="M380" t="s">
        <v>42</v>
      </c>
      <c r="N380" t="s">
        <v>62</v>
      </c>
      <c r="O380">
        <v>3.28</v>
      </c>
      <c r="P380">
        <v>10</v>
      </c>
      <c r="Q380" t="s">
        <v>66</v>
      </c>
      <c r="R380" t="s">
        <v>57</v>
      </c>
      <c r="S380" t="b">
        <v>0</v>
      </c>
      <c r="T380" t="b">
        <v>0</v>
      </c>
      <c r="U380" t="b">
        <v>0</v>
      </c>
      <c r="V380" t="b">
        <v>0</v>
      </c>
      <c r="W380" t="b">
        <v>1</v>
      </c>
      <c r="X380">
        <v>0.5</v>
      </c>
      <c r="Y380">
        <v>8.8000000000000007</v>
      </c>
      <c r="Z380">
        <v>3</v>
      </c>
      <c r="AA380">
        <v>10.199999999999999</v>
      </c>
      <c r="AB380" s="3">
        <v>89.49</v>
      </c>
      <c r="AC380" s="3"/>
      <c r="AD380">
        <v>4</v>
      </c>
      <c r="AE380" t="s">
        <v>46</v>
      </c>
      <c r="AF380" s="4"/>
    </row>
    <row r="381" spans="1:32" x14ac:dyDescent="0.3">
      <c r="A381" t="s">
        <v>472</v>
      </c>
      <c r="B381">
        <v>18</v>
      </c>
      <c r="C381" t="str">
        <f t="shared" si="5"/>
        <v>Teenager</v>
      </c>
      <c r="D381" t="s">
        <v>28</v>
      </c>
      <c r="E381">
        <v>6.5</v>
      </c>
      <c r="G381" t="s">
        <v>82</v>
      </c>
      <c r="H381" t="s">
        <v>83</v>
      </c>
      <c r="I381" t="s">
        <v>86</v>
      </c>
      <c r="J381">
        <v>4.5999999999999996</v>
      </c>
      <c r="L381" t="s">
        <v>51</v>
      </c>
      <c r="M381" t="s">
        <v>74</v>
      </c>
      <c r="N381" t="s">
        <v>129</v>
      </c>
      <c r="O381">
        <v>3.7</v>
      </c>
      <c r="Q381" t="s">
        <v>63</v>
      </c>
      <c r="R381" t="s">
        <v>33</v>
      </c>
      <c r="S381" t="b">
        <v>0</v>
      </c>
      <c r="T381" t="b">
        <v>1</v>
      </c>
      <c r="U381" t="b">
        <v>0</v>
      </c>
      <c r="V381" t="b">
        <v>1</v>
      </c>
      <c r="W381" t="b">
        <v>0</v>
      </c>
      <c r="X381">
        <v>3.3</v>
      </c>
      <c r="Y381">
        <v>8</v>
      </c>
      <c r="Z381">
        <v>3</v>
      </c>
      <c r="AA381">
        <v>8.6999999999999993</v>
      </c>
      <c r="AB381" s="3">
        <v>117.74</v>
      </c>
      <c r="AC381" s="3"/>
      <c r="AD381">
        <v>8</v>
      </c>
      <c r="AE381" t="s">
        <v>64</v>
      </c>
      <c r="AF381" s="4"/>
    </row>
    <row r="382" spans="1:32" x14ac:dyDescent="0.3">
      <c r="A382" t="s">
        <v>473</v>
      </c>
      <c r="B382">
        <v>17</v>
      </c>
      <c r="C382" t="str">
        <f t="shared" si="5"/>
        <v>Teenager</v>
      </c>
      <c r="D382" t="s">
        <v>28</v>
      </c>
      <c r="E382">
        <v>5.2</v>
      </c>
      <c r="G382" t="s">
        <v>48</v>
      </c>
      <c r="H382" t="s">
        <v>49</v>
      </c>
      <c r="I382" t="s">
        <v>50</v>
      </c>
      <c r="J382">
        <v>6.4</v>
      </c>
      <c r="L382" t="s">
        <v>41</v>
      </c>
      <c r="M382" t="s">
        <v>45</v>
      </c>
      <c r="N382" t="s">
        <v>84</v>
      </c>
      <c r="O382">
        <v>2.2200000000000002</v>
      </c>
      <c r="Q382" t="s">
        <v>63</v>
      </c>
      <c r="R382" t="s">
        <v>33</v>
      </c>
      <c r="S382" t="b">
        <v>0</v>
      </c>
      <c r="T382" t="b">
        <v>0</v>
      </c>
      <c r="U382" t="b">
        <v>0</v>
      </c>
      <c r="V382" t="b">
        <v>1</v>
      </c>
      <c r="W382" t="b">
        <v>0</v>
      </c>
      <c r="X382">
        <v>0.9</v>
      </c>
      <c r="Y382">
        <v>7.8</v>
      </c>
      <c r="Z382">
        <v>2</v>
      </c>
      <c r="AA382">
        <v>9.1</v>
      </c>
      <c r="AB382" s="3">
        <v>115.04</v>
      </c>
      <c r="AC382" s="3"/>
      <c r="AD382">
        <v>4</v>
      </c>
      <c r="AE382" t="s">
        <v>46</v>
      </c>
      <c r="AF382" s="4"/>
    </row>
    <row r="383" spans="1:32" x14ac:dyDescent="0.3">
      <c r="A383" t="s">
        <v>474</v>
      </c>
      <c r="B383">
        <v>17</v>
      </c>
      <c r="C383" t="str">
        <f t="shared" si="5"/>
        <v>Teenager</v>
      </c>
      <c r="D383" t="s">
        <v>53</v>
      </c>
      <c r="E383">
        <v>8.9</v>
      </c>
      <c r="G383" t="s">
        <v>60</v>
      </c>
      <c r="H383" t="s">
        <v>96</v>
      </c>
      <c r="I383" t="s">
        <v>86</v>
      </c>
      <c r="J383">
        <v>5.2</v>
      </c>
      <c r="L383" t="s">
        <v>78</v>
      </c>
      <c r="M383" t="s">
        <v>74</v>
      </c>
      <c r="N383" t="s">
        <v>34</v>
      </c>
      <c r="O383">
        <v>2.4300000000000002</v>
      </c>
      <c r="Q383" t="s">
        <v>44</v>
      </c>
      <c r="R383" t="s">
        <v>57</v>
      </c>
      <c r="S383" t="b">
        <v>1</v>
      </c>
      <c r="T383" t="b">
        <v>1</v>
      </c>
      <c r="U383" t="b">
        <v>1</v>
      </c>
      <c r="V383" t="b">
        <v>1</v>
      </c>
      <c r="W383" t="b">
        <v>0</v>
      </c>
      <c r="X383">
        <v>0.9</v>
      </c>
      <c r="Y383">
        <v>4.7</v>
      </c>
      <c r="Z383">
        <v>5</v>
      </c>
      <c r="AA383">
        <v>4.5999999999999996</v>
      </c>
      <c r="AB383" s="3">
        <v>206.91</v>
      </c>
      <c r="AC383" s="3"/>
      <c r="AD383">
        <v>6</v>
      </c>
      <c r="AE383" t="s">
        <v>37</v>
      </c>
      <c r="AF383" s="4"/>
    </row>
    <row r="384" spans="1:32" x14ac:dyDescent="0.3">
      <c r="A384" t="s">
        <v>475</v>
      </c>
      <c r="B384">
        <v>18</v>
      </c>
      <c r="C384" t="str">
        <f t="shared" si="5"/>
        <v>Teenager</v>
      </c>
      <c r="D384" t="s">
        <v>28</v>
      </c>
      <c r="E384">
        <v>7.1</v>
      </c>
      <c r="G384" t="s">
        <v>82</v>
      </c>
      <c r="H384" t="s">
        <v>134</v>
      </c>
      <c r="I384" t="s">
        <v>86</v>
      </c>
      <c r="J384">
        <v>4.3</v>
      </c>
      <c r="L384" t="s">
        <v>51</v>
      </c>
      <c r="M384" t="s">
        <v>45</v>
      </c>
      <c r="N384" t="s">
        <v>34</v>
      </c>
      <c r="O384">
        <v>3.79</v>
      </c>
      <c r="Q384" t="s">
        <v>44</v>
      </c>
      <c r="R384" t="s">
        <v>57</v>
      </c>
      <c r="S384" t="b">
        <v>1</v>
      </c>
      <c r="T384" t="b">
        <v>0</v>
      </c>
      <c r="U384" t="b">
        <v>0</v>
      </c>
      <c r="V384" t="b">
        <v>1</v>
      </c>
      <c r="W384" t="b">
        <v>1</v>
      </c>
      <c r="X384">
        <v>0.7</v>
      </c>
      <c r="Y384">
        <v>8.1</v>
      </c>
      <c r="Z384">
        <v>5</v>
      </c>
      <c r="AA384">
        <v>7.2</v>
      </c>
      <c r="AB384" s="3">
        <v>70.709999999999994</v>
      </c>
      <c r="AC384" s="3"/>
      <c r="AD384">
        <v>6</v>
      </c>
      <c r="AE384" t="s">
        <v>64</v>
      </c>
      <c r="AF384" s="4"/>
    </row>
    <row r="385" spans="1:32" x14ac:dyDescent="0.3">
      <c r="A385" t="s">
        <v>476</v>
      </c>
      <c r="B385">
        <v>21</v>
      </c>
      <c r="C385" t="str">
        <f t="shared" si="5"/>
        <v>Young Adults</v>
      </c>
      <c r="D385" t="s">
        <v>53</v>
      </c>
      <c r="E385">
        <v>6.1</v>
      </c>
      <c r="G385" t="s">
        <v>29</v>
      </c>
      <c r="H385" t="s">
        <v>118</v>
      </c>
      <c r="I385" t="s">
        <v>31</v>
      </c>
      <c r="J385">
        <v>5.6</v>
      </c>
      <c r="L385" t="s">
        <v>51</v>
      </c>
      <c r="M385" t="s">
        <v>74</v>
      </c>
      <c r="N385" t="s">
        <v>43</v>
      </c>
      <c r="O385">
        <v>2.35</v>
      </c>
      <c r="P385">
        <v>8</v>
      </c>
      <c r="Q385" t="s">
        <v>66</v>
      </c>
      <c r="R385" t="s">
        <v>57</v>
      </c>
      <c r="S385" t="b">
        <v>0</v>
      </c>
      <c r="T385" t="b">
        <v>1</v>
      </c>
      <c r="U385" t="b">
        <v>0</v>
      </c>
      <c r="V385" t="b">
        <v>0</v>
      </c>
      <c r="W385" t="b">
        <v>1</v>
      </c>
      <c r="X385">
        <v>0.9</v>
      </c>
      <c r="Y385">
        <v>8.1999999999999993</v>
      </c>
      <c r="Z385">
        <v>4</v>
      </c>
      <c r="AA385">
        <v>10.7</v>
      </c>
      <c r="AB385" s="3">
        <v>143.21</v>
      </c>
      <c r="AC385" s="3"/>
      <c r="AD385">
        <v>6</v>
      </c>
      <c r="AE385" t="s">
        <v>64</v>
      </c>
      <c r="AF385" s="4"/>
    </row>
    <row r="386" spans="1:32" x14ac:dyDescent="0.3">
      <c r="A386" t="s">
        <v>477</v>
      </c>
      <c r="B386">
        <v>18</v>
      </c>
      <c r="C386" t="str">
        <f t="shared" si="5"/>
        <v>Teenager</v>
      </c>
      <c r="D386" t="s">
        <v>28</v>
      </c>
      <c r="E386">
        <v>4.5</v>
      </c>
      <c r="G386" t="s">
        <v>76</v>
      </c>
      <c r="H386" t="s">
        <v>110</v>
      </c>
      <c r="I386" t="s">
        <v>31</v>
      </c>
      <c r="J386">
        <v>5</v>
      </c>
      <c r="L386" t="s">
        <v>41</v>
      </c>
      <c r="M386" t="s">
        <v>74</v>
      </c>
      <c r="N386" t="s">
        <v>62</v>
      </c>
      <c r="O386">
        <v>2.29</v>
      </c>
      <c r="Q386" t="s">
        <v>80</v>
      </c>
      <c r="R386" t="s">
        <v>45</v>
      </c>
      <c r="S386" t="b">
        <v>0</v>
      </c>
      <c r="T386" t="b">
        <v>0</v>
      </c>
      <c r="U386" t="b">
        <v>0</v>
      </c>
      <c r="V386" t="b">
        <v>0</v>
      </c>
      <c r="W386" t="b">
        <v>0</v>
      </c>
      <c r="X386">
        <v>3.4</v>
      </c>
      <c r="Y386">
        <v>9.5</v>
      </c>
      <c r="Z386">
        <v>1</v>
      </c>
      <c r="AA386">
        <v>11.2</v>
      </c>
      <c r="AB386" s="3">
        <v>2.0699999999999998</v>
      </c>
      <c r="AC386" s="3"/>
      <c r="AD386">
        <v>6</v>
      </c>
      <c r="AE386" t="s">
        <v>46</v>
      </c>
      <c r="AF386" s="4"/>
    </row>
    <row r="387" spans="1:32" x14ac:dyDescent="0.3">
      <c r="A387" t="s">
        <v>478</v>
      </c>
      <c r="B387">
        <v>19</v>
      </c>
      <c r="C387" t="str">
        <f t="shared" ref="C387:C450" si="6">IF(B387&lt;=19,"Teenager",IF(B387&lt;=30,"Young Adults",IF(B387&gt;30,"Old Adults")))</f>
        <v>Teenager</v>
      </c>
      <c r="D387" t="s">
        <v>53</v>
      </c>
      <c r="E387">
        <v>6.6</v>
      </c>
      <c r="G387" t="s">
        <v>29</v>
      </c>
      <c r="H387" t="s">
        <v>30</v>
      </c>
      <c r="I387" t="s">
        <v>71</v>
      </c>
      <c r="J387">
        <v>4</v>
      </c>
      <c r="L387" t="s">
        <v>51</v>
      </c>
      <c r="M387" t="s">
        <v>36</v>
      </c>
      <c r="N387" t="s">
        <v>129</v>
      </c>
      <c r="O387">
        <v>3.2</v>
      </c>
      <c r="P387">
        <v>6</v>
      </c>
      <c r="Q387" t="s">
        <v>66</v>
      </c>
      <c r="R387" t="s">
        <v>57</v>
      </c>
      <c r="S387" t="b">
        <v>1</v>
      </c>
      <c r="T387" t="b">
        <v>1</v>
      </c>
      <c r="U387" t="b">
        <v>0</v>
      </c>
      <c r="V387" t="b">
        <v>0</v>
      </c>
      <c r="W387" t="b">
        <v>1</v>
      </c>
      <c r="X387">
        <v>1</v>
      </c>
      <c r="Y387">
        <v>8.1</v>
      </c>
      <c r="Z387">
        <v>5</v>
      </c>
      <c r="AA387">
        <v>7.8</v>
      </c>
      <c r="AB387" s="3">
        <v>68.84</v>
      </c>
      <c r="AC387" s="3"/>
      <c r="AD387">
        <v>7</v>
      </c>
      <c r="AE387" t="s">
        <v>58</v>
      </c>
      <c r="AF387" s="4"/>
    </row>
    <row r="388" spans="1:32" x14ac:dyDescent="0.3">
      <c r="A388" t="s">
        <v>479</v>
      </c>
      <c r="B388">
        <v>19</v>
      </c>
      <c r="C388" t="str">
        <f t="shared" si="6"/>
        <v>Teenager</v>
      </c>
      <c r="D388" t="s">
        <v>53</v>
      </c>
      <c r="E388">
        <v>6.8</v>
      </c>
      <c r="G388" t="s">
        <v>60</v>
      </c>
      <c r="H388" t="s">
        <v>61</v>
      </c>
      <c r="I388" t="s">
        <v>86</v>
      </c>
      <c r="J388">
        <v>5</v>
      </c>
      <c r="L388" t="s">
        <v>32</v>
      </c>
      <c r="M388" t="s">
        <v>42</v>
      </c>
      <c r="N388" t="s">
        <v>129</v>
      </c>
      <c r="O388">
        <v>1.87</v>
      </c>
      <c r="P388">
        <v>7</v>
      </c>
      <c r="Q388" t="s">
        <v>63</v>
      </c>
      <c r="R388" t="s">
        <v>42</v>
      </c>
      <c r="S388" t="b">
        <v>1</v>
      </c>
      <c r="T388" t="b">
        <v>1</v>
      </c>
      <c r="U388" t="b">
        <v>0</v>
      </c>
      <c r="V388" t="b">
        <v>0</v>
      </c>
      <c r="W388" t="b">
        <v>1</v>
      </c>
      <c r="X388">
        <v>1.1000000000000001</v>
      </c>
      <c r="Y388">
        <v>5.2</v>
      </c>
      <c r="Z388">
        <v>4</v>
      </c>
      <c r="AA388">
        <v>7.6</v>
      </c>
      <c r="AB388" s="3">
        <v>20.72</v>
      </c>
      <c r="AC388" s="3"/>
      <c r="AD388">
        <v>3</v>
      </c>
      <c r="AE388" t="s">
        <v>58</v>
      </c>
      <c r="AF388" s="4"/>
    </row>
    <row r="389" spans="1:32" x14ac:dyDescent="0.3">
      <c r="A389" t="s">
        <v>480</v>
      </c>
      <c r="B389">
        <v>18</v>
      </c>
      <c r="C389" t="str">
        <f t="shared" si="6"/>
        <v>Teenager</v>
      </c>
      <c r="D389" t="s">
        <v>28</v>
      </c>
      <c r="E389">
        <v>5.2</v>
      </c>
      <c r="G389" t="s">
        <v>39</v>
      </c>
      <c r="H389" t="s">
        <v>40</v>
      </c>
      <c r="I389" t="s">
        <v>86</v>
      </c>
      <c r="J389">
        <v>5.7</v>
      </c>
      <c r="L389" t="s">
        <v>41</v>
      </c>
      <c r="M389" t="s">
        <v>36</v>
      </c>
      <c r="N389" t="s">
        <v>43</v>
      </c>
      <c r="O389">
        <v>3.09</v>
      </c>
      <c r="Q389" t="s">
        <v>44</v>
      </c>
      <c r="R389" t="s">
        <v>33</v>
      </c>
      <c r="S389" t="b">
        <v>0</v>
      </c>
      <c r="T389" t="b">
        <v>0</v>
      </c>
      <c r="U389" t="b">
        <v>0</v>
      </c>
      <c r="V389" t="b">
        <v>0</v>
      </c>
      <c r="W389" t="b">
        <v>0</v>
      </c>
      <c r="X389">
        <v>0</v>
      </c>
      <c r="Y389">
        <v>7.6</v>
      </c>
      <c r="Z389">
        <v>4</v>
      </c>
      <c r="AA389">
        <v>11.4</v>
      </c>
      <c r="AB389" s="3">
        <v>67.5</v>
      </c>
      <c r="AC389" s="3"/>
      <c r="AD389">
        <v>5</v>
      </c>
      <c r="AE389" t="s">
        <v>46</v>
      </c>
      <c r="AF389" s="4"/>
    </row>
    <row r="390" spans="1:32" x14ac:dyDescent="0.3">
      <c r="A390" t="s">
        <v>481</v>
      </c>
      <c r="B390">
        <v>19</v>
      </c>
      <c r="C390" t="str">
        <f t="shared" si="6"/>
        <v>Teenager</v>
      </c>
      <c r="D390" t="s">
        <v>53</v>
      </c>
      <c r="E390">
        <v>5.2</v>
      </c>
      <c r="G390" t="s">
        <v>39</v>
      </c>
      <c r="H390" t="s">
        <v>40</v>
      </c>
      <c r="I390" t="s">
        <v>71</v>
      </c>
      <c r="J390">
        <v>5.0999999999999996</v>
      </c>
      <c r="L390" t="s">
        <v>32</v>
      </c>
      <c r="M390" t="s">
        <v>45</v>
      </c>
      <c r="N390" t="s">
        <v>129</v>
      </c>
      <c r="O390">
        <v>1.45</v>
      </c>
      <c r="P390">
        <v>6</v>
      </c>
      <c r="Q390" t="s">
        <v>66</v>
      </c>
      <c r="R390" t="s">
        <v>33</v>
      </c>
      <c r="S390" t="b">
        <v>0</v>
      </c>
      <c r="T390" t="b">
        <v>0</v>
      </c>
      <c r="U390" t="b">
        <v>0</v>
      </c>
      <c r="V390" t="b">
        <v>1</v>
      </c>
      <c r="W390" t="b">
        <v>0</v>
      </c>
      <c r="X390">
        <v>1.7</v>
      </c>
      <c r="Y390">
        <v>6.9</v>
      </c>
      <c r="Z390">
        <v>2</v>
      </c>
      <c r="AA390">
        <v>10.8</v>
      </c>
      <c r="AB390" s="3">
        <v>148.41</v>
      </c>
      <c r="AC390" s="3"/>
      <c r="AD390">
        <v>9</v>
      </c>
      <c r="AE390" t="s">
        <v>46</v>
      </c>
      <c r="AF390" s="4"/>
    </row>
    <row r="391" spans="1:32" x14ac:dyDescent="0.3">
      <c r="A391" t="s">
        <v>482</v>
      </c>
      <c r="B391">
        <v>22</v>
      </c>
      <c r="C391" t="str">
        <f t="shared" si="6"/>
        <v>Young Adults</v>
      </c>
      <c r="D391" t="s">
        <v>53</v>
      </c>
      <c r="E391">
        <v>3.8</v>
      </c>
      <c r="G391" t="s">
        <v>48</v>
      </c>
      <c r="H391" t="s">
        <v>49</v>
      </c>
      <c r="I391" t="s">
        <v>71</v>
      </c>
      <c r="J391">
        <v>6</v>
      </c>
      <c r="L391" t="s">
        <v>41</v>
      </c>
      <c r="M391" t="s">
        <v>33</v>
      </c>
      <c r="N391" t="s">
        <v>34</v>
      </c>
      <c r="O391">
        <v>3.83</v>
      </c>
      <c r="P391">
        <v>4</v>
      </c>
      <c r="Q391" t="s">
        <v>63</v>
      </c>
      <c r="R391" t="s">
        <v>42</v>
      </c>
      <c r="S391" t="b">
        <v>0</v>
      </c>
      <c r="T391" t="b">
        <v>0</v>
      </c>
      <c r="U391" t="b">
        <v>0</v>
      </c>
      <c r="V391" t="b">
        <v>0</v>
      </c>
      <c r="W391" t="b">
        <v>0</v>
      </c>
      <c r="X391">
        <v>1</v>
      </c>
      <c r="Y391">
        <v>6.7</v>
      </c>
      <c r="Z391">
        <v>1</v>
      </c>
      <c r="AA391">
        <v>10.6</v>
      </c>
      <c r="AB391" s="3">
        <v>48.79</v>
      </c>
      <c r="AC391" s="3"/>
      <c r="AD391">
        <v>8</v>
      </c>
      <c r="AE391" t="s">
        <v>46</v>
      </c>
      <c r="AF391" s="4"/>
    </row>
    <row r="392" spans="1:32" x14ac:dyDescent="0.3">
      <c r="A392" t="s">
        <v>483</v>
      </c>
      <c r="B392">
        <v>14</v>
      </c>
      <c r="C392" t="str">
        <f t="shared" si="6"/>
        <v>Teenager</v>
      </c>
      <c r="D392" t="s">
        <v>53</v>
      </c>
      <c r="E392">
        <v>5.8</v>
      </c>
      <c r="G392" t="s">
        <v>82</v>
      </c>
      <c r="H392" t="s">
        <v>83</v>
      </c>
      <c r="I392" t="s">
        <v>31</v>
      </c>
      <c r="J392">
        <v>5.9</v>
      </c>
      <c r="L392" t="s">
        <v>51</v>
      </c>
      <c r="M392" t="s">
        <v>45</v>
      </c>
      <c r="N392" t="s">
        <v>62</v>
      </c>
      <c r="O392">
        <v>2.4</v>
      </c>
      <c r="Q392" t="s">
        <v>80</v>
      </c>
      <c r="R392" t="s">
        <v>33</v>
      </c>
      <c r="S392" t="b">
        <v>0</v>
      </c>
      <c r="T392" t="b">
        <v>0</v>
      </c>
      <c r="U392" t="b">
        <v>0</v>
      </c>
      <c r="V392" t="b">
        <v>0</v>
      </c>
      <c r="W392" t="b">
        <v>1</v>
      </c>
      <c r="X392">
        <v>2.7</v>
      </c>
      <c r="Y392">
        <v>8.5</v>
      </c>
      <c r="Z392">
        <v>5</v>
      </c>
      <c r="AA392">
        <v>9.4</v>
      </c>
      <c r="AB392" s="3">
        <v>86.15</v>
      </c>
      <c r="AC392" s="3"/>
      <c r="AD392">
        <v>4</v>
      </c>
      <c r="AE392" t="s">
        <v>46</v>
      </c>
      <c r="AF392" s="4"/>
    </row>
    <row r="393" spans="1:32" x14ac:dyDescent="0.3">
      <c r="A393" t="s">
        <v>484</v>
      </c>
      <c r="B393">
        <v>26</v>
      </c>
      <c r="C393" t="str">
        <f t="shared" si="6"/>
        <v>Young Adults</v>
      </c>
      <c r="D393" t="s">
        <v>28</v>
      </c>
      <c r="E393">
        <v>7.4</v>
      </c>
      <c r="G393" t="s">
        <v>39</v>
      </c>
      <c r="H393" t="s">
        <v>120</v>
      </c>
      <c r="I393" t="s">
        <v>86</v>
      </c>
      <c r="J393">
        <v>4.0999999999999996</v>
      </c>
      <c r="L393" t="s">
        <v>51</v>
      </c>
      <c r="M393" t="s">
        <v>33</v>
      </c>
      <c r="N393" t="s">
        <v>34</v>
      </c>
      <c r="P393">
        <v>7</v>
      </c>
      <c r="Q393" t="s">
        <v>69</v>
      </c>
      <c r="R393" t="s">
        <v>57</v>
      </c>
      <c r="S393" t="b">
        <v>1</v>
      </c>
      <c r="T393" t="b">
        <v>1</v>
      </c>
      <c r="U393" t="b">
        <v>0</v>
      </c>
      <c r="V393" t="b">
        <v>1</v>
      </c>
      <c r="W393" t="b">
        <v>1</v>
      </c>
      <c r="X393">
        <v>1.8</v>
      </c>
      <c r="Y393">
        <v>8.4</v>
      </c>
      <c r="Z393">
        <v>3</v>
      </c>
      <c r="AA393">
        <v>8.5</v>
      </c>
      <c r="AB393" s="3">
        <v>61.67</v>
      </c>
      <c r="AC393" s="3"/>
      <c r="AD393">
        <v>16</v>
      </c>
      <c r="AE393" t="s">
        <v>58</v>
      </c>
      <c r="AF393" s="4"/>
    </row>
    <row r="394" spans="1:32" x14ac:dyDescent="0.3">
      <c r="A394" t="s">
        <v>485</v>
      </c>
      <c r="B394">
        <v>19</v>
      </c>
      <c r="C394" t="str">
        <f t="shared" si="6"/>
        <v>Teenager</v>
      </c>
      <c r="D394" t="s">
        <v>28</v>
      </c>
      <c r="E394">
        <v>9.3000000000000007</v>
      </c>
      <c r="G394" t="s">
        <v>48</v>
      </c>
      <c r="H394" t="s">
        <v>214</v>
      </c>
      <c r="I394" t="s">
        <v>50</v>
      </c>
      <c r="J394">
        <v>3</v>
      </c>
      <c r="L394" t="s">
        <v>51</v>
      </c>
      <c r="M394" t="s">
        <v>74</v>
      </c>
      <c r="N394" t="s">
        <v>51</v>
      </c>
      <c r="O394">
        <v>1.42</v>
      </c>
      <c r="P394">
        <v>8</v>
      </c>
      <c r="Q394" t="s">
        <v>105</v>
      </c>
      <c r="R394" t="s">
        <v>33</v>
      </c>
      <c r="S394" t="b">
        <v>0</v>
      </c>
      <c r="T394" t="b">
        <v>0</v>
      </c>
      <c r="U394" t="b">
        <v>0</v>
      </c>
      <c r="V394" t="b">
        <v>1</v>
      </c>
      <c r="W394" t="b">
        <v>1</v>
      </c>
      <c r="X394">
        <v>4.5</v>
      </c>
      <c r="Y394">
        <v>7.2</v>
      </c>
      <c r="Z394">
        <v>5</v>
      </c>
      <c r="AA394">
        <v>2.4</v>
      </c>
      <c r="AB394" s="3">
        <v>232.19</v>
      </c>
      <c r="AC394" s="3"/>
      <c r="AD394">
        <v>8</v>
      </c>
      <c r="AE394" t="s">
        <v>64</v>
      </c>
      <c r="AF394" s="4"/>
    </row>
    <row r="395" spans="1:32" x14ac:dyDescent="0.3">
      <c r="A395" t="s">
        <v>486</v>
      </c>
      <c r="B395">
        <v>19</v>
      </c>
      <c r="C395" t="str">
        <f t="shared" si="6"/>
        <v>Teenager</v>
      </c>
      <c r="D395" t="s">
        <v>53</v>
      </c>
      <c r="E395">
        <v>5.9</v>
      </c>
      <c r="G395" t="s">
        <v>60</v>
      </c>
      <c r="H395" t="s">
        <v>102</v>
      </c>
      <c r="I395" t="s">
        <v>50</v>
      </c>
      <c r="J395">
        <v>6.4</v>
      </c>
      <c r="L395" t="s">
        <v>41</v>
      </c>
      <c r="M395" t="s">
        <v>42</v>
      </c>
      <c r="N395" t="s">
        <v>34</v>
      </c>
      <c r="O395">
        <v>2.4700000000000002</v>
      </c>
      <c r="P395">
        <v>7</v>
      </c>
      <c r="Q395" t="s">
        <v>80</v>
      </c>
      <c r="R395" t="s">
        <v>45</v>
      </c>
      <c r="S395" t="b">
        <v>0</v>
      </c>
      <c r="T395" t="b">
        <v>1</v>
      </c>
      <c r="U395" t="b">
        <v>0</v>
      </c>
      <c r="V395" t="b">
        <v>1</v>
      </c>
      <c r="W395" t="b">
        <v>0</v>
      </c>
      <c r="X395">
        <v>0.9</v>
      </c>
      <c r="Y395">
        <v>5.3</v>
      </c>
      <c r="Z395">
        <v>5</v>
      </c>
      <c r="AA395">
        <v>6.5</v>
      </c>
      <c r="AB395" s="3">
        <v>120.38</v>
      </c>
      <c r="AC395" s="3"/>
      <c r="AD395">
        <v>7</v>
      </c>
      <c r="AE395" t="s">
        <v>64</v>
      </c>
      <c r="AF395" s="4"/>
    </row>
    <row r="396" spans="1:32" x14ac:dyDescent="0.3">
      <c r="A396" t="s">
        <v>487</v>
      </c>
      <c r="B396">
        <v>26</v>
      </c>
      <c r="C396" t="str">
        <f t="shared" si="6"/>
        <v>Young Adults</v>
      </c>
      <c r="D396" t="s">
        <v>53</v>
      </c>
      <c r="E396">
        <v>13.9</v>
      </c>
      <c r="G396" t="s">
        <v>29</v>
      </c>
      <c r="H396" t="s">
        <v>30</v>
      </c>
      <c r="I396" t="s">
        <v>71</v>
      </c>
      <c r="J396">
        <v>4.5</v>
      </c>
      <c r="L396" t="s">
        <v>51</v>
      </c>
      <c r="M396" t="s">
        <v>45</v>
      </c>
      <c r="N396" t="s">
        <v>51</v>
      </c>
      <c r="P396">
        <v>5</v>
      </c>
      <c r="Q396" t="s">
        <v>44</v>
      </c>
      <c r="R396" t="s">
        <v>33</v>
      </c>
      <c r="S396" t="b">
        <v>1</v>
      </c>
      <c r="T396" t="b">
        <v>1</v>
      </c>
      <c r="U396" t="b">
        <v>0</v>
      </c>
      <c r="V396" t="b">
        <v>1</v>
      </c>
      <c r="W396" t="b">
        <v>0</v>
      </c>
      <c r="X396">
        <v>2.9</v>
      </c>
      <c r="Y396">
        <v>4.9000000000000004</v>
      </c>
      <c r="Z396">
        <v>10</v>
      </c>
      <c r="AA396">
        <v>0</v>
      </c>
      <c r="AB396" s="3">
        <v>247.18</v>
      </c>
      <c r="AC396" s="3"/>
      <c r="AD396">
        <v>13</v>
      </c>
      <c r="AE396" t="s">
        <v>37</v>
      </c>
      <c r="AF396" s="4"/>
    </row>
    <row r="397" spans="1:32" x14ac:dyDescent="0.3">
      <c r="A397" t="s">
        <v>488</v>
      </c>
      <c r="B397">
        <v>19</v>
      </c>
      <c r="C397" t="str">
        <f t="shared" si="6"/>
        <v>Teenager</v>
      </c>
      <c r="D397" t="s">
        <v>28</v>
      </c>
      <c r="E397">
        <v>5.8</v>
      </c>
      <c r="G397" t="s">
        <v>29</v>
      </c>
      <c r="H397" t="s">
        <v>73</v>
      </c>
      <c r="I397" t="s">
        <v>86</v>
      </c>
      <c r="J397">
        <v>5.7</v>
      </c>
      <c r="L397" t="s">
        <v>41</v>
      </c>
      <c r="M397" t="s">
        <v>74</v>
      </c>
      <c r="N397" t="s">
        <v>62</v>
      </c>
      <c r="O397">
        <v>2.61</v>
      </c>
      <c r="P397">
        <v>5</v>
      </c>
      <c r="Q397" t="s">
        <v>35</v>
      </c>
      <c r="R397" t="s">
        <v>33</v>
      </c>
      <c r="S397" t="b">
        <v>0</v>
      </c>
      <c r="T397" t="b">
        <v>1</v>
      </c>
      <c r="U397" t="b">
        <v>0</v>
      </c>
      <c r="V397" t="b">
        <v>1</v>
      </c>
      <c r="W397" t="b">
        <v>1</v>
      </c>
      <c r="X397">
        <v>0.5</v>
      </c>
      <c r="Y397">
        <v>6.5</v>
      </c>
      <c r="Z397">
        <v>4</v>
      </c>
      <c r="AA397">
        <v>5</v>
      </c>
      <c r="AB397" s="3">
        <v>96.56</v>
      </c>
      <c r="AC397" s="3"/>
      <c r="AD397">
        <v>5</v>
      </c>
      <c r="AE397" t="s">
        <v>64</v>
      </c>
      <c r="AF397" s="4"/>
    </row>
    <row r="398" spans="1:32" x14ac:dyDescent="0.3">
      <c r="A398" t="s">
        <v>489</v>
      </c>
      <c r="B398">
        <v>13</v>
      </c>
      <c r="C398" t="str">
        <f t="shared" si="6"/>
        <v>Teenager</v>
      </c>
      <c r="D398" t="s">
        <v>28</v>
      </c>
      <c r="E398">
        <v>6.4</v>
      </c>
      <c r="G398" t="s">
        <v>76</v>
      </c>
      <c r="H398" t="s">
        <v>110</v>
      </c>
      <c r="I398" t="s">
        <v>50</v>
      </c>
      <c r="J398">
        <v>5.5</v>
      </c>
      <c r="L398" t="s">
        <v>43</v>
      </c>
      <c r="M398" t="s">
        <v>33</v>
      </c>
      <c r="N398" t="s">
        <v>62</v>
      </c>
      <c r="O398">
        <v>3.75</v>
      </c>
      <c r="Q398" t="s">
        <v>44</v>
      </c>
      <c r="R398" t="s">
        <v>45</v>
      </c>
      <c r="S398" t="b">
        <v>0</v>
      </c>
      <c r="T398" t="b">
        <v>1</v>
      </c>
      <c r="U398" t="b">
        <v>0</v>
      </c>
      <c r="V398" t="b">
        <v>0</v>
      </c>
      <c r="W398" t="b">
        <v>1</v>
      </c>
      <c r="X398">
        <v>0.3</v>
      </c>
      <c r="Y398">
        <v>5.3</v>
      </c>
      <c r="Z398">
        <v>4</v>
      </c>
      <c r="AA398">
        <v>5.0999999999999996</v>
      </c>
      <c r="AB398" s="3">
        <v>65.67</v>
      </c>
      <c r="AC398" s="3"/>
      <c r="AD398">
        <v>2</v>
      </c>
      <c r="AE398" t="s">
        <v>64</v>
      </c>
      <c r="AF398" s="4"/>
    </row>
    <row r="399" spans="1:32" x14ac:dyDescent="0.3">
      <c r="A399" t="s">
        <v>490</v>
      </c>
      <c r="B399">
        <v>21</v>
      </c>
      <c r="C399" t="str">
        <f t="shared" si="6"/>
        <v>Young Adults</v>
      </c>
      <c r="D399" t="s">
        <v>28</v>
      </c>
      <c r="E399">
        <v>12.6</v>
      </c>
      <c r="G399" t="s">
        <v>82</v>
      </c>
      <c r="H399" t="s">
        <v>83</v>
      </c>
      <c r="I399" t="s">
        <v>86</v>
      </c>
      <c r="J399">
        <v>5.7</v>
      </c>
      <c r="L399" t="s">
        <v>32</v>
      </c>
      <c r="M399" t="s">
        <v>42</v>
      </c>
      <c r="N399" t="s">
        <v>34</v>
      </c>
      <c r="O399">
        <v>3.67</v>
      </c>
      <c r="P399">
        <v>1</v>
      </c>
      <c r="Q399" t="s">
        <v>35</v>
      </c>
      <c r="R399" t="s">
        <v>42</v>
      </c>
      <c r="S399" t="b">
        <v>1</v>
      </c>
      <c r="T399" t="b">
        <v>0</v>
      </c>
      <c r="U399" t="b">
        <v>0</v>
      </c>
      <c r="V399" t="b">
        <v>1</v>
      </c>
      <c r="W399" t="b">
        <v>1</v>
      </c>
      <c r="X399">
        <v>1.9</v>
      </c>
      <c r="Y399">
        <v>4.0999999999999996</v>
      </c>
      <c r="Z399">
        <v>9</v>
      </c>
      <c r="AA399">
        <v>0</v>
      </c>
      <c r="AB399" s="3">
        <v>242.51</v>
      </c>
      <c r="AC399" s="3"/>
      <c r="AD399">
        <v>10</v>
      </c>
      <c r="AE399" t="s">
        <v>58</v>
      </c>
      <c r="AF399" s="4"/>
    </row>
    <row r="400" spans="1:32" x14ac:dyDescent="0.3">
      <c r="A400" t="s">
        <v>491</v>
      </c>
      <c r="B400">
        <v>23</v>
      </c>
      <c r="C400" t="str">
        <f t="shared" si="6"/>
        <v>Young Adults</v>
      </c>
      <c r="D400" t="s">
        <v>28</v>
      </c>
      <c r="E400">
        <v>8.9</v>
      </c>
      <c r="G400" t="s">
        <v>82</v>
      </c>
      <c r="H400" t="s">
        <v>83</v>
      </c>
      <c r="I400" t="s">
        <v>50</v>
      </c>
      <c r="J400">
        <v>3.5</v>
      </c>
      <c r="L400" t="s">
        <v>51</v>
      </c>
      <c r="M400" t="s">
        <v>74</v>
      </c>
      <c r="N400" t="s">
        <v>51</v>
      </c>
      <c r="P400">
        <v>1</v>
      </c>
      <c r="Q400" t="s">
        <v>35</v>
      </c>
      <c r="R400" t="s">
        <v>36</v>
      </c>
      <c r="S400" t="b">
        <v>0</v>
      </c>
      <c r="T400" t="b">
        <v>0</v>
      </c>
      <c r="U400" t="b">
        <v>1</v>
      </c>
      <c r="V400" t="b">
        <v>0</v>
      </c>
      <c r="W400" t="b">
        <v>1</v>
      </c>
      <c r="X400">
        <v>0</v>
      </c>
      <c r="Y400">
        <v>6.7</v>
      </c>
      <c r="Z400">
        <v>5</v>
      </c>
      <c r="AA400">
        <v>6.7</v>
      </c>
      <c r="AB400" s="3">
        <v>277.77999999999997</v>
      </c>
      <c r="AC400" s="3"/>
      <c r="AD400">
        <v>3</v>
      </c>
      <c r="AE400" t="s">
        <v>58</v>
      </c>
      <c r="AF400" s="4"/>
    </row>
    <row r="401" spans="1:32" x14ac:dyDescent="0.3">
      <c r="A401" t="s">
        <v>492</v>
      </c>
      <c r="B401">
        <v>26</v>
      </c>
      <c r="C401" t="str">
        <f t="shared" si="6"/>
        <v>Young Adults</v>
      </c>
      <c r="D401" t="s">
        <v>53</v>
      </c>
      <c r="E401">
        <v>8.1999999999999993</v>
      </c>
      <c r="G401" t="s">
        <v>82</v>
      </c>
      <c r="H401" t="s">
        <v>167</v>
      </c>
      <c r="I401" t="s">
        <v>71</v>
      </c>
      <c r="J401">
        <v>3.9</v>
      </c>
      <c r="L401" t="s">
        <v>51</v>
      </c>
      <c r="M401" t="s">
        <v>45</v>
      </c>
      <c r="N401" t="s">
        <v>62</v>
      </c>
      <c r="P401">
        <v>1</v>
      </c>
      <c r="Q401" t="s">
        <v>66</v>
      </c>
      <c r="R401" t="s">
        <v>42</v>
      </c>
      <c r="S401" t="b">
        <v>1</v>
      </c>
      <c r="T401" t="b">
        <v>0</v>
      </c>
      <c r="U401" t="b">
        <v>0</v>
      </c>
      <c r="V401" t="b">
        <v>0</v>
      </c>
      <c r="W401" t="b">
        <v>1</v>
      </c>
      <c r="X401">
        <v>2.9</v>
      </c>
      <c r="Y401">
        <v>5.2</v>
      </c>
      <c r="Z401">
        <v>5</v>
      </c>
      <c r="AA401">
        <v>5.5</v>
      </c>
      <c r="AB401" s="3">
        <v>44.07</v>
      </c>
      <c r="AC401" s="3"/>
      <c r="AD401">
        <v>10</v>
      </c>
      <c r="AE401" t="s">
        <v>64</v>
      </c>
      <c r="AF401" s="4"/>
    </row>
    <row r="402" spans="1:32" x14ac:dyDescent="0.3">
      <c r="A402" t="s">
        <v>493</v>
      </c>
      <c r="B402">
        <v>20</v>
      </c>
      <c r="C402" t="str">
        <f t="shared" si="6"/>
        <v>Young Adults</v>
      </c>
      <c r="D402" t="s">
        <v>28</v>
      </c>
      <c r="E402">
        <v>7.7</v>
      </c>
      <c r="G402" t="s">
        <v>39</v>
      </c>
      <c r="H402" t="s">
        <v>93</v>
      </c>
      <c r="I402" t="s">
        <v>86</v>
      </c>
      <c r="J402">
        <v>4.7</v>
      </c>
      <c r="L402" t="s">
        <v>32</v>
      </c>
      <c r="M402" t="s">
        <v>74</v>
      </c>
      <c r="N402" t="s">
        <v>129</v>
      </c>
      <c r="O402">
        <v>2.46</v>
      </c>
      <c r="P402">
        <v>7</v>
      </c>
      <c r="Q402" t="s">
        <v>80</v>
      </c>
      <c r="R402" t="s">
        <v>45</v>
      </c>
      <c r="S402" t="b">
        <v>0</v>
      </c>
      <c r="T402" t="b">
        <v>1</v>
      </c>
      <c r="U402" t="b">
        <v>1</v>
      </c>
      <c r="V402" t="b">
        <v>1</v>
      </c>
      <c r="W402" t="b">
        <v>0</v>
      </c>
      <c r="X402">
        <v>2.5</v>
      </c>
      <c r="Y402">
        <v>4.9000000000000004</v>
      </c>
      <c r="Z402">
        <v>3</v>
      </c>
      <c r="AA402">
        <v>3</v>
      </c>
      <c r="AB402" s="3">
        <v>65.22</v>
      </c>
      <c r="AC402" s="3"/>
      <c r="AD402">
        <v>2</v>
      </c>
      <c r="AE402" t="s">
        <v>58</v>
      </c>
      <c r="AF402" s="4"/>
    </row>
    <row r="403" spans="1:32" x14ac:dyDescent="0.3">
      <c r="A403" t="s">
        <v>494</v>
      </c>
      <c r="B403">
        <v>21</v>
      </c>
      <c r="C403" t="str">
        <f t="shared" si="6"/>
        <v>Young Adults</v>
      </c>
      <c r="D403" t="s">
        <v>53</v>
      </c>
      <c r="E403">
        <v>1.2</v>
      </c>
      <c r="G403" t="s">
        <v>39</v>
      </c>
      <c r="H403" t="s">
        <v>40</v>
      </c>
      <c r="I403" t="s">
        <v>86</v>
      </c>
      <c r="J403">
        <v>7.2</v>
      </c>
      <c r="L403" t="s">
        <v>43</v>
      </c>
      <c r="M403" t="s">
        <v>36</v>
      </c>
      <c r="N403" t="s">
        <v>84</v>
      </c>
      <c r="O403">
        <v>3.52</v>
      </c>
      <c r="P403">
        <v>5</v>
      </c>
      <c r="Q403" t="s">
        <v>66</v>
      </c>
      <c r="R403" t="s">
        <v>42</v>
      </c>
      <c r="S403" t="b">
        <v>0</v>
      </c>
      <c r="T403" t="b">
        <v>0</v>
      </c>
      <c r="U403" t="b">
        <v>0</v>
      </c>
      <c r="V403" t="b">
        <v>0</v>
      </c>
      <c r="W403" t="b">
        <v>0</v>
      </c>
      <c r="X403">
        <v>0.3</v>
      </c>
      <c r="Y403">
        <v>11.2</v>
      </c>
      <c r="Z403">
        <v>1</v>
      </c>
      <c r="AA403">
        <v>15.2</v>
      </c>
      <c r="AB403" s="3">
        <v>41.12</v>
      </c>
      <c r="AC403" s="3"/>
      <c r="AD403">
        <v>10</v>
      </c>
      <c r="AE403" t="s">
        <v>46</v>
      </c>
      <c r="AF403" s="4"/>
    </row>
    <row r="404" spans="1:32" x14ac:dyDescent="0.3">
      <c r="A404" t="s">
        <v>495</v>
      </c>
      <c r="B404">
        <v>19</v>
      </c>
      <c r="C404" t="str">
        <f t="shared" si="6"/>
        <v>Teenager</v>
      </c>
      <c r="D404" t="s">
        <v>28</v>
      </c>
      <c r="E404">
        <v>4.5999999999999996</v>
      </c>
      <c r="G404" t="s">
        <v>82</v>
      </c>
      <c r="H404" t="s">
        <v>167</v>
      </c>
      <c r="I404" t="s">
        <v>71</v>
      </c>
      <c r="J404">
        <v>5.9</v>
      </c>
      <c r="L404" t="s">
        <v>41</v>
      </c>
      <c r="M404" t="s">
        <v>74</v>
      </c>
      <c r="N404" t="s">
        <v>43</v>
      </c>
      <c r="O404">
        <v>2.3199999999999998</v>
      </c>
      <c r="P404">
        <v>9</v>
      </c>
      <c r="Q404" t="s">
        <v>69</v>
      </c>
      <c r="R404" t="s">
        <v>36</v>
      </c>
      <c r="S404" t="b">
        <v>0</v>
      </c>
      <c r="T404" t="b">
        <v>0</v>
      </c>
      <c r="U404" t="b">
        <v>0</v>
      </c>
      <c r="V404" t="b">
        <v>1</v>
      </c>
      <c r="W404" t="b">
        <v>0</v>
      </c>
      <c r="X404">
        <v>2.4</v>
      </c>
      <c r="Y404">
        <v>6.3</v>
      </c>
      <c r="Z404">
        <v>3</v>
      </c>
      <c r="AA404">
        <v>7.6</v>
      </c>
      <c r="AB404" s="3">
        <v>18.38</v>
      </c>
      <c r="AC404" s="3"/>
      <c r="AD404">
        <v>6</v>
      </c>
      <c r="AE404" t="s">
        <v>46</v>
      </c>
      <c r="AF404" s="4"/>
    </row>
    <row r="405" spans="1:32" x14ac:dyDescent="0.3">
      <c r="A405" t="s">
        <v>496</v>
      </c>
      <c r="B405">
        <v>23</v>
      </c>
      <c r="C405" t="str">
        <f t="shared" si="6"/>
        <v>Young Adults</v>
      </c>
      <c r="D405" t="s">
        <v>28</v>
      </c>
      <c r="E405">
        <v>6.4</v>
      </c>
      <c r="G405" t="s">
        <v>76</v>
      </c>
      <c r="H405" t="s">
        <v>110</v>
      </c>
      <c r="I405" t="s">
        <v>31</v>
      </c>
      <c r="J405">
        <v>6.7</v>
      </c>
      <c r="L405" t="s">
        <v>51</v>
      </c>
      <c r="M405" t="s">
        <v>33</v>
      </c>
      <c r="N405" t="s">
        <v>51</v>
      </c>
      <c r="P405">
        <v>4</v>
      </c>
      <c r="Q405" t="s">
        <v>44</v>
      </c>
      <c r="R405" t="s">
        <v>33</v>
      </c>
      <c r="S405" t="b">
        <v>0</v>
      </c>
      <c r="T405" t="b">
        <v>0</v>
      </c>
      <c r="U405" t="b">
        <v>0</v>
      </c>
      <c r="V405" t="b">
        <v>1</v>
      </c>
      <c r="W405" t="b">
        <v>1</v>
      </c>
      <c r="X405">
        <v>2.7</v>
      </c>
      <c r="Y405">
        <v>5.5</v>
      </c>
      <c r="Z405">
        <v>3</v>
      </c>
      <c r="AA405">
        <v>7.9</v>
      </c>
      <c r="AB405" s="3">
        <v>22.81</v>
      </c>
      <c r="AC405" s="3"/>
      <c r="AD405">
        <v>7</v>
      </c>
      <c r="AE405" t="s">
        <v>46</v>
      </c>
      <c r="AF405" s="4"/>
    </row>
    <row r="406" spans="1:32" x14ac:dyDescent="0.3">
      <c r="A406" t="s">
        <v>497</v>
      </c>
      <c r="B406">
        <v>15</v>
      </c>
      <c r="C406" t="str">
        <f t="shared" si="6"/>
        <v>Teenager</v>
      </c>
      <c r="D406" t="s">
        <v>28</v>
      </c>
      <c r="E406">
        <v>10</v>
      </c>
      <c r="G406" t="s">
        <v>60</v>
      </c>
      <c r="H406" t="s">
        <v>200</v>
      </c>
      <c r="I406" t="s">
        <v>31</v>
      </c>
      <c r="J406">
        <v>3.8</v>
      </c>
      <c r="L406" t="s">
        <v>32</v>
      </c>
      <c r="M406" t="s">
        <v>45</v>
      </c>
      <c r="N406" t="s">
        <v>62</v>
      </c>
      <c r="O406">
        <v>1.3</v>
      </c>
      <c r="Q406" t="s">
        <v>35</v>
      </c>
      <c r="R406" t="s">
        <v>42</v>
      </c>
      <c r="S406" t="b">
        <v>1</v>
      </c>
      <c r="T406" t="b">
        <v>1</v>
      </c>
      <c r="U406" t="b">
        <v>0</v>
      </c>
      <c r="V406" t="b">
        <v>1</v>
      </c>
      <c r="W406" t="b">
        <v>1</v>
      </c>
      <c r="X406">
        <v>3.2</v>
      </c>
      <c r="Y406">
        <v>5.7</v>
      </c>
      <c r="Z406">
        <v>5</v>
      </c>
      <c r="AA406">
        <v>5.9</v>
      </c>
      <c r="AB406" s="3">
        <v>226.85</v>
      </c>
      <c r="AC406" s="3"/>
      <c r="AD406">
        <v>5</v>
      </c>
      <c r="AE406" t="s">
        <v>37</v>
      </c>
      <c r="AF406" s="4"/>
    </row>
    <row r="407" spans="1:32" x14ac:dyDescent="0.3">
      <c r="A407" t="s">
        <v>498</v>
      </c>
      <c r="B407">
        <v>20</v>
      </c>
      <c r="C407" t="str">
        <f t="shared" si="6"/>
        <v>Young Adults</v>
      </c>
      <c r="D407" t="s">
        <v>28</v>
      </c>
      <c r="E407">
        <v>13.3</v>
      </c>
      <c r="G407" t="s">
        <v>76</v>
      </c>
      <c r="H407" t="s">
        <v>77</v>
      </c>
      <c r="I407" t="s">
        <v>71</v>
      </c>
      <c r="J407">
        <v>5</v>
      </c>
      <c r="L407" t="s">
        <v>51</v>
      </c>
      <c r="M407" t="s">
        <v>36</v>
      </c>
      <c r="N407" t="s">
        <v>51</v>
      </c>
      <c r="O407">
        <v>1.1100000000000001</v>
      </c>
      <c r="P407">
        <v>2</v>
      </c>
      <c r="Q407" t="s">
        <v>44</v>
      </c>
      <c r="R407" t="s">
        <v>57</v>
      </c>
      <c r="S407" t="b">
        <v>1</v>
      </c>
      <c r="T407" t="b">
        <v>0</v>
      </c>
      <c r="U407" t="b">
        <v>0</v>
      </c>
      <c r="V407" t="b">
        <v>1</v>
      </c>
      <c r="W407" t="b">
        <v>1</v>
      </c>
      <c r="X407">
        <v>2.8</v>
      </c>
      <c r="Y407">
        <v>3.8</v>
      </c>
      <c r="Z407">
        <v>8</v>
      </c>
      <c r="AA407">
        <v>0.6</v>
      </c>
      <c r="AB407" s="3">
        <v>434.02</v>
      </c>
      <c r="AC407" s="3"/>
      <c r="AD407">
        <v>4</v>
      </c>
      <c r="AE407" t="s">
        <v>58</v>
      </c>
      <c r="AF407" s="4"/>
    </row>
    <row r="408" spans="1:32" x14ac:dyDescent="0.3">
      <c r="A408" t="s">
        <v>499</v>
      </c>
      <c r="B408">
        <v>18</v>
      </c>
      <c r="C408" t="str">
        <f t="shared" si="6"/>
        <v>Teenager</v>
      </c>
      <c r="D408" t="s">
        <v>28</v>
      </c>
      <c r="E408">
        <v>10.4</v>
      </c>
      <c r="G408" t="s">
        <v>54</v>
      </c>
      <c r="H408" t="s">
        <v>89</v>
      </c>
      <c r="I408" t="s">
        <v>86</v>
      </c>
      <c r="J408">
        <v>4.7</v>
      </c>
      <c r="L408" t="s">
        <v>32</v>
      </c>
      <c r="M408" t="s">
        <v>45</v>
      </c>
      <c r="N408" t="s">
        <v>34</v>
      </c>
      <c r="O408">
        <v>3.15</v>
      </c>
      <c r="Q408" t="s">
        <v>35</v>
      </c>
      <c r="R408" t="s">
        <v>36</v>
      </c>
      <c r="S408" t="b">
        <v>1</v>
      </c>
      <c r="T408" t="b">
        <v>0</v>
      </c>
      <c r="U408" t="b">
        <v>1</v>
      </c>
      <c r="V408" t="b">
        <v>1</v>
      </c>
      <c r="W408" t="b">
        <v>1</v>
      </c>
      <c r="X408">
        <v>0.3</v>
      </c>
      <c r="Y408">
        <v>6</v>
      </c>
      <c r="Z408">
        <v>8</v>
      </c>
      <c r="AA408">
        <v>0.1</v>
      </c>
      <c r="AB408" s="3">
        <v>246.69</v>
      </c>
      <c r="AC408" s="3"/>
      <c r="AD408">
        <v>8</v>
      </c>
      <c r="AE408" t="s">
        <v>37</v>
      </c>
      <c r="AF408" s="4"/>
    </row>
    <row r="409" spans="1:32" x14ac:dyDescent="0.3">
      <c r="A409" t="s">
        <v>500</v>
      </c>
      <c r="B409">
        <v>31</v>
      </c>
      <c r="C409" t="str">
        <f t="shared" si="6"/>
        <v>Old Adults</v>
      </c>
      <c r="D409" t="s">
        <v>53</v>
      </c>
      <c r="E409">
        <v>3.6</v>
      </c>
      <c r="G409" t="s">
        <v>39</v>
      </c>
      <c r="H409" t="s">
        <v>93</v>
      </c>
      <c r="I409" t="s">
        <v>86</v>
      </c>
      <c r="J409">
        <v>6.3</v>
      </c>
      <c r="L409" t="s">
        <v>43</v>
      </c>
      <c r="M409" t="s">
        <v>42</v>
      </c>
      <c r="N409" t="s">
        <v>62</v>
      </c>
      <c r="P409">
        <v>2</v>
      </c>
      <c r="Q409" t="s">
        <v>105</v>
      </c>
      <c r="R409" t="s">
        <v>36</v>
      </c>
      <c r="S409" t="b">
        <v>0</v>
      </c>
      <c r="T409" t="b">
        <v>0</v>
      </c>
      <c r="U409" t="b">
        <v>0</v>
      </c>
      <c r="V409" t="b">
        <v>0</v>
      </c>
      <c r="W409" t="b">
        <v>0</v>
      </c>
      <c r="X409">
        <v>0.3</v>
      </c>
      <c r="Y409">
        <v>8.1999999999999993</v>
      </c>
      <c r="Z409">
        <v>1</v>
      </c>
      <c r="AA409">
        <v>12.4</v>
      </c>
      <c r="AB409" s="3">
        <v>23.15</v>
      </c>
      <c r="AC409" s="3"/>
      <c r="AD409">
        <v>5</v>
      </c>
      <c r="AE409" t="s">
        <v>46</v>
      </c>
      <c r="AF409" s="4"/>
    </row>
    <row r="410" spans="1:32" x14ac:dyDescent="0.3">
      <c r="A410" t="s">
        <v>501</v>
      </c>
      <c r="B410">
        <v>17</v>
      </c>
      <c r="C410" t="str">
        <f t="shared" si="6"/>
        <v>Teenager</v>
      </c>
      <c r="D410" t="s">
        <v>53</v>
      </c>
      <c r="E410">
        <v>1.6</v>
      </c>
      <c r="G410" t="s">
        <v>60</v>
      </c>
      <c r="H410" t="s">
        <v>102</v>
      </c>
      <c r="I410" t="s">
        <v>71</v>
      </c>
      <c r="J410">
        <v>8.3000000000000007</v>
      </c>
      <c r="L410" t="s">
        <v>43</v>
      </c>
      <c r="M410" t="s">
        <v>42</v>
      </c>
      <c r="N410" t="s">
        <v>84</v>
      </c>
      <c r="O410">
        <v>1.48</v>
      </c>
      <c r="Q410" t="s">
        <v>35</v>
      </c>
      <c r="R410" t="s">
        <v>57</v>
      </c>
      <c r="S410" t="b">
        <v>0</v>
      </c>
      <c r="T410" t="b">
        <v>0</v>
      </c>
      <c r="U410" t="b">
        <v>0</v>
      </c>
      <c r="V410" t="b">
        <v>0</v>
      </c>
      <c r="W410" t="b">
        <v>0</v>
      </c>
      <c r="X410">
        <v>0.1</v>
      </c>
      <c r="Y410">
        <v>7.1</v>
      </c>
      <c r="Z410">
        <v>1</v>
      </c>
      <c r="AA410">
        <v>11.9</v>
      </c>
      <c r="AB410" s="3">
        <v>7.58</v>
      </c>
      <c r="AC410" s="3"/>
      <c r="AD410">
        <v>6</v>
      </c>
      <c r="AE410" t="s">
        <v>46</v>
      </c>
      <c r="AF410" s="4"/>
    </row>
    <row r="411" spans="1:32" x14ac:dyDescent="0.3">
      <c r="A411" t="s">
        <v>502</v>
      </c>
      <c r="B411">
        <v>35</v>
      </c>
      <c r="C411" t="str">
        <f t="shared" si="6"/>
        <v>Old Adults</v>
      </c>
      <c r="D411" t="s">
        <v>53</v>
      </c>
      <c r="E411">
        <v>3.1</v>
      </c>
      <c r="G411" t="s">
        <v>60</v>
      </c>
      <c r="H411" t="s">
        <v>96</v>
      </c>
      <c r="I411" t="s">
        <v>86</v>
      </c>
      <c r="J411">
        <v>7.1</v>
      </c>
      <c r="L411" t="s">
        <v>41</v>
      </c>
      <c r="M411" t="s">
        <v>33</v>
      </c>
      <c r="N411" t="s">
        <v>62</v>
      </c>
      <c r="P411">
        <v>8</v>
      </c>
      <c r="Q411" t="s">
        <v>121</v>
      </c>
      <c r="R411" t="s">
        <v>42</v>
      </c>
      <c r="S411" t="b">
        <v>0</v>
      </c>
      <c r="T411" t="b">
        <v>0</v>
      </c>
      <c r="U411" t="b">
        <v>0</v>
      </c>
      <c r="V411" t="b">
        <v>0</v>
      </c>
      <c r="W411" t="b">
        <v>0</v>
      </c>
      <c r="X411">
        <v>1.1000000000000001</v>
      </c>
      <c r="Y411">
        <v>7.1</v>
      </c>
      <c r="Z411">
        <v>2</v>
      </c>
      <c r="AA411">
        <v>9.1</v>
      </c>
      <c r="AB411" s="3">
        <v>45.22</v>
      </c>
      <c r="AC411" s="3"/>
      <c r="AD411">
        <v>15</v>
      </c>
      <c r="AE411" t="s">
        <v>46</v>
      </c>
      <c r="AF411" s="4"/>
    </row>
    <row r="412" spans="1:32" x14ac:dyDescent="0.3">
      <c r="A412" t="s">
        <v>503</v>
      </c>
      <c r="B412">
        <v>22</v>
      </c>
      <c r="C412" t="str">
        <f t="shared" si="6"/>
        <v>Young Adults</v>
      </c>
      <c r="D412" t="s">
        <v>53</v>
      </c>
      <c r="E412">
        <v>6</v>
      </c>
      <c r="G412" t="s">
        <v>54</v>
      </c>
      <c r="H412" t="s">
        <v>98</v>
      </c>
      <c r="I412" t="s">
        <v>71</v>
      </c>
      <c r="J412">
        <v>6.4</v>
      </c>
      <c r="L412" t="s">
        <v>51</v>
      </c>
      <c r="M412" t="s">
        <v>42</v>
      </c>
      <c r="N412" t="s">
        <v>51</v>
      </c>
      <c r="O412">
        <v>2.99</v>
      </c>
      <c r="P412">
        <v>9</v>
      </c>
      <c r="Q412" t="s">
        <v>66</v>
      </c>
      <c r="R412" t="s">
        <v>33</v>
      </c>
      <c r="S412" t="b">
        <v>0</v>
      </c>
      <c r="T412" t="b">
        <v>1</v>
      </c>
      <c r="U412" t="b">
        <v>0</v>
      </c>
      <c r="V412" t="b">
        <v>1</v>
      </c>
      <c r="W412" t="b">
        <v>0</v>
      </c>
      <c r="X412">
        <v>2.5</v>
      </c>
      <c r="Y412">
        <v>6.1</v>
      </c>
      <c r="Z412">
        <v>3</v>
      </c>
      <c r="AA412">
        <v>5.5</v>
      </c>
      <c r="AB412" s="3">
        <v>109.8</v>
      </c>
      <c r="AC412" s="3"/>
      <c r="AD412">
        <v>8</v>
      </c>
      <c r="AE412" t="s">
        <v>64</v>
      </c>
      <c r="AF412" s="4"/>
    </row>
    <row r="413" spans="1:32" x14ac:dyDescent="0.3">
      <c r="A413" t="s">
        <v>504</v>
      </c>
      <c r="B413">
        <v>25</v>
      </c>
      <c r="C413" t="str">
        <f t="shared" si="6"/>
        <v>Young Adults</v>
      </c>
      <c r="D413" t="s">
        <v>53</v>
      </c>
      <c r="E413">
        <v>10.3</v>
      </c>
      <c r="G413" t="s">
        <v>60</v>
      </c>
      <c r="H413" t="s">
        <v>61</v>
      </c>
      <c r="I413" t="s">
        <v>71</v>
      </c>
      <c r="J413">
        <v>4.8</v>
      </c>
      <c r="L413" t="s">
        <v>51</v>
      </c>
      <c r="M413" t="s">
        <v>36</v>
      </c>
      <c r="N413" t="s">
        <v>62</v>
      </c>
      <c r="P413">
        <v>3</v>
      </c>
      <c r="Q413" t="s">
        <v>69</v>
      </c>
      <c r="R413" t="s">
        <v>36</v>
      </c>
      <c r="S413" t="b">
        <v>1</v>
      </c>
      <c r="T413" t="b">
        <v>1</v>
      </c>
      <c r="U413" t="b">
        <v>1</v>
      </c>
      <c r="V413" t="b">
        <v>0</v>
      </c>
      <c r="W413" t="b">
        <v>1</v>
      </c>
      <c r="X413">
        <v>0.7</v>
      </c>
      <c r="Y413">
        <v>3.5</v>
      </c>
      <c r="Z413">
        <v>6</v>
      </c>
      <c r="AA413">
        <v>5.8</v>
      </c>
      <c r="AB413" s="3">
        <v>348.04</v>
      </c>
      <c r="AC413" s="3"/>
      <c r="AD413">
        <v>7</v>
      </c>
      <c r="AE413" t="s">
        <v>37</v>
      </c>
      <c r="AF413" s="4"/>
    </row>
    <row r="414" spans="1:32" x14ac:dyDescent="0.3">
      <c r="A414" t="s">
        <v>505</v>
      </c>
      <c r="B414">
        <v>16</v>
      </c>
      <c r="C414" t="str">
        <f t="shared" si="6"/>
        <v>Teenager</v>
      </c>
      <c r="D414" t="s">
        <v>28</v>
      </c>
      <c r="E414">
        <v>4.8</v>
      </c>
      <c r="G414" t="s">
        <v>48</v>
      </c>
      <c r="H414" t="s">
        <v>68</v>
      </c>
      <c r="I414" t="s">
        <v>31</v>
      </c>
      <c r="J414">
        <v>6.8</v>
      </c>
      <c r="L414" t="s">
        <v>41</v>
      </c>
      <c r="M414" t="s">
        <v>33</v>
      </c>
      <c r="N414" t="s">
        <v>34</v>
      </c>
      <c r="O414">
        <v>2.17</v>
      </c>
      <c r="Q414" t="s">
        <v>66</v>
      </c>
      <c r="R414" t="s">
        <v>57</v>
      </c>
      <c r="S414" t="b">
        <v>0</v>
      </c>
      <c r="T414" t="b">
        <v>0</v>
      </c>
      <c r="U414" t="b">
        <v>0</v>
      </c>
      <c r="V414" t="b">
        <v>0</v>
      </c>
      <c r="W414" t="b">
        <v>0</v>
      </c>
      <c r="X414">
        <v>2</v>
      </c>
      <c r="Y414">
        <v>6.5</v>
      </c>
      <c r="Z414">
        <v>5</v>
      </c>
      <c r="AA414">
        <v>11.4</v>
      </c>
      <c r="AB414" s="3">
        <v>101.85</v>
      </c>
      <c r="AC414" s="3"/>
      <c r="AD414">
        <v>4</v>
      </c>
      <c r="AE414" t="s">
        <v>46</v>
      </c>
      <c r="AF414" s="4"/>
    </row>
    <row r="415" spans="1:32" x14ac:dyDescent="0.3">
      <c r="A415" t="s">
        <v>506</v>
      </c>
      <c r="B415">
        <v>19</v>
      </c>
      <c r="C415" t="str">
        <f t="shared" si="6"/>
        <v>Teenager</v>
      </c>
      <c r="D415" t="s">
        <v>53</v>
      </c>
      <c r="E415">
        <v>4.5999999999999996</v>
      </c>
      <c r="G415" t="s">
        <v>48</v>
      </c>
      <c r="H415" t="s">
        <v>49</v>
      </c>
      <c r="I415" t="s">
        <v>31</v>
      </c>
      <c r="J415">
        <v>6.5</v>
      </c>
      <c r="L415" t="s">
        <v>43</v>
      </c>
      <c r="M415" t="s">
        <v>36</v>
      </c>
      <c r="N415" t="s">
        <v>62</v>
      </c>
      <c r="O415">
        <v>2.46</v>
      </c>
      <c r="P415">
        <v>1</v>
      </c>
      <c r="Q415" t="s">
        <v>35</v>
      </c>
      <c r="R415" t="s">
        <v>45</v>
      </c>
      <c r="S415" t="b">
        <v>0</v>
      </c>
      <c r="T415" t="b">
        <v>0</v>
      </c>
      <c r="U415" t="b">
        <v>0</v>
      </c>
      <c r="V415" t="b">
        <v>1</v>
      </c>
      <c r="W415" t="b">
        <v>0</v>
      </c>
      <c r="X415">
        <v>1.8</v>
      </c>
      <c r="Y415">
        <v>8.5</v>
      </c>
      <c r="Z415">
        <v>5</v>
      </c>
      <c r="AA415">
        <v>9.5</v>
      </c>
      <c r="AB415" s="3">
        <v>83.38</v>
      </c>
      <c r="AC415" s="3"/>
      <c r="AD415">
        <v>5</v>
      </c>
      <c r="AE415" t="s">
        <v>46</v>
      </c>
      <c r="AF415" s="4"/>
    </row>
    <row r="416" spans="1:32" x14ac:dyDescent="0.3">
      <c r="A416" t="s">
        <v>507</v>
      </c>
      <c r="B416">
        <v>18</v>
      </c>
      <c r="C416" t="str">
        <f t="shared" si="6"/>
        <v>Teenager</v>
      </c>
      <c r="D416" t="s">
        <v>53</v>
      </c>
      <c r="E416">
        <v>7.3</v>
      </c>
      <c r="G416" t="s">
        <v>29</v>
      </c>
      <c r="H416" t="s">
        <v>30</v>
      </c>
      <c r="I416" t="s">
        <v>86</v>
      </c>
      <c r="J416">
        <v>5.8</v>
      </c>
      <c r="L416" t="s">
        <v>51</v>
      </c>
      <c r="M416" t="s">
        <v>74</v>
      </c>
      <c r="N416" t="s">
        <v>43</v>
      </c>
      <c r="O416">
        <v>2.13</v>
      </c>
      <c r="Q416" t="s">
        <v>35</v>
      </c>
      <c r="R416" t="s">
        <v>42</v>
      </c>
      <c r="S416" t="b">
        <v>0</v>
      </c>
      <c r="T416" t="b">
        <v>1</v>
      </c>
      <c r="U416" t="b">
        <v>0</v>
      </c>
      <c r="V416" t="b">
        <v>0</v>
      </c>
      <c r="W416" t="b">
        <v>1</v>
      </c>
      <c r="X416">
        <v>3.6</v>
      </c>
      <c r="Y416">
        <v>6.6</v>
      </c>
      <c r="Z416">
        <v>4</v>
      </c>
      <c r="AA416">
        <v>7.4</v>
      </c>
      <c r="AB416" s="3">
        <v>31.02</v>
      </c>
      <c r="AC416" s="3"/>
      <c r="AD416">
        <v>5</v>
      </c>
      <c r="AE416" t="s">
        <v>64</v>
      </c>
      <c r="AF416" s="4"/>
    </row>
    <row r="417" spans="1:32" x14ac:dyDescent="0.3">
      <c r="A417" t="s">
        <v>508</v>
      </c>
      <c r="B417">
        <v>17</v>
      </c>
      <c r="C417" t="str">
        <f t="shared" si="6"/>
        <v>Teenager</v>
      </c>
      <c r="D417" t="s">
        <v>28</v>
      </c>
      <c r="E417">
        <v>7.5</v>
      </c>
      <c r="G417" t="s">
        <v>48</v>
      </c>
      <c r="H417" t="s">
        <v>128</v>
      </c>
      <c r="I417" t="s">
        <v>31</v>
      </c>
      <c r="J417">
        <v>5</v>
      </c>
      <c r="L417" t="s">
        <v>51</v>
      </c>
      <c r="M417" t="s">
        <v>42</v>
      </c>
      <c r="N417" t="s">
        <v>51</v>
      </c>
      <c r="O417">
        <v>1.24</v>
      </c>
      <c r="Q417" t="s">
        <v>80</v>
      </c>
      <c r="R417" t="s">
        <v>42</v>
      </c>
      <c r="S417" t="b">
        <v>0</v>
      </c>
      <c r="T417" t="b">
        <v>1</v>
      </c>
      <c r="U417" t="b">
        <v>0</v>
      </c>
      <c r="V417" t="b">
        <v>1</v>
      </c>
      <c r="W417" t="b">
        <v>0</v>
      </c>
      <c r="X417">
        <v>1.1000000000000001</v>
      </c>
      <c r="Y417">
        <v>6.9</v>
      </c>
      <c r="Z417">
        <v>2</v>
      </c>
      <c r="AA417">
        <v>6.7</v>
      </c>
      <c r="AB417" s="3">
        <v>135.83000000000001</v>
      </c>
      <c r="AC417" s="3"/>
      <c r="AD417">
        <v>2</v>
      </c>
      <c r="AE417" t="s">
        <v>64</v>
      </c>
      <c r="AF417" s="4"/>
    </row>
    <row r="418" spans="1:32" x14ac:dyDescent="0.3">
      <c r="A418" t="s">
        <v>509</v>
      </c>
      <c r="B418">
        <v>17</v>
      </c>
      <c r="C418" t="str">
        <f t="shared" si="6"/>
        <v>Teenager</v>
      </c>
      <c r="D418" t="s">
        <v>28</v>
      </c>
      <c r="E418">
        <v>6.2</v>
      </c>
      <c r="G418" t="s">
        <v>39</v>
      </c>
      <c r="H418" t="s">
        <v>93</v>
      </c>
      <c r="I418" t="s">
        <v>50</v>
      </c>
      <c r="J418">
        <v>5.5</v>
      </c>
      <c r="L418" t="s">
        <v>43</v>
      </c>
      <c r="M418" t="s">
        <v>36</v>
      </c>
      <c r="N418" t="s">
        <v>34</v>
      </c>
      <c r="O418">
        <v>1.68</v>
      </c>
      <c r="Q418" t="s">
        <v>105</v>
      </c>
      <c r="R418" t="s">
        <v>36</v>
      </c>
      <c r="S418" t="b">
        <v>0</v>
      </c>
      <c r="T418" t="b">
        <v>0</v>
      </c>
      <c r="U418" t="b">
        <v>0</v>
      </c>
      <c r="V418" t="b">
        <v>0</v>
      </c>
      <c r="W418" t="b">
        <v>1</v>
      </c>
      <c r="X418">
        <v>1.7</v>
      </c>
      <c r="Y418">
        <v>7.6</v>
      </c>
      <c r="Z418">
        <v>4</v>
      </c>
      <c r="AA418">
        <v>9</v>
      </c>
      <c r="AB418" s="3">
        <v>145.5</v>
      </c>
      <c r="AC418" s="3"/>
      <c r="AD418">
        <v>3</v>
      </c>
      <c r="AE418" t="s">
        <v>46</v>
      </c>
      <c r="AF418" s="4"/>
    </row>
    <row r="419" spans="1:32" x14ac:dyDescent="0.3">
      <c r="A419" t="s">
        <v>510</v>
      </c>
      <c r="B419">
        <v>16</v>
      </c>
      <c r="C419" t="str">
        <f t="shared" si="6"/>
        <v>Teenager</v>
      </c>
      <c r="D419" t="s">
        <v>28</v>
      </c>
      <c r="E419">
        <v>8.3000000000000007</v>
      </c>
      <c r="G419" t="s">
        <v>39</v>
      </c>
      <c r="H419" t="s">
        <v>40</v>
      </c>
      <c r="I419" t="s">
        <v>71</v>
      </c>
      <c r="J419">
        <v>5.5</v>
      </c>
      <c r="L419" t="s">
        <v>51</v>
      </c>
      <c r="M419" t="s">
        <v>33</v>
      </c>
      <c r="N419" t="s">
        <v>51</v>
      </c>
      <c r="O419">
        <v>2.2400000000000002</v>
      </c>
      <c r="Q419" t="s">
        <v>35</v>
      </c>
      <c r="R419" t="s">
        <v>45</v>
      </c>
      <c r="S419" t="b">
        <v>0</v>
      </c>
      <c r="T419" t="b">
        <v>1</v>
      </c>
      <c r="U419" t="b">
        <v>1</v>
      </c>
      <c r="V419" t="b">
        <v>1</v>
      </c>
      <c r="W419" t="b">
        <v>1</v>
      </c>
      <c r="X419">
        <v>2</v>
      </c>
      <c r="Y419">
        <v>6.9</v>
      </c>
      <c r="Z419">
        <v>4</v>
      </c>
      <c r="AA419">
        <v>8</v>
      </c>
      <c r="AB419" s="3">
        <v>14.14</v>
      </c>
      <c r="AC419" s="3"/>
      <c r="AD419">
        <v>1</v>
      </c>
      <c r="AE419" t="s">
        <v>58</v>
      </c>
      <c r="AF419" s="4"/>
    </row>
    <row r="420" spans="1:32" x14ac:dyDescent="0.3">
      <c r="A420" t="s">
        <v>511</v>
      </c>
      <c r="B420">
        <v>31</v>
      </c>
      <c r="C420" t="str">
        <f t="shared" si="6"/>
        <v>Old Adults</v>
      </c>
      <c r="D420" t="s">
        <v>53</v>
      </c>
      <c r="E420">
        <v>7.7</v>
      </c>
      <c r="G420" t="s">
        <v>54</v>
      </c>
      <c r="H420" t="s">
        <v>89</v>
      </c>
      <c r="I420" t="s">
        <v>50</v>
      </c>
      <c r="J420">
        <v>3.4</v>
      </c>
      <c r="L420" t="s">
        <v>51</v>
      </c>
      <c r="M420" t="s">
        <v>42</v>
      </c>
      <c r="N420" t="s">
        <v>34</v>
      </c>
      <c r="P420">
        <v>8</v>
      </c>
      <c r="Q420" t="s">
        <v>35</v>
      </c>
      <c r="R420" t="s">
        <v>33</v>
      </c>
      <c r="S420" t="b">
        <v>1</v>
      </c>
      <c r="T420" t="b">
        <v>1</v>
      </c>
      <c r="U420" t="b">
        <v>1</v>
      </c>
      <c r="V420" t="b">
        <v>1</v>
      </c>
      <c r="W420" t="b">
        <v>0</v>
      </c>
      <c r="X420">
        <v>2.8</v>
      </c>
      <c r="Y420">
        <v>6.4</v>
      </c>
      <c r="Z420">
        <v>5</v>
      </c>
      <c r="AA420">
        <v>3.2</v>
      </c>
      <c r="AB420" s="3">
        <v>38.14</v>
      </c>
      <c r="AC420" s="3"/>
      <c r="AD420">
        <v>1</v>
      </c>
      <c r="AE420" t="s">
        <v>37</v>
      </c>
      <c r="AF420" s="4"/>
    </row>
    <row r="421" spans="1:32" x14ac:dyDescent="0.3">
      <c r="A421" t="s">
        <v>512</v>
      </c>
      <c r="B421">
        <v>16</v>
      </c>
      <c r="C421" t="str">
        <f t="shared" si="6"/>
        <v>Teenager</v>
      </c>
      <c r="D421" t="s">
        <v>28</v>
      </c>
      <c r="E421">
        <v>4</v>
      </c>
      <c r="G421" t="s">
        <v>76</v>
      </c>
      <c r="H421" t="s">
        <v>110</v>
      </c>
      <c r="I421" t="s">
        <v>50</v>
      </c>
      <c r="J421">
        <v>6.4</v>
      </c>
      <c r="L421" t="s">
        <v>43</v>
      </c>
      <c r="M421" t="s">
        <v>36</v>
      </c>
      <c r="N421" t="s">
        <v>84</v>
      </c>
      <c r="O421">
        <v>2.79</v>
      </c>
      <c r="Q421" t="s">
        <v>69</v>
      </c>
      <c r="R421" t="s">
        <v>45</v>
      </c>
      <c r="S421" t="b">
        <v>0</v>
      </c>
      <c r="T421" t="b">
        <v>0</v>
      </c>
      <c r="U421" t="b">
        <v>0</v>
      </c>
      <c r="V421" t="b">
        <v>0</v>
      </c>
      <c r="W421" t="b">
        <v>0</v>
      </c>
      <c r="X421">
        <v>1.7</v>
      </c>
      <c r="Y421">
        <v>6.5</v>
      </c>
      <c r="Z421">
        <v>3</v>
      </c>
      <c r="AA421">
        <v>10</v>
      </c>
      <c r="AB421" s="3">
        <v>37.75</v>
      </c>
      <c r="AC421" s="3"/>
      <c r="AD421">
        <v>5</v>
      </c>
      <c r="AE421" t="s">
        <v>46</v>
      </c>
      <c r="AF421" s="4"/>
    </row>
    <row r="422" spans="1:32" x14ac:dyDescent="0.3">
      <c r="A422" t="s">
        <v>513</v>
      </c>
      <c r="B422">
        <v>19</v>
      </c>
      <c r="C422" t="str">
        <f t="shared" si="6"/>
        <v>Teenager</v>
      </c>
      <c r="D422" t="s">
        <v>28</v>
      </c>
      <c r="E422">
        <v>1.3</v>
      </c>
      <c r="G422" t="s">
        <v>82</v>
      </c>
      <c r="H422" t="s">
        <v>134</v>
      </c>
      <c r="I422" t="s">
        <v>31</v>
      </c>
      <c r="J422">
        <v>8.1999999999999993</v>
      </c>
      <c r="L422" t="s">
        <v>41</v>
      </c>
      <c r="M422" t="s">
        <v>36</v>
      </c>
      <c r="N422" t="s">
        <v>84</v>
      </c>
      <c r="O422">
        <v>2.8</v>
      </c>
      <c r="P422">
        <v>2</v>
      </c>
      <c r="Q422" t="s">
        <v>56</v>
      </c>
      <c r="R422" t="s">
        <v>45</v>
      </c>
      <c r="S422" t="b">
        <v>0</v>
      </c>
      <c r="T422" t="b">
        <v>0</v>
      </c>
      <c r="U422" t="b">
        <v>0</v>
      </c>
      <c r="V422" t="b">
        <v>0</v>
      </c>
      <c r="W422" t="b">
        <v>0</v>
      </c>
      <c r="X422">
        <v>0.1</v>
      </c>
      <c r="Y422">
        <v>9.4</v>
      </c>
      <c r="Z422">
        <v>1</v>
      </c>
      <c r="AA422">
        <v>15.9</v>
      </c>
      <c r="AB422" s="3">
        <v>18.98</v>
      </c>
      <c r="AC422" s="3"/>
      <c r="AD422">
        <v>5</v>
      </c>
      <c r="AE422" t="s">
        <v>46</v>
      </c>
      <c r="AF422" s="4"/>
    </row>
    <row r="423" spans="1:32" x14ac:dyDescent="0.3">
      <c r="A423" t="s">
        <v>514</v>
      </c>
      <c r="B423">
        <v>23</v>
      </c>
      <c r="C423" t="str">
        <f t="shared" si="6"/>
        <v>Young Adults</v>
      </c>
      <c r="D423" t="s">
        <v>28</v>
      </c>
      <c r="E423">
        <v>8.6</v>
      </c>
      <c r="G423" t="s">
        <v>29</v>
      </c>
      <c r="H423" t="s">
        <v>118</v>
      </c>
      <c r="I423" t="s">
        <v>50</v>
      </c>
      <c r="J423">
        <v>5.7</v>
      </c>
      <c r="L423" t="s">
        <v>51</v>
      </c>
      <c r="M423" t="s">
        <v>36</v>
      </c>
      <c r="N423" t="s">
        <v>62</v>
      </c>
      <c r="P423">
        <v>5</v>
      </c>
      <c r="Q423" t="s">
        <v>63</v>
      </c>
      <c r="R423" t="s">
        <v>36</v>
      </c>
      <c r="S423" t="b">
        <v>1</v>
      </c>
      <c r="T423" t="b">
        <v>0</v>
      </c>
      <c r="U423" t="b">
        <v>1</v>
      </c>
      <c r="V423" t="b">
        <v>1</v>
      </c>
      <c r="W423" t="b">
        <v>0</v>
      </c>
      <c r="X423">
        <v>4.9000000000000004</v>
      </c>
      <c r="Y423">
        <v>7.2</v>
      </c>
      <c r="Z423">
        <v>5</v>
      </c>
      <c r="AA423">
        <v>3.4</v>
      </c>
      <c r="AB423" s="3">
        <v>96.61</v>
      </c>
      <c r="AC423" s="3"/>
      <c r="AD423">
        <v>9</v>
      </c>
      <c r="AE423" t="s">
        <v>37</v>
      </c>
      <c r="AF423" s="4"/>
    </row>
    <row r="424" spans="1:32" x14ac:dyDescent="0.3">
      <c r="A424" t="s">
        <v>515</v>
      </c>
      <c r="B424">
        <v>21</v>
      </c>
      <c r="C424" t="str">
        <f t="shared" si="6"/>
        <v>Young Adults</v>
      </c>
      <c r="D424" t="s">
        <v>152</v>
      </c>
      <c r="E424">
        <v>5.2</v>
      </c>
      <c r="G424" t="s">
        <v>76</v>
      </c>
      <c r="H424" t="s">
        <v>110</v>
      </c>
      <c r="I424" t="s">
        <v>86</v>
      </c>
      <c r="J424">
        <v>6.9</v>
      </c>
      <c r="L424" t="s">
        <v>41</v>
      </c>
      <c r="M424" t="s">
        <v>74</v>
      </c>
      <c r="N424" t="s">
        <v>34</v>
      </c>
      <c r="O424">
        <v>1.46</v>
      </c>
      <c r="P424">
        <v>6</v>
      </c>
      <c r="Q424" t="s">
        <v>80</v>
      </c>
      <c r="R424" t="s">
        <v>36</v>
      </c>
      <c r="S424" t="b">
        <v>0</v>
      </c>
      <c r="T424" t="b">
        <v>0</v>
      </c>
      <c r="U424" t="b">
        <v>0</v>
      </c>
      <c r="V424" t="b">
        <v>1</v>
      </c>
      <c r="W424" t="b">
        <v>0</v>
      </c>
      <c r="X424">
        <v>0.3</v>
      </c>
      <c r="Y424">
        <v>7</v>
      </c>
      <c r="Z424">
        <v>3</v>
      </c>
      <c r="AA424">
        <v>8.6999999999999993</v>
      </c>
      <c r="AB424" s="3">
        <v>144.76</v>
      </c>
      <c r="AC424" s="3"/>
      <c r="AD424">
        <v>2</v>
      </c>
      <c r="AE424" t="s">
        <v>46</v>
      </c>
      <c r="AF424" s="4"/>
    </row>
    <row r="425" spans="1:32" x14ac:dyDescent="0.3">
      <c r="A425" t="s">
        <v>516</v>
      </c>
      <c r="B425">
        <v>16</v>
      </c>
      <c r="C425" t="str">
        <f t="shared" si="6"/>
        <v>Teenager</v>
      </c>
      <c r="D425" t="s">
        <v>53</v>
      </c>
      <c r="E425">
        <v>4.7</v>
      </c>
      <c r="G425" t="s">
        <v>39</v>
      </c>
      <c r="H425" t="s">
        <v>120</v>
      </c>
      <c r="I425" t="s">
        <v>50</v>
      </c>
      <c r="J425">
        <v>5.7</v>
      </c>
      <c r="L425" t="s">
        <v>41</v>
      </c>
      <c r="M425" t="s">
        <v>42</v>
      </c>
      <c r="N425" t="s">
        <v>51</v>
      </c>
      <c r="O425">
        <v>1.93</v>
      </c>
      <c r="Q425" t="s">
        <v>44</v>
      </c>
      <c r="R425" t="s">
        <v>42</v>
      </c>
      <c r="S425" t="b">
        <v>0</v>
      </c>
      <c r="T425" t="b">
        <v>0</v>
      </c>
      <c r="U425" t="b">
        <v>0</v>
      </c>
      <c r="V425" t="b">
        <v>1</v>
      </c>
      <c r="W425" t="b">
        <v>0</v>
      </c>
      <c r="X425">
        <v>0.9</v>
      </c>
      <c r="Y425">
        <v>9.3000000000000007</v>
      </c>
      <c r="Z425">
        <v>3</v>
      </c>
      <c r="AA425">
        <v>10.1</v>
      </c>
      <c r="AB425" s="3">
        <v>36.450000000000003</v>
      </c>
      <c r="AC425" s="3"/>
      <c r="AD425">
        <v>1</v>
      </c>
      <c r="AE425" t="s">
        <v>46</v>
      </c>
      <c r="AF425" s="4"/>
    </row>
    <row r="426" spans="1:32" x14ac:dyDescent="0.3">
      <c r="A426" t="s">
        <v>517</v>
      </c>
      <c r="B426">
        <v>20</v>
      </c>
      <c r="C426" t="str">
        <f t="shared" si="6"/>
        <v>Young Adults</v>
      </c>
      <c r="D426" t="s">
        <v>28</v>
      </c>
      <c r="E426">
        <v>7.3</v>
      </c>
      <c r="G426" t="s">
        <v>76</v>
      </c>
      <c r="H426" t="s">
        <v>126</v>
      </c>
      <c r="I426" t="s">
        <v>50</v>
      </c>
      <c r="J426">
        <v>3.1</v>
      </c>
      <c r="L426" t="s">
        <v>32</v>
      </c>
      <c r="M426" t="s">
        <v>33</v>
      </c>
      <c r="N426" t="s">
        <v>51</v>
      </c>
      <c r="O426">
        <v>3.71</v>
      </c>
      <c r="P426">
        <v>6</v>
      </c>
      <c r="Q426" t="s">
        <v>44</v>
      </c>
      <c r="R426" t="s">
        <v>57</v>
      </c>
      <c r="S426" t="b">
        <v>0</v>
      </c>
      <c r="T426" t="b">
        <v>1</v>
      </c>
      <c r="U426" t="b">
        <v>0</v>
      </c>
      <c r="V426" t="b">
        <v>1</v>
      </c>
      <c r="W426" t="b">
        <v>0</v>
      </c>
      <c r="X426">
        <v>0.7</v>
      </c>
      <c r="Y426">
        <v>5.5</v>
      </c>
      <c r="Z426">
        <v>4</v>
      </c>
      <c r="AA426">
        <v>4.9000000000000004</v>
      </c>
      <c r="AB426" s="3">
        <v>30.38</v>
      </c>
      <c r="AC426" s="3"/>
      <c r="AD426">
        <v>2</v>
      </c>
      <c r="AE426" t="s">
        <v>64</v>
      </c>
      <c r="AF426" s="4"/>
    </row>
    <row r="427" spans="1:32" x14ac:dyDescent="0.3">
      <c r="A427" t="s">
        <v>518</v>
      </c>
      <c r="B427">
        <v>17</v>
      </c>
      <c r="C427" t="str">
        <f t="shared" si="6"/>
        <v>Teenager</v>
      </c>
      <c r="D427" t="s">
        <v>53</v>
      </c>
      <c r="E427">
        <v>10.199999999999999</v>
      </c>
      <c r="G427" t="s">
        <v>39</v>
      </c>
      <c r="H427" t="s">
        <v>93</v>
      </c>
      <c r="I427" t="s">
        <v>86</v>
      </c>
      <c r="J427">
        <v>5.3</v>
      </c>
      <c r="L427" t="s">
        <v>43</v>
      </c>
      <c r="M427" t="s">
        <v>33</v>
      </c>
      <c r="N427" t="s">
        <v>51</v>
      </c>
      <c r="O427">
        <v>3.91</v>
      </c>
      <c r="Q427" t="s">
        <v>80</v>
      </c>
      <c r="R427" t="s">
        <v>42</v>
      </c>
      <c r="S427" t="b">
        <v>0</v>
      </c>
      <c r="T427" t="b">
        <v>1</v>
      </c>
      <c r="U427" t="b">
        <v>1</v>
      </c>
      <c r="V427" t="b">
        <v>0</v>
      </c>
      <c r="W427" t="b">
        <v>0</v>
      </c>
      <c r="X427">
        <v>3</v>
      </c>
      <c r="Y427">
        <v>3.6</v>
      </c>
      <c r="Z427">
        <v>5</v>
      </c>
      <c r="AA427">
        <v>2.2999999999999998</v>
      </c>
      <c r="AB427" s="3">
        <v>263.64</v>
      </c>
      <c r="AC427" s="3"/>
      <c r="AD427">
        <v>1</v>
      </c>
      <c r="AE427" t="s">
        <v>37</v>
      </c>
      <c r="AF427" s="4"/>
    </row>
    <row r="428" spans="1:32" x14ac:dyDescent="0.3">
      <c r="A428" t="s">
        <v>519</v>
      </c>
      <c r="B428">
        <v>29</v>
      </c>
      <c r="C428" t="str">
        <f t="shared" si="6"/>
        <v>Young Adults</v>
      </c>
      <c r="D428" t="s">
        <v>28</v>
      </c>
      <c r="E428">
        <v>4.2</v>
      </c>
      <c r="G428" t="s">
        <v>48</v>
      </c>
      <c r="H428" t="s">
        <v>68</v>
      </c>
      <c r="I428" t="s">
        <v>71</v>
      </c>
      <c r="J428">
        <v>6.6</v>
      </c>
      <c r="L428" t="s">
        <v>43</v>
      </c>
      <c r="M428" t="s">
        <v>45</v>
      </c>
      <c r="N428" t="s">
        <v>43</v>
      </c>
      <c r="P428">
        <v>3</v>
      </c>
      <c r="Q428" t="s">
        <v>105</v>
      </c>
      <c r="R428" t="s">
        <v>36</v>
      </c>
      <c r="S428" t="b">
        <v>0</v>
      </c>
      <c r="T428" t="b">
        <v>0</v>
      </c>
      <c r="U428" t="b">
        <v>0</v>
      </c>
      <c r="V428" t="b">
        <v>0</v>
      </c>
      <c r="W428" t="b">
        <v>0</v>
      </c>
      <c r="X428">
        <v>0.7</v>
      </c>
      <c r="Y428">
        <v>8.6</v>
      </c>
      <c r="Z428">
        <v>1</v>
      </c>
      <c r="AA428">
        <v>7.5</v>
      </c>
      <c r="AB428" s="3">
        <v>28.17</v>
      </c>
      <c r="AC428" s="3"/>
      <c r="AD428">
        <v>8</v>
      </c>
      <c r="AE428" t="s">
        <v>46</v>
      </c>
      <c r="AF428" s="4"/>
    </row>
    <row r="429" spans="1:32" x14ac:dyDescent="0.3">
      <c r="A429" t="s">
        <v>520</v>
      </c>
      <c r="B429">
        <v>22</v>
      </c>
      <c r="C429" t="str">
        <f t="shared" si="6"/>
        <v>Young Adults</v>
      </c>
      <c r="D429" t="s">
        <v>28</v>
      </c>
      <c r="E429">
        <v>2.5</v>
      </c>
      <c r="G429" t="s">
        <v>39</v>
      </c>
      <c r="H429" t="s">
        <v>93</v>
      </c>
      <c r="I429" t="s">
        <v>31</v>
      </c>
      <c r="J429">
        <v>7.4</v>
      </c>
      <c r="L429" t="s">
        <v>43</v>
      </c>
      <c r="M429" t="s">
        <v>36</v>
      </c>
      <c r="N429" t="s">
        <v>84</v>
      </c>
      <c r="O429">
        <v>1.17</v>
      </c>
      <c r="P429">
        <v>1</v>
      </c>
      <c r="Q429" t="s">
        <v>69</v>
      </c>
      <c r="R429" t="s">
        <v>45</v>
      </c>
      <c r="S429" t="b">
        <v>0</v>
      </c>
      <c r="T429" t="b">
        <v>0</v>
      </c>
      <c r="U429" t="b">
        <v>0</v>
      </c>
      <c r="V429" t="b">
        <v>0</v>
      </c>
      <c r="W429" t="b">
        <v>0</v>
      </c>
      <c r="X429">
        <v>2</v>
      </c>
      <c r="Y429">
        <v>10.4</v>
      </c>
      <c r="Z429">
        <v>3</v>
      </c>
      <c r="AA429">
        <v>12.8</v>
      </c>
      <c r="AB429" s="3">
        <v>40.43</v>
      </c>
      <c r="AC429" s="3"/>
      <c r="AD429">
        <v>12</v>
      </c>
      <c r="AE429" t="s">
        <v>46</v>
      </c>
      <c r="AF429" s="4"/>
    </row>
    <row r="430" spans="1:32" x14ac:dyDescent="0.3">
      <c r="A430" t="s">
        <v>521</v>
      </c>
      <c r="B430">
        <v>26</v>
      </c>
      <c r="C430" t="str">
        <f t="shared" si="6"/>
        <v>Young Adults</v>
      </c>
      <c r="D430" t="s">
        <v>53</v>
      </c>
      <c r="E430">
        <v>5.0999999999999996</v>
      </c>
      <c r="G430" t="s">
        <v>76</v>
      </c>
      <c r="H430" t="s">
        <v>110</v>
      </c>
      <c r="I430" t="s">
        <v>86</v>
      </c>
      <c r="J430">
        <v>5.9</v>
      </c>
      <c r="L430" t="s">
        <v>32</v>
      </c>
      <c r="M430" t="s">
        <v>74</v>
      </c>
      <c r="N430" t="s">
        <v>62</v>
      </c>
      <c r="P430">
        <v>6</v>
      </c>
      <c r="Q430" t="s">
        <v>66</v>
      </c>
      <c r="R430" t="s">
        <v>57</v>
      </c>
      <c r="S430" t="b">
        <v>0</v>
      </c>
      <c r="T430" t="b">
        <v>0</v>
      </c>
      <c r="U430" t="b">
        <v>0</v>
      </c>
      <c r="V430" t="b">
        <v>1</v>
      </c>
      <c r="W430" t="b">
        <v>0</v>
      </c>
      <c r="X430">
        <v>0.4</v>
      </c>
      <c r="Y430">
        <v>6.9</v>
      </c>
      <c r="Z430">
        <v>2</v>
      </c>
      <c r="AA430">
        <v>7.1</v>
      </c>
      <c r="AB430" s="3">
        <v>33.99</v>
      </c>
      <c r="AC430" s="3"/>
      <c r="AD430">
        <v>8</v>
      </c>
      <c r="AE430" t="s">
        <v>46</v>
      </c>
      <c r="AF430" s="4"/>
    </row>
    <row r="431" spans="1:32" x14ac:dyDescent="0.3">
      <c r="A431" t="s">
        <v>522</v>
      </c>
      <c r="B431">
        <v>29</v>
      </c>
      <c r="C431" t="str">
        <f t="shared" si="6"/>
        <v>Young Adults</v>
      </c>
      <c r="D431" t="s">
        <v>28</v>
      </c>
      <c r="E431">
        <v>6</v>
      </c>
      <c r="G431" t="s">
        <v>29</v>
      </c>
      <c r="H431" t="s">
        <v>73</v>
      </c>
      <c r="I431" t="s">
        <v>31</v>
      </c>
      <c r="J431">
        <v>6.5</v>
      </c>
      <c r="L431" t="s">
        <v>43</v>
      </c>
      <c r="M431" t="s">
        <v>36</v>
      </c>
      <c r="N431" t="s">
        <v>34</v>
      </c>
      <c r="P431">
        <v>1</v>
      </c>
      <c r="Q431" t="s">
        <v>69</v>
      </c>
      <c r="R431" t="s">
        <v>45</v>
      </c>
      <c r="S431" t="b">
        <v>0</v>
      </c>
      <c r="T431" t="b">
        <v>0</v>
      </c>
      <c r="U431" t="b">
        <v>0</v>
      </c>
      <c r="V431" t="b">
        <v>1</v>
      </c>
      <c r="W431" t="b">
        <v>0</v>
      </c>
      <c r="X431">
        <v>0.5</v>
      </c>
      <c r="Y431">
        <v>6</v>
      </c>
      <c r="Z431">
        <v>1</v>
      </c>
      <c r="AA431">
        <v>5.8</v>
      </c>
      <c r="AB431" s="3">
        <v>109.61</v>
      </c>
      <c r="AC431" s="3"/>
      <c r="AD431">
        <v>16</v>
      </c>
      <c r="AE431" t="s">
        <v>46</v>
      </c>
      <c r="AF431" s="4"/>
    </row>
    <row r="432" spans="1:32" x14ac:dyDescent="0.3">
      <c r="A432" t="s">
        <v>523</v>
      </c>
      <c r="B432">
        <v>22</v>
      </c>
      <c r="C432" t="str">
        <f t="shared" si="6"/>
        <v>Young Adults</v>
      </c>
      <c r="D432" t="s">
        <v>28</v>
      </c>
      <c r="E432">
        <v>5</v>
      </c>
      <c r="G432" t="s">
        <v>29</v>
      </c>
      <c r="H432" t="s">
        <v>73</v>
      </c>
      <c r="I432" t="s">
        <v>71</v>
      </c>
      <c r="J432">
        <v>5.8</v>
      </c>
      <c r="L432" t="s">
        <v>41</v>
      </c>
      <c r="M432" t="s">
        <v>36</v>
      </c>
      <c r="N432" t="s">
        <v>62</v>
      </c>
      <c r="O432">
        <v>3.16</v>
      </c>
      <c r="P432">
        <v>4</v>
      </c>
      <c r="Q432" t="s">
        <v>80</v>
      </c>
      <c r="R432" t="s">
        <v>42</v>
      </c>
      <c r="S432" t="b">
        <v>0</v>
      </c>
      <c r="T432" t="b">
        <v>0</v>
      </c>
      <c r="U432" t="b">
        <v>0</v>
      </c>
      <c r="V432" t="b">
        <v>0</v>
      </c>
      <c r="W432" t="b">
        <v>0</v>
      </c>
      <c r="X432">
        <v>0.1</v>
      </c>
      <c r="Y432">
        <v>6</v>
      </c>
      <c r="Z432">
        <v>4</v>
      </c>
      <c r="AA432">
        <v>9</v>
      </c>
      <c r="AB432" s="3">
        <v>89.73</v>
      </c>
      <c r="AC432" s="3"/>
      <c r="AD432">
        <v>5</v>
      </c>
      <c r="AE432" t="s">
        <v>46</v>
      </c>
      <c r="AF432" s="4"/>
    </row>
    <row r="433" spans="1:32" x14ac:dyDescent="0.3">
      <c r="A433" t="s">
        <v>524</v>
      </c>
      <c r="B433">
        <v>20</v>
      </c>
      <c r="C433" t="str">
        <f t="shared" si="6"/>
        <v>Young Adults</v>
      </c>
      <c r="D433" t="s">
        <v>53</v>
      </c>
      <c r="E433">
        <v>3.9</v>
      </c>
      <c r="G433" t="s">
        <v>29</v>
      </c>
      <c r="H433" t="s">
        <v>104</v>
      </c>
      <c r="I433" t="s">
        <v>71</v>
      </c>
      <c r="J433">
        <v>5.3</v>
      </c>
      <c r="L433" t="s">
        <v>43</v>
      </c>
      <c r="M433" t="s">
        <v>42</v>
      </c>
      <c r="N433" t="s">
        <v>62</v>
      </c>
      <c r="O433">
        <v>3.17</v>
      </c>
      <c r="P433">
        <v>7</v>
      </c>
      <c r="Q433" t="s">
        <v>105</v>
      </c>
      <c r="R433" t="s">
        <v>45</v>
      </c>
      <c r="S433" t="b">
        <v>0</v>
      </c>
      <c r="T433" t="b">
        <v>0</v>
      </c>
      <c r="U433" t="b">
        <v>0</v>
      </c>
      <c r="V433" t="b">
        <v>0</v>
      </c>
      <c r="W433" t="b">
        <v>0</v>
      </c>
      <c r="X433">
        <v>0.4</v>
      </c>
      <c r="Y433">
        <v>7.4</v>
      </c>
      <c r="Z433">
        <v>2</v>
      </c>
      <c r="AA433">
        <v>10.8</v>
      </c>
      <c r="AB433" s="3">
        <v>49.48</v>
      </c>
      <c r="AC433" s="3"/>
      <c r="AD433">
        <v>7</v>
      </c>
      <c r="AE433" t="s">
        <v>46</v>
      </c>
      <c r="AF433" s="4"/>
    </row>
    <row r="434" spans="1:32" x14ac:dyDescent="0.3">
      <c r="A434" t="s">
        <v>525</v>
      </c>
      <c r="B434">
        <v>20</v>
      </c>
      <c r="C434" t="str">
        <f t="shared" si="6"/>
        <v>Young Adults</v>
      </c>
      <c r="D434" t="s">
        <v>28</v>
      </c>
      <c r="E434">
        <v>4.5</v>
      </c>
      <c r="G434" t="s">
        <v>48</v>
      </c>
      <c r="H434" t="s">
        <v>49</v>
      </c>
      <c r="I434" t="s">
        <v>31</v>
      </c>
      <c r="J434">
        <v>5.8</v>
      </c>
      <c r="L434" t="s">
        <v>41</v>
      </c>
      <c r="M434" t="s">
        <v>45</v>
      </c>
      <c r="N434" t="s">
        <v>84</v>
      </c>
      <c r="O434">
        <v>3.73</v>
      </c>
      <c r="P434">
        <v>9</v>
      </c>
      <c r="Q434" t="s">
        <v>66</v>
      </c>
      <c r="R434" t="s">
        <v>57</v>
      </c>
      <c r="S434" t="b">
        <v>0</v>
      </c>
      <c r="T434" t="b">
        <v>0</v>
      </c>
      <c r="U434" t="b">
        <v>0</v>
      </c>
      <c r="V434" t="b">
        <v>1</v>
      </c>
      <c r="W434" t="b">
        <v>0</v>
      </c>
      <c r="X434">
        <v>0.8</v>
      </c>
      <c r="Y434">
        <v>7.2</v>
      </c>
      <c r="Z434">
        <v>5</v>
      </c>
      <c r="AA434">
        <v>6.3</v>
      </c>
      <c r="AB434" s="3">
        <v>135.01</v>
      </c>
      <c r="AC434" s="3"/>
      <c r="AD434">
        <v>6</v>
      </c>
      <c r="AE434" t="s">
        <v>46</v>
      </c>
      <c r="AF434" s="4"/>
    </row>
    <row r="435" spans="1:32" x14ac:dyDescent="0.3">
      <c r="A435" t="s">
        <v>526</v>
      </c>
      <c r="B435">
        <v>18</v>
      </c>
      <c r="C435" t="str">
        <f t="shared" si="6"/>
        <v>Teenager</v>
      </c>
      <c r="D435" t="s">
        <v>28</v>
      </c>
      <c r="E435">
        <v>3.8</v>
      </c>
      <c r="G435" t="s">
        <v>29</v>
      </c>
      <c r="H435" t="s">
        <v>30</v>
      </c>
      <c r="I435" t="s">
        <v>86</v>
      </c>
      <c r="J435">
        <v>5.2</v>
      </c>
      <c r="L435" t="s">
        <v>41</v>
      </c>
      <c r="M435" t="s">
        <v>45</v>
      </c>
      <c r="N435" t="s">
        <v>62</v>
      </c>
      <c r="O435">
        <v>3.04</v>
      </c>
      <c r="Q435" t="s">
        <v>80</v>
      </c>
      <c r="R435" t="s">
        <v>57</v>
      </c>
      <c r="S435" t="b">
        <v>0</v>
      </c>
      <c r="T435" t="b">
        <v>0</v>
      </c>
      <c r="U435" t="b">
        <v>0</v>
      </c>
      <c r="V435" t="b">
        <v>0</v>
      </c>
      <c r="W435" t="b">
        <v>0</v>
      </c>
      <c r="X435">
        <v>1.1000000000000001</v>
      </c>
      <c r="Y435">
        <v>9.9</v>
      </c>
      <c r="Z435">
        <v>2</v>
      </c>
      <c r="AA435">
        <v>8</v>
      </c>
      <c r="AB435" s="3">
        <v>21.62</v>
      </c>
      <c r="AC435" s="3"/>
      <c r="AD435">
        <v>6</v>
      </c>
      <c r="AE435" t="s">
        <v>46</v>
      </c>
      <c r="AF435" s="4"/>
    </row>
    <row r="436" spans="1:32" x14ac:dyDescent="0.3">
      <c r="A436" t="s">
        <v>527</v>
      </c>
      <c r="B436">
        <v>17</v>
      </c>
      <c r="C436" t="str">
        <f t="shared" si="6"/>
        <v>Teenager</v>
      </c>
      <c r="D436" t="s">
        <v>28</v>
      </c>
      <c r="E436">
        <v>7.8</v>
      </c>
      <c r="G436" t="s">
        <v>29</v>
      </c>
      <c r="H436" t="s">
        <v>118</v>
      </c>
      <c r="I436" t="s">
        <v>86</v>
      </c>
      <c r="J436">
        <v>5.7</v>
      </c>
      <c r="L436" t="s">
        <v>78</v>
      </c>
      <c r="M436" t="s">
        <v>36</v>
      </c>
      <c r="N436" t="s">
        <v>34</v>
      </c>
      <c r="O436">
        <v>2.5299999999999998</v>
      </c>
      <c r="Q436" t="s">
        <v>66</v>
      </c>
      <c r="R436" t="s">
        <v>45</v>
      </c>
      <c r="S436" t="b">
        <v>1</v>
      </c>
      <c r="T436" t="b">
        <v>0</v>
      </c>
      <c r="U436" t="b">
        <v>1</v>
      </c>
      <c r="V436" t="b">
        <v>1</v>
      </c>
      <c r="W436" t="b">
        <v>1</v>
      </c>
      <c r="X436">
        <v>0.9</v>
      </c>
      <c r="Y436">
        <v>6.2</v>
      </c>
      <c r="Z436">
        <v>6</v>
      </c>
      <c r="AA436">
        <v>4.5</v>
      </c>
      <c r="AB436" s="3">
        <v>147.19999999999999</v>
      </c>
      <c r="AC436" s="3"/>
      <c r="AD436">
        <v>4</v>
      </c>
      <c r="AE436" t="s">
        <v>58</v>
      </c>
      <c r="AF436" s="4"/>
    </row>
    <row r="437" spans="1:32" x14ac:dyDescent="0.3">
      <c r="A437" t="s">
        <v>528</v>
      </c>
      <c r="B437">
        <v>20</v>
      </c>
      <c r="C437" t="str">
        <f t="shared" si="6"/>
        <v>Young Adults</v>
      </c>
      <c r="D437" t="s">
        <v>28</v>
      </c>
      <c r="E437">
        <v>5.3</v>
      </c>
      <c r="G437" t="s">
        <v>48</v>
      </c>
      <c r="H437" t="s">
        <v>214</v>
      </c>
      <c r="I437" t="s">
        <v>86</v>
      </c>
      <c r="J437">
        <v>6.9</v>
      </c>
      <c r="L437" t="s">
        <v>41</v>
      </c>
      <c r="M437" t="s">
        <v>36</v>
      </c>
      <c r="N437" t="s">
        <v>43</v>
      </c>
      <c r="O437">
        <v>3.49</v>
      </c>
      <c r="P437">
        <v>5</v>
      </c>
      <c r="Q437" t="s">
        <v>66</v>
      </c>
      <c r="R437" t="s">
        <v>33</v>
      </c>
      <c r="S437" t="b">
        <v>0</v>
      </c>
      <c r="T437" t="b">
        <v>0</v>
      </c>
      <c r="U437" t="b">
        <v>0</v>
      </c>
      <c r="V437" t="b">
        <v>1</v>
      </c>
      <c r="W437" t="b">
        <v>0</v>
      </c>
      <c r="X437">
        <v>1.7</v>
      </c>
      <c r="Y437">
        <v>5.6</v>
      </c>
      <c r="Z437">
        <v>3</v>
      </c>
      <c r="AA437">
        <v>9.6</v>
      </c>
      <c r="AB437" s="3">
        <v>97.04</v>
      </c>
      <c r="AC437" s="3"/>
      <c r="AD437">
        <v>7</v>
      </c>
      <c r="AE437" t="s">
        <v>46</v>
      </c>
      <c r="AF437" s="4"/>
    </row>
    <row r="438" spans="1:32" x14ac:dyDescent="0.3">
      <c r="A438" t="s">
        <v>529</v>
      </c>
      <c r="B438">
        <v>23</v>
      </c>
      <c r="C438" t="str">
        <f t="shared" si="6"/>
        <v>Young Adults</v>
      </c>
      <c r="D438" t="s">
        <v>28</v>
      </c>
      <c r="E438">
        <v>4.5999999999999996</v>
      </c>
      <c r="G438" t="s">
        <v>39</v>
      </c>
      <c r="H438" t="s">
        <v>93</v>
      </c>
      <c r="I438" t="s">
        <v>50</v>
      </c>
      <c r="J438">
        <v>5.4</v>
      </c>
      <c r="L438" t="s">
        <v>41</v>
      </c>
      <c r="M438" t="s">
        <v>36</v>
      </c>
      <c r="N438" t="s">
        <v>43</v>
      </c>
      <c r="P438">
        <v>5</v>
      </c>
      <c r="Q438" t="s">
        <v>80</v>
      </c>
      <c r="R438" t="s">
        <v>36</v>
      </c>
      <c r="S438" t="b">
        <v>0</v>
      </c>
      <c r="T438" t="b">
        <v>0</v>
      </c>
      <c r="U438" t="b">
        <v>0</v>
      </c>
      <c r="V438" t="b">
        <v>1</v>
      </c>
      <c r="W438" t="b">
        <v>0</v>
      </c>
      <c r="X438">
        <v>6.5</v>
      </c>
      <c r="Y438">
        <v>9</v>
      </c>
      <c r="Z438">
        <v>4</v>
      </c>
      <c r="AA438">
        <v>9.6999999999999993</v>
      </c>
      <c r="AB438" s="3">
        <v>74.83</v>
      </c>
      <c r="AC438" s="3"/>
      <c r="AD438">
        <v>7</v>
      </c>
      <c r="AE438" t="s">
        <v>46</v>
      </c>
      <c r="AF438" s="4"/>
    </row>
    <row r="439" spans="1:32" x14ac:dyDescent="0.3">
      <c r="A439" t="s">
        <v>530</v>
      </c>
      <c r="B439">
        <v>22</v>
      </c>
      <c r="C439" t="str">
        <f t="shared" si="6"/>
        <v>Young Adults</v>
      </c>
      <c r="D439" t="s">
        <v>28</v>
      </c>
      <c r="E439">
        <v>3.7</v>
      </c>
      <c r="G439" t="s">
        <v>60</v>
      </c>
      <c r="H439" t="s">
        <v>102</v>
      </c>
      <c r="I439" t="s">
        <v>31</v>
      </c>
      <c r="J439">
        <v>5.3</v>
      </c>
      <c r="L439" t="s">
        <v>43</v>
      </c>
      <c r="M439" t="s">
        <v>74</v>
      </c>
      <c r="N439" t="s">
        <v>62</v>
      </c>
      <c r="O439">
        <v>2.31</v>
      </c>
      <c r="P439">
        <v>9</v>
      </c>
      <c r="Q439" t="s">
        <v>35</v>
      </c>
      <c r="R439" t="s">
        <v>33</v>
      </c>
      <c r="S439" t="b">
        <v>0</v>
      </c>
      <c r="T439" t="b">
        <v>0</v>
      </c>
      <c r="U439" t="b">
        <v>0</v>
      </c>
      <c r="V439" t="b">
        <v>0</v>
      </c>
      <c r="W439" t="b">
        <v>0</v>
      </c>
      <c r="X439">
        <v>2.5</v>
      </c>
      <c r="Y439">
        <v>7.1</v>
      </c>
      <c r="Z439">
        <v>1</v>
      </c>
      <c r="AA439">
        <v>12.2</v>
      </c>
      <c r="AB439" s="3">
        <v>13.27</v>
      </c>
      <c r="AC439" s="3"/>
      <c r="AD439">
        <v>2</v>
      </c>
      <c r="AE439" t="s">
        <v>46</v>
      </c>
      <c r="AF439" s="4"/>
    </row>
    <row r="440" spans="1:32" x14ac:dyDescent="0.3">
      <c r="A440" t="s">
        <v>531</v>
      </c>
      <c r="B440">
        <v>17</v>
      </c>
      <c r="C440" t="str">
        <f t="shared" si="6"/>
        <v>Teenager</v>
      </c>
      <c r="D440" t="s">
        <v>53</v>
      </c>
      <c r="E440">
        <v>3.9</v>
      </c>
      <c r="G440" t="s">
        <v>60</v>
      </c>
      <c r="H440" t="s">
        <v>200</v>
      </c>
      <c r="I440" t="s">
        <v>31</v>
      </c>
      <c r="J440">
        <v>6</v>
      </c>
      <c r="L440" t="s">
        <v>41</v>
      </c>
      <c r="M440" t="s">
        <v>36</v>
      </c>
      <c r="N440" t="s">
        <v>43</v>
      </c>
      <c r="O440">
        <v>1.67</v>
      </c>
      <c r="Q440" t="s">
        <v>80</v>
      </c>
      <c r="R440" t="s">
        <v>57</v>
      </c>
      <c r="S440" t="b">
        <v>0</v>
      </c>
      <c r="T440" t="b">
        <v>0</v>
      </c>
      <c r="U440" t="b">
        <v>0</v>
      </c>
      <c r="V440" t="b">
        <v>0</v>
      </c>
      <c r="W440" t="b">
        <v>0</v>
      </c>
      <c r="X440">
        <v>0.1</v>
      </c>
      <c r="Y440">
        <v>6.1</v>
      </c>
      <c r="Z440">
        <v>2</v>
      </c>
      <c r="AA440">
        <v>12.5</v>
      </c>
      <c r="AB440" s="3">
        <v>34.03</v>
      </c>
      <c r="AC440" s="3"/>
      <c r="AD440">
        <v>7</v>
      </c>
      <c r="AE440" t="s">
        <v>46</v>
      </c>
      <c r="AF440" s="4"/>
    </row>
    <row r="441" spans="1:32" x14ac:dyDescent="0.3">
      <c r="A441" t="s">
        <v>532</v>
      </c>
      <c r="B441">
        <v>32</v>
      </c>
      <c r="C441" t="str">
        <f t="shared" si="6"/>
        <v>Old Adults</v>
      </c>
      <c r="D441" t="s">
        <v>53</v>
      </c>
      <c r="E441">
        <v>1</v>
      </c>
      <c r="G441" t="s">
        <v>48</v>
      </c>
      <c r="H441" t="s">
        <v>49</v>
      </c>
      <c r="I441" t="s">
        <v>86</v>
      </c>
      <c r="J441">
        <v>7.4</v>
      </c>
      <c r="L441" t="s">
        <v>43</v>
      </c>
      <c r="M441" t="s">
        <v>33</v>
      </c>
      <c r="N441" t="s">
        <v>34</v>
      </c>
      <c r="P441">
        <v>9</v>
      </c>
      <c r="Q441" t="s">
        <v>66</v>
      </c>
      <c r="R441" t="s">
        <v>57</v>
      </c>
      <c r="S441" t="b">
        <v>0</v>
      </c>
      <c r="T441" t="b">
        <v>0</v>
      </c>
      <c r="U441" t="b">
        <v>0</v>
      </c>
      <c r="V441" t="b">
        <v>0</v>
      </c>
      <c r="W441" t="b">
        <v>0</v>
      </c>
      <c r="X441">
        <v>0.2</v>
      </c>
      <c r="Y441">
        <v>8</v>
      </c>
      <c r="Z441">
        <v>1</v>
      </c>
      <c r="AA441">
        <v>14.3</v>
      </c>
      <c r="AB441" s="3">
        <v>49.46</v>
      </c>
      <c r="AC441" s="3"/>
      <c r="AD441">
        <v>3</v>
      </c>
      <c r="AE441" t="s">
        <v>46</v>
      </c>
      <c r="AF441" s="4"/>
    </row>
    <row r="442" spans="1:32" x14ac:dyDescent="0.3">
      <c r="A442" t="s">
        <v>533</v>
      </c>
      <c r="B442">
        <v>18</v>
      </c>
      <c r="C442" t="str">
        <f t="shared" si="6"/>
        <v>Teenager</v>
      </c>
      <c r="D442" t="s">
        <v>53</v>
      </c>
      <c r="E442">
        <v>4.5999999999999996</v>
      </c>
      <c r="G442" t="s">
        <v>82</v>
      </c>
      <c r="H442" t="s">
        <v>83</v>
      </c>
      <c r="I442" t="s">
        <v>50</v>
      </c>
      <c r="J442">
        <v>6.9</v>
      </c>
      <c r="L442" t="s">
        <v>41</v>
      </c>
      <c r="M442" t="s">
        <v>33</v>
      </c>
      <c r="N442" t="s">
        <v>62</v>
      </c>
      <c r="O442">
        <v>1.05</v>
      </c>
      <c r="Q442" t="s">
        <v>63</v>
      </c>
      <c r="R442" t="s">
        <v>36</v>
      </c>
      <c r="S442" t="b">
        <v>0</v>
      </c>
      <c r="T442" t="b">
        <v>0</v>
      </c>
      <c r="U442" t="b">
        <v>0</v>
      </c>
      <c r="V442" t="b">
        <v>0</v>
      </c>
      <c r="W442" t="b">
        <v>0</v>
      </c>
      <c r="X442">
        <v>0.4</v>
      </c>
      <c r="Y442">
        <v>8.1999999999999993</v>
      </c>
      <c r="Z442">
        <v>2</v>
      </c>
      <c r="AA442">
        <v>6.2</v>
      </c>
      <c r="AB442" s="3">
        <v>100.04</v>
      </c>
      <c r="AC442" s="3"/>
      <c r="AD442">
        <v>2</v>
      </c>
      <c r="AE442" t="s">
        <v>46</v>
      </c>
      <c r="AF442" s="4"/>
    </row>
    <row r="443" spans="1:32" x14ac:dyDescent="0.3">
      <c r="A443" t="s">
        <v>534</v>
      </c>
      <c r="B443">
        <v>17</v>
      </c>
      <c r="C443" t="str">
        <f t="shared" si="6"/>
        <v>Teenager</v>
      </c>
      <c r="D443" t="s">
        <v>53</v>
      </c>
      <c r="E443">
        <v>5.8</v>
      </c>
      <c r="G443" t="s">
        <v>60</v>
      </c>
      <c r="H443" t="s">
        <v>102</v>
      </c>
      <c r="I443" t="s">
        <v>31</v>
      </c>
      <c r="J443">
        <v>6.4</v>
      </c>
      <c r="L443" t="s">
        <v>41</v>
      </c>
      <c r="M443" t="s">
        <v>74</v>
      </c>
      <c r="N443" t="s">
        <v>43</v>
      </c>
      <c r="O443">
        <v>3.6</v>
      </c>
      <c r="Q443" t="s">
        <v>63</v>
      </c>
      <c r="R443" t="s">
        <v>45</v>
      </c>
      <c r="S443" t="b">
        <v>0</v>
      </c>
      <c r="T443" t="b">
        <v>0</v>
      </c>
      <c r="U443" t="b">
        <v>0</v>
      </c>
      <c r="V443" t="b">
        <v>1</v>
      </c>
      <c r="W443" t="b">
        <v>0</v>
      </c>
      <c r="X443">
        <v>3.6</v>
      </c>
      <c r="Y443">
        <v>6.4</v>
      </c>
      <c r="Z443">
        <v>4</v>
      </c>
      <c r="AA443">
        <v>7</v>
      </c>
      <c r="AB443" s="3">
        <v>87.25</v>
      </c>
      <c r="AC443" s="3"/>
      <c r="AD443">
        <v>5</v>
      </c>
      <c r="AE443" t="s">
        <v>46</v>
      </c>
      <c r="AF443" s="4"/>
    </row>
    <row r="444" spans="1:32" x14ac:dyDescent="0.3">
      <c r="A444" t="s">
        <v>535</v>
      </c>
      <c r="B444">
        <v>14</v>
      </c>
      <c r="C444" t="str">
        <f t="shared" si="6"/>
        <v>Teenager</v>
      </c>
      <c r="D444" t="s">
        <v>28</v>
      </c>
      <c r="E444">
        <v>11.4</v>
      </c>
      <c r="G444" t="s">
        <v>48</v>
      </c>
      <c r="H444" t="s">
        <v>68</v>
      </c>
      <c r="I444" t="s">
        <v>50</v>
      </c>
      <c r="J444">
        <v>4.8</v>
      </c>
      <c r="L444" t="s">
        <v>32</v>
      </c>
      <c r="M444" t="s">
        <v>33</v>
      </c>
      <c r="N444" t="s">
        <v>129</v>
      </c>
      <c r="O444">
        <v>2.61</v>
      </c>
      <c r="Q444" t="s">
        <v>69</v>
      </c>
      <c r="R444" t="s">
        <v>57</v>
      </c>
      <c r="S444" t="b">
        <v>0</v>
      </c>
      <c r="T444" t="b">
        <v>1</v>
      </c>
      <c r="U444" t="b">
        <v>0</v>
      </c>
      <c r="V444" t="b">
        <v>1</v>
      </c>
      <c r="W444" t="b">
        <v>1</v>
      </c>
      <c r="X444">
        <v>5.3</v>
      </c>
      <c r="Y444">
        <v>3.2</v>
      </c>
      <c r="Z444">
        <v>6</v>
      </c>
      <c r="AA444">
        <v>3.2</v>
      </c>
      <c r="AB444" s="3">
        <v>237.13</v>
      </c>
      <c r="AC444" s="3"/>
      <c r="AD444">
        <v>3</v>
      </c>
      <c r="AE444" t="s">
        <v>58</v>
      </c>
      <c r="AF444" s="4"/>
    </row>
    <row r="445" spans="1:32" x14ac:dyDescent="0.3">
      <c r="A445" t="s">
        <v>536</v>
      </c>
      <c r="B445">
        <v>17</v>
      </c>
      <c r="C445" t="str">
        <f t="shared" si="6"/>
        <v>Teenager</v>
      </c>
      <c r="D445" t="s">
        <v>28</v>
      </c>
      <c r="E445">
        <v>2.5</v>
      </c>
      <c r="G445" t="s">
        <v>48</v>
      </c>
      <c r="H445" t="s">
        <v>214</v>
      </c>
      <c r="I445" t="s">
        <v>86</v>
      </c>
      <c r="J445">
        <v>8.4</v>
      </c>
      <c r="L445" t="s">
        <v>41</v>
      </c>
      <c r="M445" t="s">
        <v>42</v>
      </c>
      <c r="N445" t="s">
        <v>84</v>
      </c>
      <c r="O445">
        <v>2.61</v>
      </c>
      <c r="Q445" t="s">
        <v>66</v>
      </c>
      <c r="R445" t="s">
        <v>45</v>
      </c>
      <c r="S445" t="b">
        <v>0</v>
      </c>
      <c r="T445" t="b">
        <v>0</v>
      </c>
      <c r="U445" t="b">
        <v>0</v>
      </c>
      <c r="V445" t="b">
        <v>0</v>
      </c>
      <c r="W445" t="b">
        <v>0</v>
      </c>
      <c r="X445">
        <v>0.5</v>
      </c>
      <c r="Y445">
        <v>8.6999999999999993</v>
      </c>
      <c r="Z445">
        <v>1</v>
      </c>
      <c r="AA445">
        <v>9.9</v>
      </c>
      <c r="AB445" s="3">
        <v>14.02</v>
      </c>
      <c r="AC445" s="3"/>
      <c r="AD445">
        <v>6</v>
      </c>
      <c r="AE445" t="s">
        <v>46</v>
      </c>
      <c r="AF445" s="4"/>
    </row>
    <row r="446" spans="1:32" x14ac:dyDescent="0.3">
      <c r="A446" t="s">
        <v>537</v>
      </c>
      <c r="B446">
        <v>25</v>
      </c>
      <c r="C446" t="str">
        <f t="shared" si="6"/>
        <v>Young Adults</v>
      </c>
      <c r="D446" t="s">
        <v>53</v>
      </c>
      <c r="E446">
        <v>5.2</v>
      </c>
      <c r="G446" t="s">
        <v>60</v>
      </c>
      <c r="H446" t="s">
        <v>200</v>
      </c>
      <c r="I446" t="s">
        <v>86</v>
      </c>
      <c r="J446">
        <v>6</v>
      </c>
      <c r="L446" t="s">
        <v>41</v>
      </c>
      <c r="M446" t="s">
        <v>74</v>
      </c>
      <c r="N446" t="s">
        <v>84</v>
      </c>
      <c r="P446">
        <v>4</v>
      </c>
      <c r="Q446" t="s">
        <v>63</v>
      </c>
      <c r="R446" t="s">
        <v>36</v>
      </c>
      <c r="S446" t="b">
        <v>0</v>
      </c>
      <c r="T446" t="b">
        <v>0</v>
      </c>
      <c r="U446" t="b">
        <v>0</v>
      </c>
      <c r="V446" t="b">
        <v>1</v>
      </c>
      <c r="W446" t="b">
        <v>0</v>
      </c>
      <c r="X446">
        <v>1.5</v>
      </c>
      <c r="Y446">
        <v>8.1</v>
      </c>
      <c r="Z446">
        <v>3</v>
      </c>
      <c r="AA446">
        <v>10.4</v>
      </c>
      <c r="AB446" s="3">
        <v>54.39</v>
      </c>
      <c r="AC446" s="3"/>
      <c r="AD446">
        <v>1</v>
      </c>
      <c r="AE446" t="s">
        <v>46</v>
      </c>
      <c r="AF446" s="4"/>
    </row>
    <row r="447" spans="1:32" x14ac:dyDescent="0.3">
      <c r="A447" t="s">
        <v>538</v>
      </c>
      <c r="B447">
        <v>18</v>
      </c>
      <c r="C447" t="str">
        <f t="shared" si="6"/>
        <v>Teenager</v>
      </c>
      <c r="D447" t="s">
        <v>28</v>
      </c>
      <c r="E447">
        <v>8.1</v>
      </c>
      <c r="G447" t="s">
        <v>29</v>
      </c>
      <c r="H447" t="s">
        <v>73</v>
      </c>
      <c r="I447" t="s">
        <v>50</v>
      </c>
      <c r="J447">
        <v>4.2</v>
      </c>
      <c r="L447" t="s">
        <v>51</v>
      </c>
      <c r="M447" t="s">
        <v>74</v>
      </c>
      <c r="N447" t="s">
        <v>34</v>
      </c>
      <c r="O447">
        <v>3.21</v>
      </c>
      <c r="Q447" t="s">
        <v>63</v>
      </c>
      <c r="R447" t="s">
        <v>57</v>
      </c>
      <c r="S447" t="b">
        <v>1</v>
      </c>
      <c r="T447" t="b">
        <v>1</v>
      </c>
      <c r="U447" t="b">
        <v>0</v>
      </c>
      <c r="V447" t="b">
        <v>0</v>
      </c>
      <c r="W447" t="b">
        <v>0</v>
      </c>
      <c r="X447">
        <v>0.8</v>
      </c>
      <c r="Y447">
        <v>4.8</v>
      </c>
      <c r="Z447">
        <v>4</v>
      </c>
      <c r="AA447">
        <v>6.1</v>
      </c>
      <c r="AB447" s="3">
        <v>67.44</v>
      </c>
      <c r="AC447" s="3"/>
      <c r="AD447">
        <v>6</v>
      </c>
      <c r="AE447" t="s">
        <v>58</v>
      </c>
      <c r="AF447" s="4"/>
    </row>
    <row r="448" spans="1:32" x14ac:dyDescent="0.3">
      <c r="A448" t="s">
        <v>539</v>
      </c>
      <c r="B448">
        <v>18</v>
      </c>
      <c r="C448" t="str">
        <f t="shared" si="6"/>
        <v>Teenager</v>
      </c>
      <c r="D448" t="s">
        <v>53</v>
      </c>
      <c r="E448">
        <v>1.6</v>
      </c>
      <c r="G448" t="s">
        <v>54</v>
      </c>
      <c r="H448" t="s">
        <v>89</v>
      </c>
      <c r="I448" t="s">
        <v>86</v>
      </c>
      <c r="J448">
        <v>7</v>
      </c>
      <c r="L448" t="s">
        <v>43</v>
      </c>
      <c r="M448" t="s">
        <v>45</v>
      </c>
      <c r="N448" t="s">
        <v>62</v>
      </c>
      <c r="O448">
        <v>3.63</v>
      </c>
      <c r="Q448" t="s">
        <v>66</v>
      </c>
      <c r="R448" t="s">
        <v>45</v>
      </c>
      <c r="S448" t="b">
        <v>0</v>
      </c>
      <c r="T448" t="b">
        <v>0</v>
      </c>
      <c r="U448" t="b">
        <v>0</v>
      </c>
      <c r="V448" t="b">
        <v>0</v>
      </c>
      <c r="W448" t="b">
        <v>0</v>
      </c>
      <c r="X448">
        <v>0.1</v>
      </c>
      <c r="Y448">
        <v>9.5</v>
      </c>
      <c r="Z448">
        <v>1</v>
      </c>
      <c r="AA448">
        <v>13</v>
      </c>
      <c r="AB448" s="3">
        <v>9.19</v>
      </c>
      <c r="AC448" s="3"/>
      <c r="AD448">
        <v>8</v>
      </c>
      <c r="AE448" t="s">
        <v>46</v>
      </c>
      <c r="AF448" s="4"/>
    </row>
    <row r="449" spans="1:32" x14ac:dyDescent="0.3">
      <c r="A449" t="s">
        <v>540</v>
      </c>
      <c r="B449">
        <v>19</v>
      </c>
      <c r="C449" t="str">
        <f t="shared" si="6"/>
        <v>Teenager</v>
      </c>
      <c r="D449" t="s">
        <v>53</v>
      </c>
      <c r="E449">
        <v>2.1</v>
      </c>
      <c r="G449" t="s">
        <v>76</v>
      </c>
      <c r="H449" t="s">
        <v>126</v>
      </c>
      <c r="I449" t="s">
        <v>31</v>
      </c>
      <c r="J449">
        <v>8.9</v>
      </c>
      <c r="L449" t="s">
        <v>43</v>
      </c>
      <c r="M449" t="s">
        <v>74</v>
      </c>
      <c r="N449" t="s">
        <v>43</v>
      </c>
      <c r="O449">
        <v>1.32</v>
      </c>
      <c r="P449">
        <v>10</v>
      </c>
      <c r="Q449" t="s">
        <v>66</v>
      </c>
      <c r="R449" t="s">
        <v>42</v>
      </c>
      <c r="S449" t="b">
        <v>0</v>
      </c>
      <c r="T449" t="b">
        <v>0</v>
      </c>
      <c r="U449" t="b">
        <v>0</v>
      </c>
      <c r="V449" t="b">
        <v>0</v>
      </c>
      <c r="W449" t="b">
        <v>0</v>
      </c>
      <c r="X449">
        <v>0.1</v>
      </c>
      <c r="Y449">
        <v>7.6</v>
      </c>
      <c r="Z449">
        <v>2</v>
      </c>
      <c r="AA449">
        <v>14.5</v>
      </c>
      <c r="AB449" s="3">
        <v>33.11</v>
      </c>
      <c r="AC449" s="3"/>
      <c r="AD449">
        <v>5</v>
      </c>
      <c r="AE449" t="s">
        <v>46</v>
      </c>
      <c r="AF449" s="4"/>
    </row>
    <row r="450" spans="1:32" x14ac:dyDescent="0.3">
      <c r="A450" t="s">
        <v>541</v>
      </c>
      <c r="B450">
        <v>21</v>
      </c>
      <c r="C450" t="str">
        <f t="shared" si="6"/>
        <v>Young Adults</v>
      </c>
      <c r="D450" t="s">
        <v>28</v>
      </c>
      <c r="E450">
        <v>9.1</v>
      </c>
      <c r="G450" t="s">
        <v>82</v>
      </c>
      <c r="H450" t="s">
        <v>134</v>
      </c>
      <c r="I450" t="s">
        <v>50</v>
      </c>
      <c r="J450">
        <v>5.3</v>
      </c>
      <c r="L450" t="s">
        <v>32</v>
      </c>
      <c r="M450" t="s">
        <v>36</v>
      </c>
      <c r="N450" t="s">
        <v>51</v>
      </c>
      <c r="O450">
        <v>1.88</v>
      </c>
      <c r="P450">
        <v>4</v>
      </c>
      <c r="Q450" t="s">
        <v>35</v>
      </c>
      <c r="R450" t="s">
        <v>57</v>
      </c>
      <c r="S450" t="b">
        <v>0</v>
      </c>
      <c r="T450" t="b">
        <v>1</v>
      </c>
      <c r="U450" t="b">
        <v>1</v>
      </c>
      <c r="V450" t="b">
        <v>1</v>
      </c>
      <c r="W450" t="b">
        <v>1</v>
      </c>
      <c r="X450">
        <v>1.5</v>
      </c>
      <c r="Y450">
        <v>3.8</v>
      </c>
      <c r="Z450">
        <v>4</v>
      </c>
      <c r="AA450">
        <v>7.1</v>
      </c>
      <c r="AB450" s="3">
        <v>493.27</v>
      </c>
      <c r="AC450" s="3"/>
      <c r="AD450">
        <v>11</v>
      </c>
      <c r="AE450" t="s">
        <v>37</v>
      </c>
      <c r="AF450" s="4"/>
    </row>
    <row r="451" spans="1:32" x14ac:dyDescent="0.3">
      <c r="A451" t="s">
        <v>542</v>
      </c>
      <c r="B451">
        <v>20</v>
      </c>
      <c r="C451" t="str">
        <f t="shared" ref="C451:C514" si="7">IF(B451&lt;=19,"Teenager",IF(B451&lt;=30,"Young Adults",IF(B451&gt;30,"Old Adults")))</f>
        <v>Young Adults</v>
      </c>
      <c r="D451" t="s">
        <v>53</v>
      </c>
      <c r="E451">
        <v>4.0999999999999996</v>
      </c>
      <c r="G451" t="s">
        <v>39</v>
      </c>
      <c r="H451" t="s">
        <v>120</v>
      </c>
      <c r="I451" t="s">
        <v>31</v>
      </c>
      <c r="J451">
        <v>6.9</v>
      </c>
      <c r="L451" t="s">
        <v>51</v>
      </c>
      <c r="M451" t="s">
        <v>74</v>
      </c>
      <c r="N451" t="s">
        <v>84</v>
      </c>
      <c r="O451">
        <v>2.52</v>
      </c>
      <c r="P451">
        <v>4</v>
      </c>
      <c r="Q451" t="s">
        <v>69</v>
      </c>
      <c r="R451" t="s">
        <v>45</v>
      </c>
      <c r="S451" t="b">
        <v>0</v>
      </c>
      <c r="T451" t="b">
        <v>0</v>
      </c>
      <c r="U451" t="b">
        <v>0</v>
      </c>
      <c r="V451" t="b">
        <v>0</v>
      </c>
      <c r="W451" t="b">
        <v>0</v>
      </c>
      <c r="X451">
        <v>0</v>
      </c>
      <c r="Y451">
        <v>8.5</v>
      </c>
      <c r="Z451">
        <v>2</v>
      </c>
      <c r="AA451">
        <v>7.8</v>
      </c>
      <c r="AB451" s="3">
        <v>38.82</v>
      </c>
      <c r="AC451" s="3"/>
      <c r="AD451">
        <v>2</v>
      </c>
      <c r="AE451" t="s">
        <v>46</v>
      </c>
      <c r="AF451" s="4"/>
    </row>
    <row r="452" spans="1:32" x14ac:dyDescent="0.3">
      <c r="A452" t="s">
        <v>543</v>
      </c>
      <c r="B452">
        <v>15</v>
      </c>
      <c r="C452" t="str">
        <f t="shared" si="7"/>
        <v>Teenager</v>
      </c>
      <c r="D452" t="s">
        <v>53</v>
      </c>
      <c r="E452">
        <v>9.5</v>
      </c>
      <c r="G452" t="s">
        <v>76</v>
      </c>
      <c r="H452" t="s">
        <v>77</v>
      </c>
      <c r="I452" t="s">
        <v>50</v>
      </c>
      <c r="J452">
        <v>3.8</v>
      </c>
      <c r="L452" t="s">
        <v>32</v>
      </c>
      <c r="M452" t="s">
        <v>42</v>
      </c>
      <c r="N452" t="s">
        <v>34</v>
      </c>
      <c r="O452">
        <v>3.53</v>
      </c>
      <c r="Q452" t="s">
        <v>63</v>
      </c>
      <c r="R452" t="s">
        <v>42</v>
      </c>
      <c r="S452" t="b">
        <v>0</v>
      </c>
      <c r="T452" t="b">
        <v>1</v>
      </c>
      <c r="U452" t="b">
        <v>1</v>
      </c>
      <c r="V452" t="b">
        <v>1</v>
      </c>
      <c r="W452" t="b">
        <v>1</v>
      </c>
      <c r="X452">
        <v>1.5</v>
      </c>
      <c r="Y452">
        <v>3.7</v>
      </c>
      <c r="Z452">
        <v>5</v>
      </c>
      <c r="AA452">
        <v>5.8</v>
      </c>
      <c r="AB452" s="3">
        <v>229.59</v>
      </c>
      <c r="AC452" s="3"/>
      <c r="AD452">
        <v>1</v>
      </c>
      <c r="AE452" t="s">
        <v>37</v>
      </c>
      <c r="AF452" s="4"/>
    </row>
    <row r="453" spans="1:32" x14ac:dyDescent="0.3">
      <c r="A453" t="s">
        <v>544</v>
      </c>
      <c r="B453">
        <v>21</v>
      </c>
      <c r="C453" t="str">
        <f t="shared" si="7"/>
        <v>Young Adults</v>
      </c>
      <c r="D453" t="s">
        <v>28</v>
      </c>
      <c r="E453">
        <v>5</v>
      </c>
      <c r="G453" t="s">
        <v>82</v>
      </c>
      <c r="H453" t="s">
        <v>134</v>
      </c>
      <c r="I453" t="s">
        <v>31</v>
      </c>
      <c r="J453">
        <v>6.6</v>
      </c>
      <c r="L453" t="s">
        <v>43</v>
      </c>
      <c r="M453" t="s">
        <v>42</v>
      </c>
      <c r="N453" t="s">
        <v>43</v>
      </c>
      <c r="O453">
        <v>1.65</v>
      </c>
      <c r="P453">
        <v>8</v>
      </c>
      <c r="Q453" t="s">
        <v>105</v>
      </c>
      <c r="R453" t="s">
        <v>36</v>
      </c>
      <c r="S453" t="b">
        <v>0</v>
      </c>
      <c r="T453" t="b">
        <v>0</v>
      </c>
      <c r="U453" t="b">
        <v>0</v>
      </c>
      <c r="V453" t="b">
        <v>0</v>
      </c>
      <c r="W453" t="b">
        <v>0</v>
      </c>
      <c r="X453">
        <v>1.4</v>
      </c>
      <c r="Y453">
        <v>8.8000000000000007</v>
      </c>
      <c r="Z453">
        <v>3</v>
      </c>
      <c r="AA453">
        <v>6.8</v>
      </c>
      <c r="AB453" s="3">
        <v>25.71</v>
      </c>
      <c r="AC453" s="3"/>
      <c r="AD453">
        <v>1</v>
      </c>
      <c r="AE453" t="s">
        <v>46</v>
      </c>
      <c r="AF453" s="4"/>
    </row>
    <row r="454" spans="1:32" x14ac:dyDescent="0.3">
      <c r="A454" t="s">
        <v>545</v>
      </c>
      <c r="B454">
        <v>15</v>
      </c>
      <c r="C454" t="str">
        <f t="shared" si="7"/>
        <v>Teenager</v>
      </c>
      <c r="D454" t="s">
        <v>28</v>
      </c>
      <c r="E454">
        <v>3.7</v>
      </c>
      <c r="G454" t="s">
        <v>39</v>
      </c>
      <c r="H454" t="s">
        <v>93</v>
      </c>
      <c r="I454" t="s">
        <v>31</v>
      </c>
      <c r="J454">
        <v>6.6</v>
      </c>
      <c r="L454" t="s">
        <v>32</v>
      </c>
      <c r="M454" t="s">
        <v>42</v>
      </c>
      <c r="N454" t="s">
        <v>43</v>
      </c>
      <c r="O454">
        <v>1.51</v>
      </c>
      <c r="Q454" t="s">
        <v>80</v>
      </c>
      <c r="R454" t="s">
        <v>45</v>
      </c>
      <c r="S454" t="b">
        <v>0</v>
      </c>
      <c r="T454" t="b">
        <v>0</v>
      </c>
      <c r="U454" t="b">
        <v>0</v>
      </c>
      <c r="V454" t="b">
        <v>0</v>
      </c>
      <c r="W454" t="b">
        <v>0</v>
      </c>
      <c r="X454">
        <v>0.2</v>
      </c>
      <c r="Y454">
        <v>7.1</v>
      </c>
      <c r="Z454">
        <v>2</v>
      </c>
      <c r="AA454">
        <v>10.3</v>
      </c>
      <c r="AB454" s="3">
        <v>19.239999999999998</v>
      </c>
      <c r="AC454" s="3"/>
      <c r="AD454">
        <v>1</v>
      </c>
      <c r="AE454" t="s">
        <v>46</v>
      </c>
      <c r="AF454" s="4"/>
    </row>
    <row r="455" spans="1:32" x14ac:dyDescent="0.3">
      <c r="A455" t="s">
        <v>546</v>
      </c>
      <c r="B455">
        <v>20</v>
      </c>
      <c r="C455" t="str">
        <f t="shared" si="7"/>
        <v>Young Adults</v>
      </c>
      <c r="D455" t="s">
        <v>53</v>
      </c>
      <c r="E455">
        <v>6.2</v>
      </c>
      <c r="G455" t="s">
        <v>29</v>
      </c>
      <c r="H455" t="s">
        <v>30</v>
      </c>
      <c r="I455" t="s">
        <v>71</v>
      </c>
      <c r="J455">
        <v>5.3</v>
      </c>
      <c r="L455" t="s">
        <v>51</v>
      </c>
      <c r="M455" t="s">
        <v>45</v>
      </c>
      <c r="N455" t="s">
        <v>43</v>
      </c>
      <c r="O455">
        <v>1.95</v>
      </c>
      <c r="P455">
        <v>10</v>
      </c>
      <c r="Q455" t="s">
        <v>69</v>
      </c>
      <c r="R455" t="s">
        <v>33</v>
      </c>
      <c r="S455" t="b">
        <v>0</v>
      </c>
      <c r="T455" t="b">
        <v>1</v>
      </c>
      <c r="U455" t="b">
        <v>0</v>
      </c>
      <c r="V455" t="b">
        <v>1</v>
      </c>
      <c r="W455" t="b">
        <v>1</v>
      </c>
      <c r="X455">
        <v>1.1000000000000001</v>
      </c>
      <c r="Y455">
        <v>8.4</v>
      </c>
      <c r="Z455">
        <v>4</v>
      </c>
      <c r="AA455">
        <v>7.8</v>
      </c>
      <c r="AB455" s="3">
        <v>47.33</v>
      </c>
      <c r="AC455" s="3"/>
      <c r="AD455">
        <v>3</v>
      </c>
      <c r="AE455" t="s">
        <v>64</v>
      </c>
      <c r="AF455" s="4"/>
    </row>
    <row r="456" spans="1:32" x14ac:dyDescent="0.3">
      <c r="A456" t="s">
        <v>547</v>
      </c>
      <c r="B456">
        <v>26</v>
      </c>
      <c r="C456" t="str">
        <f t="shared" si="7"/>
        <v>Young Adults</v>
      </c>
      <c r="D456" t="s">
        <v>28</v>
      </c>
      <c r="E456">
        <v>5.4</v>
      </c>
      <c r="G456" t="s">
        <v>54</v>
      </c>
      <c r="H456" t="s">
        <v>89</v>
      </c>
      <c r="I456" t="s">
        <v>71</v>
      </c>
      <c r="J456">
        <v>5.7</v>
      </c>
      <c r="L456" t="s">
        <v>51</v>
      </c>
      <c r="M456" t="s">
        <v>42</v>
      </c>
      <c r="N456" t="s">
        <v>62</v>
      </c>
      <c r="P456">
        <v>2</v>
      </c>
      <c r="Q456" t="s">
        <v>80</v>
      </c>
      <c r="R456" t="s">
        <v>45</v>
      </c>
      <c r="S456" t="b">
        <v>0</v>
      </c>
      <c r="T456" t="b">
        <v>0</v>
      </c>
      <c r="U456" t="b">
        <v>0</v>
      </c>
      <c r="V456" t="b">
        <v>0</v>
      </c>
      <c r="W456" t="b">
        <v>0</v>
      </c>
      <c r="X456">
        <v>0.6</v>
      </c>
      <c r="Y456">
        <v>9.1</v>
      </c>
      <c r="Z456">
        <v>3</v>
      </c>
      <c r="AA456">
        <v>11.4</v>
      </c>
      <c r="AB456" s="3">
        <v>118.39</v>
      </c>
      <c r="AC456" s="3"/>
      <c r="AD456">
        <v>12</v>
      </c>
      <c r="AE456" t="s">
        <v>46</v>
      </c>
      <c r="AF456" s="4"/>
    </row>
    <row r="457" spans="1:32" x14ac:dyDescent="0.3">
      <c r="A457" t="s">
        <v>548</v>
      </c>
      <c r="B457">
        <v>15</v>
      </c>
      <c r="C457" t="str">
        <f t="shared" si="7"/>
        <v>Teenager</v>
      </c>
      <c r="D457" t="s">
        <v>28</v>
      </c>
      <c r="E457">
        <v>6.8</v>
      </c>
      <c r="G457" t="s">
        <v>39</v>
      </c>
      <c r="H457" t="s">
        <v>40</v>
      </c>
      <c r="I457" t="s">
        <v>31</v>
      </c>
      <c r="J457">
        <v>4.5</v>
      </c>
      <c r="L457" t="s">
        <v>51</v>
      </c>
      <c r="M457" t="s">
        <v>45</v>
      </c>
      <c r="N457" t="s">
        <v>51</v>
      </c>
      <c r="O457">
        <v>1.93</v>
      </c>
      <c r="Q457" t="s">
        <v>44</v>
      </c>
      <c r="R457" t="s">
        <v>45</v>
      </c>
      <c r="S457" t="b">
        <v>0</v>
      </c>
      <c r="T457" t="b">
        <v>0</v>
      </c>
      <c r="U457" t="b">
        <v>0</v>
      </c>
      <c r="V457" t="b">
        <v>1</v>
      </c>
      <c r="W457" t="b">
        <v>0</v>
      </c>
      <c r="X457">
        <v>1.4</v>
      </c>
      <c r="Y457">
        <v>6.3</v>
      </c>
      <c r="Z457">
        <v>4</v>
      </c>
      <c r="AA457">
        <v>8.5</v>
      </c>
      <c r="AB457" s="3">
        <v>25.24</v>
      </c>
      <c r="AC457" s="3"/>
      <c r="AD457">
        <v>5</v>
      </c>
      <c r="AE457" t="s">
        <v>46</v>
      </c>
      <c r="AF457" s="4"/>
    </row>
    <row r="458" spans="1:32" x14ac:dyDescent="0.3">
      <c r="A458" t="s">
        <v>549</v>
      </c>
      <c r="B458">
        <v>20</v>
      </c>
      <c r="C458" t="str">
        <f t="shared" si="7"/>
        <v>Young Adults</v>
      </c>
      <c r="D458" t="s">
        <v>28</v>
      </c>
      <c r="E458">
        <v>4.0999999999999996</v>
      </c>
      <c r="G458" t="s">
        <v>82</v>
      </c>
      <c r="H458" t="s">
        <v>134</v>
      </c>
      <c r="I458" t="s">
        <v>50</v>
      </c>
      <c r="J458">
        <v>5.3</v>
      </c>
      <c r="L458" t="s">
        <v>41</v>
      </c>
      <c r="M458" t="s">
        <v>42</v>
      </c>
      <c r="N458" t="s">
        <v>62</v>
      </c>
      <c r="O458">
        <v>1.04</v>
      </c>
      <c r="P458">
        <v>2</v>
      </c>
      <c r="Q458" t="s">
        <v>63</v>
      </c>
      <c r="R458" t="s">
        <v>57</v>
      </c>
      <c r="S458" t="b">
        <v>0</v>
      </c>
      <c r="T458" t="b">
        <v>0</v>
      </c>
      <c r="U458" t="b">
        <v>0</v>
      </c>
      <c r="V458" t="b">
        <v>0</v>
      </c>
      <c r="W458" t="b">
        <v>0</v>
      </c>
      <c r="X458">
        <v>2</v>
      </c>
      <c r="Y458">
        <v>7.2</v>
      </c>
      <c r="Z458">
        <v>1</v>
      </c>
      <c r="AA458">
        <v>9.1</v>
      </c>
      <c r="AB458" s="3">
        <v>39.06</v>
      </c>
      <c r="AC458" s="3"/>
      <c r="AD458">
        <v>3</v>
      </c>
      <c r="AE458" t="s">
        <v>46</v>
      </c>
      <c r="AF458" s="4"/>
    </row>
    <row r="459" spans="1:32" x14ac:dyDescent="0.3">
      <c r="A459" t="s">
        <v>550</v>
      </c>
      <c r="B459">
        <v>30</v>
      </c>
      <c r="C459" t="str">
        <f t="shared" si="7"/>
        <v>Young Adults</v>
      </c>
      <c r="D459" t="s">
        <v>28</v>
      </c>
      <c r="E459">
        <v>5.9</v>
      </c>
      <c r="G459" t="s">
        <v>29</v>
      </c>
      <c r="H459" t="s">
        <v>118</v>
      </c>
      <c r="I459" t="s">
        <v>31</v>
      </c>
      <c r="J459">
        <v>5.3</v>
      </c>
      <c r="L459" t="s">
        <v>43</v>
      </c>
      <c r="M459" t="s">
        <v>74</v>
      </c>
      <c r="N459" t="s">
        <v>62</v>
      </c>
      <c r="P459">
        <v>1</v>
      </c>
      <c r="Q459" t="s">
        <v>44</v>
      </c>
      <c r="R459" t="s">
        <v>36</v>
      </c>
      <c r="S459" t="b">
        <v>0</v>
      </c>
      <c r="T459" t="b">
        <v>0</v>
      </c>
      <c r="U459" t="b">
        <v>0</v>
      </c>
      <c r="V459" t="b">
        <v>1</v>
      </c>
      <c r="W459" t="b">
        <v>0</v>
      </c>
      <c r="X459">
        <v>0.3</v>
      </c>
      <c r="Y459">
        <v>6.1</v>
      </c>
      <c r="Z459">
        <v>4</v>
      </c>
      <c r="AA459">
        <v>9.5</v>
      </c>
      <c r="AB459" s="3">
        <v>32.6</v>
      </c>
      <c r="AC459" s="3"/>
      <c r="AD459">
        <v>8</v>
      </c>
      <c r="AE459" t="s">
        <v>46</v>
      </c>
      <c r="AF459" s="4"/>
    </row>
    <row r="460" spans="1:32" x14ac:dyDescent="0.3">
      <c r="A460" t="s">
        <v>551</v>
      </c>
      <c r="B460">
        <v>16</v>
      </c>
      <c r="C460" t="str">
        <f t="shared" si="7"/>
        <v>Teenager</v>
      </c>
      <c r="D460" t="s">
        <v>28</v>
      </c>
      <c r="E460">
        <v>8.5</v>
      </c>
      <c r="G460" t="s">
        <v>60</v>
      </c>
      <c r="H460" t="s">
        <v>200</v>
      </c>
      <c r="I460" t="s">
        <v>86</v>
      </c>
      <c r="J460">
        <v>3.3</v>
      </c>
      <c r="L460" t="s">
        <v>51</v>
      </c>
      <c r="M460" t="s">
        <v>36</v>
      </c>
      <c r="N460" t="s">
        <v>62</v>
      </c>
      <c r="O460">
        <v>1.52</v>
      </c>
      <c r="Q460" t="s">
        <v>63</v>
      </c>
      <c r="R460" t="s">
        <v>33</v>
      </c>
      <c r="S460" t="b">
        <v>0</v>
      </c>
      <c r="T460" t="b">
        <v>0</v>
      </c>
      <c r="U460" t="b">
        <v>1</v>
      </c>
      <c r="V460" t="b">
        <v>1</v>
      </c>
      <c r="W460" t="b">
        <v>1</v>
      </c>
      <c r="X460">
        <v>0.9</v>
      </c>
      <c r="Y460">
        <v>5.8</v>
      </c>
      <c r="Z460">
        <v>5</v>
      </c>
      <c r="AA460">
        <v>7.4</v>
      </c>
      <c r="AB460" s="3">
        <v>97.89</v>
      </c>
      <c r="AC460" s="3"/>
      <c r="AD460">
        <v>3</v>
      </c>
      <c r="AE460" t="s">
        <v>64</v>
      </c>
      <c r="AF460" s="4"/>
    </row>
    <row r="461" spans="1:32" x14ac:dyDescent="0.3">
      <c r="A461" t="s">
        <v>552</v>
      </c>
      <c r="B461">
        <v>21</v>
      </c>
      <c r="C461" t="str">
        <f t="shared" si="7"/>
        <v>Young Adults</v>
      </c>
      <c r="D461" t="s">
        <v>28</v>
      </c>
      <c r="E461">
        <v>7.7</v>
      </c>
      <c r="G461" t="s">
        <v>54</v>
      </c>
      <c r="H461" t="s">
        <v>89</v>
      </c>
      <c r="I461" t="s">
        <v>31</v>
      </c>
      <c r="J461">
        <v>3.3</v>
      </c>
      <c r="L461" t="s">
        <v>32</v>
      </c>
      <c r="M461" t="s">
        <v>45</v>
      </c>
      <c r="N461" t="s">
        <v>34</v>
      </c>
      <c r="O461">
        <v>2.2799999999999998</v>
      </c>
      <c r="P461">
        <v>9</v>
      </c>
      <c r="Q461" t="s">
        <v>35</v>
      </c>
      <c r="R461" t="s">
        <v>45</v>
      </c>
      <c r="S461" t="b">
        <v>1</v>
      </c>
      <c r="T461" t="b">
        <v>1</v>
      </c>
      <c r="U461" t="b">
        <v>0</v>
      </c>
      <c r="V461" t="b">
        <v>1</v>
      </c>
      <c r="W461" t="b">
        <v>1</v>
      </c>
      <c r="X461">
        <v>1.2</v>
      </c>
      <c r="Y461">
        <v>4.4000000000000004</v>
      </c>
      <c r="Z461">
        <v>5</v>
      </c>
      <c r="AA461">
        <v>3.3</v>
      </c>
      <c r="AB461" s="3">
        <v>93.4</v>
      </c>
      <c r="AC461" s="3"/>
      <c r="AD461">
        <v>8</v>
      </c>
      <c r="AE461" t="s">
        <v>58</v>
      </c>
      <c r="AF461" s="4"/>
    </row>
    <row r="462" spans="1:32" x14ac:dyDescent="0.3">
      <c r="A462" t="s">
        <v>553</v>
      </c>
      <c r="B462">
        <v>16</v>
      </c>
      <c r="C462" t="str">
        <f t="shared" si="7"/>
        <v>Teenager</v>
      </c>
      <c r="D462" t="s">
        <v>28</v>
      </c>
      <c r="E462">
        <v>6</v>
      </c>
      <c r="G462" t="s">
        <v>54</v>
      </c>
      <c r="H462" t="s">
        <v>89</v>
      </c>
      <c r="I462" t="s">
        <v>31</v>
      </c>
      <c r="J462">
        <v>6.6</v>
      </c>
      <c r="L462" t="s">
        <v>43</v>
      </c>
      <c r="M462" t="s">
        <v>42</v>
      </c>
      <c r="N462" t="s">
        <v>62</v>
      </c>
      <c r="O462">
        <v>3.61</v>
      </c>
      <c r="Q462" t="s">
        <v>80</v>
      </c>
      <c r="R462" t="s">
        <v>33</v>
      </c>
      <c r="S462" t="b">
        <v>0</v>
      </c>
      <c r="T462" t="b">
        <v>0</v>
      </c>
      <c r="U462" t="b">
        <v>0</v>
      </c>
      <c r="V462" t="b">
        <v>1</v>
      </c>
      <c r="W462" t="b">
        <v>1</v>
      </c>
      <c r="X462">
        <v>1.6</v>
      </c>
      <c r="Y462">
        <v>6</v>
      </c>
      <c r="Z462">
        <v>3</v>
      </c>
      <c r="AA462">
        <v>8.6999999999999993</v>
      </c>
      <c r="AB462" s="3">
        <v>35.94</v>
      </c>
      <c r="AC462" s="3"/>
      <c r="AD462">
        <v>4</v>
      </c>
      <c r="AE462" t="s">
        <v>46</v>
      </c>
      <c r="AF462" s="4"/>
    </row>
    <row r="463" spans="1:32" x14ac:dyDescent="0.3">
      <c r="A463" t="s">
        <v>554</v>
      </c>
      <c r="B463">
        <v>21</v>
      </c>
      <c r="C463" t="str">
        <f t="shared" si="7"/>
        <v>Young Adults</v>
      </c>
      <c r="D463" t="s">
        <v>28</v>
      </c>
      <c r="E463">
        <v>5.5</v>
      </c>
      <c r="G463" t="s">
        <v>76</v>
      </c>
      <c r="H463" t="s">
        <v>77</v>
      </c>
      <c r="I463" t="s">
        <v>71</v>
      </c>
      <c r="J463">
        <v>5.5</v>
      </c>
      <c r="L463" t="s">
        <v>43</v>
      </c>
      <c r="M463" t="s">
        <v>74</v>
      </c>
      <c r="N463" t="s">
        <v>51</v>
      </c>
      <c r="O463">
        <v>1.07</v>
      </c>
      <c r="P463">
        <v>3</v>
      </c>
      <c r="Q463" t="s">
        <v>80</v>
      </c>
      <c r="R463" t="s">
        <v>33</v>
      </c>
      <c r="S463" t="b">
        <v>0</v>
      </c>
      <c r="T463" t="b">
        <v>1</v>
      </c>
      <c r="U463" t="b">
        <v>0</v>
      </c>
      <c r="V463" t="b">
        <v>1</v>
      </c>
      <c r="W463" t="b">
        <v>0</v>
      </c>
      <c r="X463">
        <v>2.4</v>
      </c>
      <c r="Y463">
        <v>6.7</v>
      </c>
      <c r="Z463">
        <v>3</v>
      </c>
      <c r="AA463">
        <v>7.8</v>
      </c>
      <c r="AB463" s="3">
        <v>96.1</v>
      </c>
      <c r="AC463" s="3"/>
      <c r="AD463">
        <v>2</v>
      </c>
      <c r="AE463" t="s">
        <v>64</v>
      </c>
      <c r="AF463" s="4"/>
    </row>
    <row r="464" spans="1:32" x14ac:dyDescent="0.3">
      <c r="A464" t="s">
        <v>555</v>
      </c>
      <c r="B464">
        <v>21</v>
      </c>
      <c r="C464" t="str">
        <f t="shared" si="7"/>
        <v>Young Adults</v>
      </c>
      <c r="D464" t="s">
        <v>53</v>
      </c>
      <c r="E464">
        <v>6</v>
      </c>
      <c r="G464" t="s">
        <v>76</v>
      </c>
      <c r="H464" t="s">
        <v>110</v>
      </c>
      <c r="I464" t="s">
        <v>86</v>
      </c>
      <c r="J464">
        <v>5.3</v>
      </c>
      <c r="L464" t="s">
        <v>51</v>
      </c>
      <c r="M464" t="s">
        <v>36</v>
      </c>
      <c r="N464" t="s">
        <v>43</v>
      </c>
      <c r="O464">
        <v>1.82</v>
      </c>
      <c r="P464">
        <v>1</v>
      </c>
      <c r="Q464" t="s">
        <v>63</v>
      </c>
      <c r="R464" t="s">
        <v>36</v>
      </c>
      <c r="S464" t="b">
        <v>0</v>
      </c>
      <c r="T464" t="b">
        <v>1</v>
      </c>
      <c r="U464" t="b">
        <v>0</v>
      </c>
      <c r="V464" t="b">
        <v>1</v>
      </c>
      <c r="W464" t="b">
        <v>0</v>
      </c>
      <c r="X464">
        <v>0.9</v>
      </c>
      <c r="Y464">
        <v>7.3</v>
      </c>
      <c r="Z464">
        <v>5</v>
      </c>
      <c r="AA464">
        <v>5</v>
      </c>
      <c r="AB464" s="3">
        <v>27.43</v>
      </c>
      <c r="AC464" s="3"/>
      <c r="AD464">
        <v>7</v>
      </c>
      <c r="AE464" t="s">
        <v>64</v>
      </c>
      <c r="AF464" s="4"/>
    </row>
    <row r="465" spans="1:32" x14ac:dyDescent="0.3">
      <c r="A465" t="s">
        <v>556</v>
      </c>
      <c r="B465">
        <v>25</v>
      </c>
      <c r="C465" t="str">
        <f t="shared" si="7"/>
        <v>Young Adults</v>
      </c>
      <c r="D465" t="s">
        <v>53</v>
      </c>
      <c r="E465">
        <v>12.5</v>
      </c>
      <c r="G465" t="s">
        <v>39</v>
      </c>
      <c r="H465" t="s">
        <v>120</v>
      </c>
      <c r="I465" t="s">
        <v>86</v>
      </c>
      <c r="J465">
        <v>3.5</v>
      </c>
      <c r="L465" t="s">
        <v>41</v>
      </c>
      <c r="M465" t="s">
        <v>36</v>
      </c>
      <c r="N465" t="s">
        <v>129</v>
      </c>
      <c r="P465">
        <v>6</v>
      </c>
      <c r="Q465" t="s">
        <v>80</v>
      </c>
      <c r="R465" t="s">
        <v>57</v>
      </c>
      <c r="S465" t="b">
        <v>1</v>
      </c>
      <c r="T465" t="b">
        <v>0</v>
      </c>
      <c r="U465" t="b">
        <v>0</v>
      </c>
      <c r="V465" t="b">
        <v>1</v>
      </c>
      <c r="W465" t="b">
        <v>0</v>
      </c>
      <c r="X465">
        <v>1.1000000000000001</v>
      </c>
      <c r="Y465">
        <v>3.8</v>
      </c>
      <c r="Z465">
        <v>10</v>
      </c>
      <c r="AA465">
        <v>0</v>
      </c>
      <c r="AB465" s="3">
        <v>120.1</v>
      </c>
      <c r="AC465" s="3"/>
      <c r="AD465">
        <v>1</v>
      </c>
      <c r="AE465" t="s">
        <v>58</v>
      </c>
      <c r="AF465" s="4"/>
    </row>
    <row r="466" spans="1:32" x14ac:dyDescent="0.3">
      <c r="A466" t="s">
        <v>557</v>
      </c>
      <c r="B466">
        <v>14</v>
      </c>
      <c r="C466" t="str">
        <f t="shared" si="7"/>
        <v>Teenager</v>
      </c>
      <c r="D466" t="s">
        <v>53</v>
      </c>
      <c r="E466">
        <v>11.7</v>
      </c>
      <c r="G466" t="s">
        <v>76</v>
      </c>
      <c r="H466" t="s">
        <v>126</v>
      </c>
      <c r="I466" t="s">
        <v>50</v>
      </c>
      <c r="J466">
        <v>4.3</v>
      </c>
      <c r="L466" t="s">
        <v>51</v>
      </c>
      <c r="M466" t="s">
        <v>33</v>
      </c>
      <c r="N466" t="s">
        <v>129</v>
      </c>
      <c r="O466">
        <v>3.22</v>
      </c>
      <c r="Q466" t="s">
        <v>105</v>
      </c>
      <c r="R466" t="s">
        <v>36</v>
      </c>
      <c r="S466" t="b">
        <v>0</v>
      </c>
      <c r="T466" t="b">
        <v>1</v>
      </c>
      <c r="U466" t="b">
        <v>1</v>
      </c>
      <c r="V466" t="b">
        <v>1</v>
      </c>
      <c r="W466" t="b">
        <v>1</v>
      </c>
      <c r="X466">
        <v>1.5</v>
      </c>
      <c r="Y466">
        <v>2.5</v>
      </c>
      <c r="Z466">
        <v>7</v>
      </c>
      <c r="AA466">
        <v>0</v>
      </c>
      <c r="AB466" s="3">
        <v>339.9</v>
      </c>
      <c r="AC466" s="3"/>
      <c r="AD466">
        <v>4</v>
      </c>
      <c r="AE466" t="s">
        <v>37</v>
      </c>
      <c r="AF466" s="4"/>
    </row>
    <row r="467" spans="1:32" x14ac:dyDescent="0.3">
      <c r="A467" t="s">
        <v>558</v>
      </c>
      <c r="B467">
        <v>18</v>
      </c>
      <c r="C467" t="str">
        <f t="shared" si="7"/>
        <v>Teenager</v>
      </c>
      <c r="D467" t="s">
        <v>28</v>
      </c>
      <c r="E467">
        <v>5.7</v>
      </c>
      <c r="G467" t="s">
        <v>82</v>
      </c>
      <c r="H467" t="s">
        <v>83</v>
      </c>
      <c r="I467" t="s">
        <v>86</v>
      </c>
      <c r="J467">
        <v>6.9</v>
      </c>
      <c r="L467" t="s">
        <v>41</v>
      </c>
      <c r="M467" t="s">
        <v>74</v>
      </c>
      <c r="N467" t="s">
        <v>34</v>
      </c>
      <c r="O467">
        <v>1.87</v>
      </c>
      <c r="Q467" t="s">
        <v>44</v>
      </c>
      <c r="R467" t="s">
        <v>33</v>
      </c>
      <c r="S467" t="b">
        <v>0</v>
      </c>
      <c r="T467" t="b">
        <v>1</v>
      </c>
      <c r="U467" t="b">
        <v>0</v>
      </c>
      <c r="V467" t="b">
        <v>1</v>
      </c>
      <c r="W467" t="b">
        <v>1</v>
      </c>
      <c r="X467">
        <v>0.7</v>
      </c>
      <c r="Y467">
        <v>7.1</v>
      </c>
      <c r="Z467">
        <v>4</v>
      </c>
      <c r="AA467">
        <v>6.4</v>
      </c>
      <c r="AB467" s="3">
        <v>30.5</v>
      </c>
      <c r="AC467" s="3"/>
      <c r="AD467">
        <v>4</v>
      </c>
      <c r="AE467" t="s">
        <v>64</v>
      </c>
      <c r="AF467" s="4"/>
    </row>
    <row r="468" spans="1:32" x14ac:dyDescent="0.3">
      <c r="A468" t="s">
        <v>559</v>
      </c>
      <c r="B468">
        <v>17</v>
      </c>
      <c r="C468" t="str">
        <f t="shared" si="7"/>
        <v>Teenager</v>
      </c>
      <c r="D468" t="s">
        <v>53</v>
      </c>
      <c r="E468">
        <v>6</v>
      </c>
      <c r="G468" t="s">
        <v>39</v>
      </c>
      <c r="H468" t="s">
        <v>40</v>
      </c>
      <c r="I468" t="s">
        <v>50</v>
      </c>
      <c r="J468">
        <v>5.2</v>
      </c>
      <c r="L468" t="s">
        <v>32</v>
      </c>
      <c r="M468" t="s">
        <v>33</v>
      </c>
      <c r="N468" t="s">
        <v>62</v>
      </c>
      <c r="O468">
        <v>1.28</v>
      </c>
      <c r="Q468" t="s">
        <v>80</v>
      </c>
      <c r="R468" t="s">
        <v>57</v>
      </c>
      <c r="S468" t="b">
        <v>0</v>
      </c>
      <c r="T468" t="b">
        <v>1</v>
      </c>
      <c r="U468" t="b">
        <v>0</v>
      </c>
      <c r="V468" t="b">
        <v>1</v>
      </c>
      <c r="W468" t="b">
        <v>1</v>
      </c>
      <c r="X468">
        <v>1</v>
      </c>
      <c r="Y468">
        <v>5.5</v>
      </c>
      <c r="Z468">
        <v>2</v>
      </c>
      <c r="AA468">
        <v>7.4</v>
      </c>
      <c r="AB468" s="3">
        <v>32.229999999999997</v>
      </c>
      <c r="AC468" s="3"/>
      <c r="AD468">
        <v>2</v>
      </c>
      <c r="AE468" t="s">
        <v>64</v>
      </c>
      <c r="AF468" s="4"/>
    </row>
    <row r="469" spans="1:32" x14ac:dyDescent="0.3">
      <c r="A469" t="s">
        <v>560</v>
      </c>
      <c r="B469">
        <v>14</v>
      </c>
      <c r="C469" t="str">
        <f t="shared" si="7"/>
        <v>Teenager</v>
      </c>
      <c r="D469" t="s">
        <v>28</v>
      </c>
      <c r="E469">
        <v>2.9</v>
      </c>
      <c r="G469" t="s">
        <v>39</v>
      </c>
      <c r="H469" t="s">
        <v>120</v>
      </c>
      <c r="I469" t="s">
        <v>86</v>
      </c>
      <c r="J469">
        <v>8.8000000000000007</v>
      </c>
      <c r="L469" t="s">
        <v>51</v>
      </c>
      <c r="M469" t="s">
        <v>33</v>
      </c>
      <c r="N469" t="s">
        <v>43</v>
      </c>
      <c r="O469">
        <v>3.59</v>
      </c>
      <c r="Q469" t="s">
        <v>66</v>
      </c>
      <c r="R469" t="s">
        <v>57</v>
      </c>
      <c r="S469" t="b">
        <v>0</v>
      </c>
      <c r="T469" t="b">
        <v>0</v>
      </c>
      <c r="U469" t="b">
        <v>0</v>
      </c>
      <c r="V469" t="b">
        <v>0</v>
      </c>
      <c r="W469" t="b">
        <v>0</v>
      </c>
      <c r="X469">
        <v>1</v>
      </c>
      <c r="Y469">
        <v>8.9</v>
      </c>
      <c r="Z469">
        <v>1</v>
      </c>
      <c r="AA469">
        <v>11.7</v>
      </c>
      <c r="AB469" s="3">
        <v>36.590000000000003</v>
      </c>
      <c r="AC469" s="3"/>
      <c r="AD469">
        <v>4</v>
      </c>
      <c r="AE469" t="s">
        <v>46</v>
      </c>
      <c r="AF469" s="4"/>
    </row>
    <row r="470" spans="1:32" x14ac:dyDescent="0.3">
      <c r="A470" t="s">
        <v>561</v>
      </c>
      <c r="B470">
        <v>14</v>
      </c>
      <c r="C470" t="str">
        <f t="shared" si="7"/>
        <v>Teenager</v>
      </c>
      <c r="D470" t="s">
        <v>28</v>
      </c>
      <c r="E470">
        <v>9.6999999999999993</v>
      </c>
      <c r="G470" t="s">
        <v>29</v>
      </c>
      <c r="H470" t="s">
        <v>104</v>
      </c>
      <c r="I470" t="s">
        <v>50</v>
      </c>
      <c r="J470">
        <v>3.6</v>
      </c>
      <c r="L470" t="s">
        <v>32</v>
      </c>
      <c r="M470" t="s">
        <v>42</v>
      </c>
      <c r="N470" t="s">
        <v>51</v>
      </c>
      <c r="O470">
        <v>3.53</v>
      </c>
      <c r="Q470" t="s">
        <v>44</v>
      </c>
      <c r="R470" t="s">
        <v>33</v>
      </c>
      <c r="S470" t="b">
        <v>0</v>
      </c>
      <c r="T470" t="b">
        <v>0</v>
      </c>
      <c r="U470" t="b">
        <v>0</v>
      </c>
      <c r="V470" t="b">
        <v>1</v>
      </c>
      <c r="W470" t="b">
        <v>1</v>
      </c>
      <c r="X470">
        <v>1.4</v>
      </c>
      <c r="Y470">
        <v>5.4</v>
      </c>
      <c r="Z470">
        <v>6</v>
      </c>
      <c r="AA470">
        <v>2.8</v>
      </c>
      <c r="AB470" s="3">
        <v>302.88</v>
      </c>
      <c r="AC470" s="3"/>
      <c r="AD470">
        <v>3</v>
      </c>
      <c r="AE470" t="s">
        <v>64</v>
      </c>
      <c r="AF470" s="4"/>
    </row>
    <row r="471" spans="1:32" x14ac:dyDescent="0.3">
      <c r="A471" t="s">
        <v>562</v>
      </c>
      <c r="B471">
        <v>16</v>
      </c>
      <c r="C471" t="str">
        <f t="shared" si="7"/>
        <v>Teenager</v>
      </c>
      <c r="D471" t="s">
        <v>28</v>
      </c>
      <c r="E471">
        <v>1.9</v>
      </c>
      <c r="G471" t="s">
        <v>54</v>
      </c>
      <c r="H471" t="s">
        <v>89</v>
      </c>
      <c r="I471" t="s">
        <v>71</v>
      </c>
      <c r="J471">
        <v>7.5</v>
      </c>
      <c r="L471" t="s">
        <v>43</v>
      </c>
      <c r="M471" t="s">
        <v>42</v>
      </c>
      <c r="N471" t="s">
        <v>84</v>
      </c>
      <c r="O471">
        <v>3.01</v>
      </c>
      <c r="Q471" t="s">
        <v>66</v>
      </c>
      <c r="R471" t="s">
        <v>33</v>
      </c>
      <c r="S471" t="b">
        <v>0</v>
      </c>
      <c r="T471" t="b">
        <v>0</v>
      </c>
      <c r="U471" t="b">
        <v>0</v>
      </c>
      <c r="V471" t="b">
        <v>0</v>
      </c>
      <c r="W471" t="b">
        <v>0</v>
      </c>
      <c r="X471">
        <v>0.1</v>
      </c>
      <c r="Y471">
        <v>7</v>
      </c>
      <c r="Z471">
        <v>1</v>
      </c>
      <c r="AA471">
        <v>11.5</v>
      </c>
      <c r="AB471" s="3">
        <v>28.1</v>
      </c>
      <c r="AC471" s="3"/>
      <c r="AD471">
        <v>6</v>
      </c>
      <c r="AE471" t="s">
        <v>46</v>
      </c>
      <c r="AF471" s="4"/>
    </row>
    <row r="472" spans="1:32" x14ac:dyDescent="0.3">
      <c r="A472" t="s">
        <v>563</v>
      </c>
      <c r="B472">
        <v>27</v>
      </c>
      <c r="C472" t="str">
        <f t="shared" si="7"/>
        <v>Young Adults</v>
      </c>
      <c r="D472" t="s">
        <v>53</v>
      </c>
      <c r="E472">
        <v>0.7</v>
      </c>
      <c r="G472" t="s">
        <v>76</v>
      </c>
      <c r="H472" t="s">
        <v>77</v>
      </c>
      <c r="I472" t="s">
        <v>86</v>
      </c>
      <c r="J472">
        <v>8.4</v>
      </c>
      <c r="L472" t="s">
        <v>51</v>
      </c>
      <c r="M472" t="s">
        <v>74</v>
      </c>
      <c r="N472" t="s">
        <v>43</v>
      </c>
      <c r="P472">
        <v>10</v>
      </c>
      <c r="Q472" t="s">
        <v>69</v>
      </c>
      <c r="R472" t="s">
        <v>57</v>
      </c>
      <c r="S472" t="b">
        <v>0</v>
      </c>
      <c r="T472" t="b">
        <v>0</v>
      </c>
      <c r="U472" t="b">
        <v>0</v>
      </c>
      <c r="V472" t="b">
        <v>0</v>
      </c>
      <c r="W472" t="b">
        <v>0</v>
      </c>
      <c r="X472">
        <v>0.3</v>
      </c>
      <c r="Y472">
        <v>8.3000000000000007</v>
      </c>
      <c r="Z472">
        <v>1</v>
      </c>
      <c r="AA472">
        <v>16.5</v>
      </c>
      <c r="AB472" s="3">
        <v>16.399999999999999</v>
      </c>
      <c r="AC472" s="3"/>
      <c r="AD472">
        <v>12</v>
      </c>
      <c r="AE472" t="s">
        <v>46</v>
      </c>
      <c r="AF472" s="4"/>
    </row>
    <row r="473" spans="1:32" x14ac:dyDescent="0.3">
      <c r="A473" t="s">
        <v>564</v>
      </c>
      <c r="B473">
        <v>14</v>
      </c>
      <c r="C473" t="str">
        <f t="shared" si="7"/>
        <v>Teenager</v>
      </c>
      <c r="D473" t="s">
        <v>28</v>
      </c>
      <c r="E473">
        <v>5.5</v>
      </c>
      <c r="G473" t="s">
        <v>60</v>
      </c>
      <c r="H473" t="s">
        <v>96</v>
      </c>
      <c r="I473" t="s">
        <v>86</v>
      </c>
      <c r="J473">
        <v>5.4</v>
      </c>
      <c r="L473" t="s">
        <v>41</v>
      </c>
      <c r="M473" t="s">
        <v>42</v>
      </c>
      <c r="N473" t="s">
        <v>62</v>
      </c>
      <c r="O473">
        <v>2.44</v>
      </c>
      <c r="Q473" t="s">
        <v>35</v>
      </c>
      <c r="R473" t="s">
        <v>36</v>
      </c>
      <c r="S473" t="b">
        <v>0</v>
      </c>
      <c r="T473" t="b">
        <v>1</v>
      </c>
      <c r="U473" t="b">
        <v>0</v>
      </c>
      <c r="V473" t="b">
        <v>1</v>
      </c>
      <c r="W473" t="b">
        <v>0</v>
      </c>
      <c r="X473">
        <v>2.4</v>
      </c>
      <c r="Y473">
        <v>7</v>
      </c>
      <c r="Z473">
        <v>4</v>
      </c>
      <c r="AA473">
        <v>7.5</v>
      </c>
      <c r="AB473" s="3">
        <v>57.54</v>
      </c>
      <c r="AC473" s="3"/>
      <c r="AD473">
        <v>2</v>
      </c>
      <c r="AE473" t="s">
        <v>64</v>
      </c>
      <c r="AF473" s="4"/>
    </row>
    <row r="474" spans="1:32" x14ac:dyDescent="0.3">
      <c r="A474" t="s">
        <v>565</v>
      </c>
      <c r="B474">
        <v>26</v>
      </c>
      <c r="C474" t="str">
        <f t="shared" si="7"/>
        <v>Young Adults</v>
      </c>
      <c r="D474" t="s">
        <v>28</v>
      </c>
      <c r="E474">
        <v>1</v>
      </c>
      <c r="G474" t="s">
        <v>54</v>
      </c>
      <c r="H474" t="s">
        <v>98</v>
      </c>
      <c r="I474" t="s">
        <v>86</v>
      </c>
      <c r="J474">
        <v>8.9</v>
      </c>
      <c r="L474" t="s">
        <v>43</v>
      </c>
      <c r="M474" t="s">
        <v>33</v>
      </c>
      <c r="N474" t="s">
        <v>43</v>
      </c>
      <c r="P474">
        <v>8</v>
      </c>
      <c r="Q474" t="s">
        <v>66</v>
      </c>
      <c r="R474" t="s">
        <v>36</v>
      </c>
      <c r="S474" t="b">
        <v>0</v>
      </c>
      <c r="T474" t="b">
        <v>0</v>
      </c>
      <c r="U474" t="b">
        <v>0</v>
      </c>
      <c r="V474" t="b">
        <v>0</v>
      </c>
      <c r="W474" t="b">
        <v>0</v>
      </c>
      <c r="X474">
        <v>0.3</v>
      </c>
      <c r="Y474">
        <v>8.3000000000000007</v>
      </c>
      <c r="Z474">
        <v>1</v>
      </c>
      <c r="AA474">
        <v>13.8</v>
      </c>
      <c r="AB474" s="3">
        <v>1.31</v>
      </c>
      <c r="AC474" s="3"/>
      <c r="AD474">
        <v>8</v>
      </c>
      <c r="AE474" t="s">
        <v>46</v>
      </c>
      <c r="AF474" s="4"/>
    </row>
    <row r="475" spans="1:32" x14ac:dyDescent="0.3">
      <c r="A475" t="s">
        <v>566</v>
      </c>
      <c r="B475">
        <v>20</v>
      </c>
      <c r="C475" t="str">
        <f t="shared" si="7"/>
        <v>Young Adults</v>
      </c>
      <c r="D475" t="s">
        <v>28</v>
      </c>
      <c r="E475">
        <v>9.3000000000000007</v>
      </c>
      <c r="G475" t="s">
        <v>39</v>
      </c>
      <c r="H475" t="s">
        <v>40</v>
      </c>
      <c r="I475" t="s">
        <v>50</v>
      </c>
      <c r="J475">
        <v>5.3</v>
      </c>
      <c r="L475" t="s">
        <v>78</v>
      </c>
      <c r="M475" t="s">
        <v>74</v>
      </c>
      <c r="N475" t="s">
        <v>51</v>
      </c>
      <c r="O475">
        <v>1.8</v>
      </c>
      <c r="P475">
        <v>10</v>
      </c>
      <c r="Q475" t="s">
        <v>80</v>
      </c>
      <c r="R475" t="s">
        <v>45</v>
      </c>
      <c r="S475" t="b">
        <v>1</v>
      </c>
      <c r="T475" t="b">
        <v>1</v>
      </c>
      <c r="U475" t="b">
        <v>1</v>
      </c>
      <c r="V475" t="b">
        <v>1</v>
      </c>
      <c r="W475" t="b">
        <v>0</v>
      </c>
      <c r="X475">
        <v>4.0999999999999996</v>
      </c>
      <c r="Y475">
        <v>5.9</v>
      </c>
      <c r="Z475">
        <v>6</v>
      </c>
      <c r="AA475">
        <v>1.9</v>
      </c>
      <c r="AB475" s="3">
        <v>323.47000000000003</v>
      </c>
      <c r="AC475" s="3"/>
      <c r="AD475">
        <v>1</v>
      </c>
      <c r="AE475" t="s">
        <v>37</v>
      </c>
      <c r="AF475" s="4"/>
    </row>
    <row r="476" spans="1:32" x14ac:dyDescent="0.3">
      <c r="A476" t="s">
        <v>567</v>
      </c>
      <c r="B476">
        <v>30</v>
      </c>
      <c r="C476" t="str">
        <f t="shared" si="7"/>
        <v>Young Adults</v>
      </c>
      <c r="D476" t="s">
        <v>28</v>
      </c>
      <c r="E476">
        <v>11.6</v>
      </c>
      <c r="G476" t="s">
        <v>76</v>
      </c>
      <c r="H476" t="s">
        <v>126</v>
      </c>
      <c r="I476" t="s">
        <v>31</v>
      </c>
      <c r="J476">
        <v>4.5</v>
      </c>
      <c r="L476" t="s">
        <v>78</v>
      </c>
      <c r="M476" t="s">
        <v>33</v>
      </c>
      <c r="N476" t="s">
        <v>62</v>
      </c>
      <c r="P476">
        <v>3</v>
      </c>
      <c r="Q476" t="s">
        <v>35</v>
      </c>
      <c r="R476" t="s">
        <v>57</v>
      </c>
      <c r="S476" t="b">
        <v>1</v>
      </c>
      <c r="T476" t="b">
        <v>1</v>
      </c>
      <c r="U476" t="b">
        <v>0</v>
      </c>
      <c r="V476" t="b">
        <v>1</v>
      </c>
      <c r="W476" t="b">
        <v>0</v>
      </c>
      <c r="X476">
        <v>5.4</v>
      </c>
      <c r="Y476">
        <v>2.6</v>
      </c>
      <c r="Z476">
        <v>7</v>
      </c>
      <c r="AA476">
        <v>2.5</v>
      </c>
      <c r="AB476" s="3">
        <v>317.18</v>
      </c>
      <c r="AC476" s="3"/>
      <c r="AD476">
        <v>10</v>
      </c>
      <c r="AE476" t="s">
        <v>37</v>
      </c>
      <c r="AF476" s="4"/>
    </row>
    <row r="477" spans="1:32" x14ac:dyDescent="0.3">
      <c r="A477" t="s">
        <v>568</v>
      </c>
      <c r="B477">
        <v>21</v>
      </c>
      <c r="C477" t="str">
        <f t="shared" si="7"/>
        <v>Young Adults</v>
      </c>
      <c r="D477" t="s">
        <v>53</v>
      </c>
      <c r="E477">
        <v>4.8</v>
      </c>
      <c r="G477" t="s">
        <v>39</v>
      </c>
      <c r="H477" t="s">
        <v>40</v>
      </c>
      <c r="I477" t="s">
        <v>50</v>
      </c>
      <c r="J477">
        <v>5.0999999999999996</v>
      </c>
      <c r="L477" t="s">
        <v>51</v>
      </c>
      <c r="M477" t="s">
        <v>33</v>
      </c>
      <c r="N477" t="s">
        <v>43</v>
      </c>
      <c r="O477">
        <v>1.4</v>
      </c>
      <c r="P477">
        <v>4</v>
      </c>
      <c r="Q477" t="s">
        <v>69</v>
      </c>
      <c r="R477" t="s">
        <v>57</v>
      </c>
      <c r="S477" t="b">
        <v>0</v>
      </c>
      <c r="T477" t="b">
        <v>0</v>
      </c>
      <c r="U477" t="b">
        <v>0</v>
      </c>
      <c r="V477" t="b">
        <v>1</v>
      </c>
      <c r="W477" t="b">
        <v>0</v>
      </c>
      <c r="X477">
        <v>2.5</v>
      </c>
      <c r="Y477">
        <v>9</v>
      </c>
      <c r="Z477">
        <v>3</v>
      </c>
      <c r="AA477">
        <v>8.1999999999999993</v>
      </c>
      <c r="AB477" s="3">
        <v>46.29</v>
      </c>
      <c r="AC477" s="3"/>
      <c r="AD477">
        <v>4</v>
      </c>
      <c r="AE477" t="s">
        <v>46</v>
      </c>
      <c r="AF477" s="4"/>
    </row>
    <row r="478" spans="1:32" x14ac:dyDescent="0.3">
      <c r="A478" t="s">
        <v>569</v>
      </c>
      <c r="B478">
        <v>25</v>
      </c>
      <c r="C478" t="str">
        <f t="shared" si="7"/>
        <v>Young Adults</v>
      </c>
      <c r="D478" t="s">
        <v>28</v>
      </c>
      <c r="E478">
        <v>1.1000000000000001</v>
      </c>
      <c r="G478" t="s">
        <v>76</v>
      </c>
      <c r="H478" t="s">
        <v>126</v>
      </c>
      <c r="I478" t="s">
        <v>50</v>
      </c>
      <c r="J478">
        <v>8</v>
      </c>
      <c r="L478" t="s">
        <v>43</v>
      </c>
      <c r="M478" t="s">
        <v>36</v>
      </c>
      <c r="N478" t="s">
        <v>84</v>
      </c>
      <c r="P478">
        <v>6</v>
      </c>
      <c r="Q478" t="s">
        <v>121</v>
      </c>
      <c r="R478" t="s">
        <v>33</v>
      </c>
      <c r="S478" t="b">
        <v>0</v>
      </c>
      <c r="T478" t="b">
        <v>0</v>
      </c>
      <c r="U478" t="b">
        <v>0</v>
      </c>
      <c r="V478" t="b">
        <v>0</v>
      </c>
      <c r="W478" t="b">
        <v>0</v>
      </c>
      <c r="X478">
        <v>0.2</v>
      </c>
      <c r="Y478">
        <v>7.7</v>
      </c>
      <c r="Z478">
        <v>1</v>
      </c>
      <c r="AA478">
        <v>12.2</v>
      </c>
      <c r="AB478" s="3">
        <v>47.51</v>
      </c>
      <c r="AC478" s="3"/>
      <c r="AD478">
        <v>4</v>
      </c>
      <c r="AE478" t="s">
        <v>46</v>
      </c>
      <c r="AF478" s="4"/>
    </row>
    <row r="479" spans="1:32" x14ac:dyDescent="0.3">
      <c r="A479" t="s">
        <v>570</v>
      </c>
      <c r="B479">
        <v>19</v>
      </c>
      <c r="C479" t="str">
        <f t="shared" si="7"/>
        <v>Teenager</v>
      </c>
      <c r="D479" t="s">
        <v>28</v>
      </c>
      <c r="E479">
        <v>4</v>
      </c>
      <c r="G479" t="s">
        <v>76</v>
      </c>
      <c r="H479" t="s">
        <v>110</v>
      </c>
      <c r="I479" t="s">
        <v>86</v>
      </c>
      <c r="J479">
        <v>6.7</v>
      </c>
      <c r="L479" t="s">
        <v>41</v>
      </c>
      <c r="M479" t="s">
        <v>33</v>
      </c>
      <c r="N479" t="s">
        <v>62</v>
      </c>
      <c r="O479">
        <v>2.89</v>
      </c>
      <c r="P479">
        <v>10</v>
      </c>
      <c r="Q479" t="s">
        <v>35</v>
      </c>
      <c r="R479" t="s">
        <v>57</v>
      </c>
      <c r="S479" t="b">
        <v>0</v>
      </c>
      <c r="T479" t="b">
        <v>0</v>
      </c>
      <c r="U479" t="b">
        <v>0</v>
      </c>
      <c r="V479" t="b">
        <v>0</v>
      </c>
      <c r="W479" t="b">
        <v>0</v>
      </c>
      <c r="X479">
        <v>0.2</v>
      </c>
      <c r="Y479">
        <v>7</v>
      </c>
      <c r="Z479">
        <v>2</v>
      </c>
      <c r="AA479">
        <v>10.5</v>
      </c>
      <c r="AB479" s="3">
        <v>8.23</v>
      </c>
      <c r="AC479" s="3"/>
      <c r="AD479">
        <v>7</v>
      </c>
      <c r="AE479" t="s">
        <v>46</v>
      </c>
      <c r="AF479" s="4"/>
    </row>
    <row r="480" spans="1:32" x14ac:dyDescent="0.3">
      <c r="A480" t="s">
        <v>571</v>
      </c>
      <c r="B480">
        <v>23</v>
      </c>
      <c r="C480" t="str">
        <f t="shared" si="7"/>
        <v>Young Adults</v>
      </c>
      <c r="D480" t="s">
        <v>28</v>
      </c>
      <c r="E480">
        <v>4</v>
      </c>
      <c r="G480" t="s">
        <v>48</v>
      </c>
      <c r="H480" t="s">
        <v>128</v>
      </c>
      <c r="I480" t="s">
        <v>86</v>
      </c>
      <c r="J480">
        <v>5.6</v>
      </c>
      <c r="L480" t="s">
        <v>51</v>
      </c>
      <c r="M480" t="s">
        <v>36</v>
      </c>
      <c r="N480" t="s">
        <v>43</v>
      </c>
      <c r="P480">
        <v>5</v>
      </c>
      <c r="Q480" t="s">
        <v>69</v>
      </c>
      <c r="R480" t="s">
        <v>33</v>
      </c>
      <c r="S480" t="b">
        <v>0</v>
      </c>
      <c r="T480" t="b">
        <v>0</v>
      </c>
      <c r="U480" t="b">
        <v>0</v>
      </c>
      <c r="V480" t="b">
        <v>0</v>
      </c>
      <c r="W480" t="b">
        <v>0</v>
      </c>
      <c r="X480">
        <v>1.6</v>
      </c>
      <c r="Y480">
        <v>7.1</v>
      </c>
      <c r="Z480">
        <v>2</v>
      </c>
      <c r="AA480">
        <v>12.3</v>
      </c>
      <c r="AB480" s="3">
        <v>41.19</v>
      </c>
      <c r="AC480" s="3"/>
      <c r="AD480">
        <v>7</v>
      </c>
      <c r="AE480" t="s">
        <v>46</v>
      </c>
      <c r="AF480" s="4"/>
    </row>
    <row r="481" spans="1:32" x14ac:dyDescent="0.3">
      <c r="A481" t="s">
        <v>572</v>
      </c>
      <c r="B481">
        <v>17</v>
      </c>
      <c r="C481" t="str">
        <f t="shared" si="7"/>
        <v>Teenager</v>
      </c>
      <c r="D481" t="s">
        <v>53</v>
      </c>
      <c r="E481">
        <v>7.3</v>
      </c>
      <c r="G481" t="s">
        <v>39</v>
      </c>
      <c r="H481" t="s">
        <v>93</v>
      </c>
      <c r="I481" t="s">
        <v>31</v>
      </c>
      <c r="J481">
        <v>3.4</v>
      </c>
      <c r="L481" t="s">
        <v>32</v>
      </c>
      <c r="M481" t="s">
        <v>36</v>
      </c>
      <c r="N481" t="s">
        <v>62</v>
      </c>
      <c r="O481">
        <v>3.36</v>
      </c>
      <c r="Q481" t="s">
        <v>80</v>
      </c>
      <c r="R481" t="s">
        <v>42</v>
      </c>
      <c r="S481" t="b">
        <v>1</v>
      </c>
      <c r="T481" t="b">
        <v>1</v>
      </c>
      <c r="U481" t="b">
        <v>0</v>
      </c>
      <c r="V481" t="b">
        <v>1</v>
      </c>
      <c r="W481" t="b">
        <v>1</v>
      </c>
      <c r="X481">
        <v>1.5</v>
      </c>
      <c r="Y481">
        <v>5.5</v>
      </c>
      <c r="Z481">
        <v>2</v>
      </c>
      <c r="AA481">
        <v>4.5999999999999996</v>
      </c>
      <c r="AB481" s="3">
        <v>95.15</v>
      </c>
      <c r="AC481" s="3"/>
      <c r="AD481">
        <v>7</v>
      </c>
      <c r="AE481" t="s">
        <v>58</v>
      </c>
      <c r="AF481" s="4"/>
    </row>
    <row r="482" spans="1:32" x14ac:dyDescent="0.3">
      <c r="A482" t="s">
        <v>573</v>
      </c>
      <c r="B482">
        <v>22</v>
      </c>
      <c r="C482" t="str">
        <f t="shared" si="7"/>
        <v>Young Adults</v>
      </c>
      <c r="D482" t="s">
        <v>53</v>
      </c>
      <c r="E482">
        <v>9.9</v>
      </c>
      <c r="G482" t="s">
        <v>54</v>
      </c>
      <c r="H482" t="s">
        <v>55</v>
      </c>
      <c r="I482" t="s">
        <v>86</v>
      </c>
      <c r="J482">
        <v>3.7</v>
      </c>
      <c r="L482" t="s">
        <v>51</v>
      </c>
      <c r="M482" t="s">
        <v>33</v>
      </c>
      <c r="N482" t="s">
        <v>34</v>
      </c>
      <c r="O482">
        <v>1.67</v>
      </c>
      <c r="P482">
        <v>6</v>
      </c>
      <c r="Q482" t="s">
        <v>44</v>
      </c>
      <c r="R482" t="s">
        <v>33</v>
      </c>
      <c r="S482" t="b">
        <v>1</v>
      </c>
      <c r="T482" t="b">
        <v>0</v>
      </c>
      <c r="U482" t="b">
        <v>1</v>
      </c>
      <c r="V482" t="b">
        <v>1</v>
      </c>
      <c r="W482" t="b">
        <v>1</v>
      </c>
      <c r="X482">
        <v>0.6</v>
      </c>
      <c r="Y482">
        <v>4.5999999999999996</v>
      </c>
      <c r="Z482">
        <v>6</v>
      </c>
      <c r="AA482">
        <v>5.9</v>
      </c>
      <c r="AB482" s="3">
        <v>426.59</v>
      </c>
      <c r="AC482" s="3"/>
      <c r="AD482">
        <v>6</v>
      </c>
      <c r="AE482" t="s">
        <v>37</v>
      </c>
      <c r="AF482" s="4"/>
    </row>
    <row r="483" spans="1:32" x14ac:dyDescent="0.3">
      <c r="A483" t="s">
        <v>574</v>
      </c>
      <c r="B483">
        <v>24</v>
      </c>
      <c r="C483" t="str">
        <f t="shared" si="7"/>
        <v>Young Adults</v>
      </c>
      <c r="D483" t="s">
        <v>28</v>
      </c>
      <c r="E483">
        <v>2.1</v>
      </c>
      <c r="G483" t="s">
        <v>39</v>
      </c>
      <c r="H483" t="s">
        <v>120</v>
      </c>
      <c r="I483" t="s">
        <v>31</v>
      </c>
      <c r="J483">
        <v>9</v>
      </c>
      <c r="L483" t="s">
        <v>41</v>
      </c>
      <c r="M483" t="s">
        <v>45</v>
      </c>
      <c r="N483" t="s">
        <v>43</v>
      </c>
      <c r="P483">
        <v>10</v>
      </c>
      <c r="Q483" t="s">
        <v>44</v>
      </c>
      <c r="R483" t="s">
        <v>33</v>
      </c>
      <c r="S483" t="b">
        <v>0</v>
      </c>
      <c r="T483" t="b">
        <v>0</v>
      </c>
      <c r="U483" t="b">
        <v>0</v>
      </c>
      <c r="V483" t="b">
        <v>0</v>
      </c>
      <c r="W483" t="b">
        <v>0</v>
      </c>
      <c r="X483">
        <v>0.5</v>
      </c>
      <c r="Y483">
        <v>7.4</v>
      </c>
      <c r="Z483">
        <v>1</v>
      </c>
      <c r="AA483">
        <v>12</v>
      </c>
      <c r="AB483" s="3">
        <v>48.98</v>
      </c>
      <c r="AC483" s="3"/>
      <c r="AD483">
        <v>9</v>
      </c>
      <c r="AE483" t="s">
        <v>46</v>
      </c>
      <c r="AF483" s="4"/>
    </row>
    <row r="484" spans="1:32" x14ac:dyDescent="0.3">
      <c r="A484" t="s">
        <v>575</v>
      </c>
      <c r="B484">
        <v>22</v>
      </c>
      <c r="C484" t="str">
        <f t="shared" si="7"/>
        <v>Young Adults</v>
      </c>
      <c r="D484" t="s">
        <v>28</v>
      </c>
      <c r="E484">
        <v>1.8</v>
      </c>
      <c r="G484" t="s">
        <v>54</v>
      </c>
      <c r="H484" t="s">
        <v>98</v>
      </c>
      <c r="I484" t="s">
        <v>50</v>
      </c>
      <c r="J484">
        <v>7.5</v>
      </c>
      <c r="L484" t="s">
        <v>41</v>
      </c>
      <c r="M484" t="s">
        <v>36</v>
      </c>
      <c r="N484" t="s">
        <v>43</v>
      </c>
      <c r="O484">
        <v>3.3</v>
      </c>
      <c r="P484">
        <v>10</v>
      </c>
      <c r="Q484" t="s">
        <v>66</v>
      </c>
      <c r="R484" t="s">
        <v>45</v>
      </c>
      <c r="S484" t="b">
        <v>0</v>
      </c>
      <c r="T484" t="b">
        <v>0</v>
      </c>
      <c r="U484" t="b">
        <v>0</v>
      </c>
      <c r="V484" t="b">
        <v>0</v>
      </c>
      <c r="W484" t="b">
        <v>0</v>
      </c>
      <c r="X484">
        <v>0.1</v>
      </c>
      <c r="Y484">
        <v>9.4</v>
      </c>
      <c r="Z484">
        <v>1</v>
      </c>
      <c r="AA484">
        <v>15</v>
      </c>
      <c r="AB484" s="3">
        <v>15.91</v>
      </c>
      <c r="AC484" s="3"/>
      <c r="AD484">
        <v>7</v>
      </c>
      <c r="AE484" t="s">
        <v>46</v>
      </c>
      <c r="AF484" s="4"/>
    </row>
    <row r="485" spans="1:32" x14ac:dyDescent="0.3">
      <c r="A485" t="s">
        <v>576</v>
      </c>
      <c r="B485">
        <v>22</v>
      </c>
      <c r="C485" t="str">
        <f t="shared" si="7"/>
        <v>Young Adults</v>
      </c>
      <c r="D485" t="s">
        <v>28</v>
      </c>
      <c r="E485">
        <v>8.1</v>
      </c>
      <c r="G485" t="s">
        <v>48</v>
      </c>
      <c r="H485" t="s">
        <v>68</v>
      </c>
      <c r="I485" t="s">
        <v>50</v>
      </c>
      <c r="J485">
        <v>5.5</v>
      </c>
      <c r="L485" t="s">
        <v>41</v>
      </c>
      <c r="M485" t="s">
        <v>36</v>
      </c>
      <c r="N485" t="s">
        <v>34</v>
      </c>
      <c r="O485">
        <v>3.18</v>
      </c>
      <c r="P485">
        <v>4</v>
      </c>
      <c r="Q485" t="s">
        <v>63</v>
      </c>
      <c r="R485" t="s">
        <v>36</v>
      </c>
      <c r="S485" t="b">
        <v>0</v>
      </c>
      <c r="T485" t="b">
        <v>1</v>
      </c>
      <c r="U485" t="b">
        <v>0</v>
      </c>
      <c r="V485" t="b">
        <v>1</v>
      </c>
      <c r="W485" t="b">
        <v>1</v>
      </c>
      <c r="X485">
        <v>1</v>
      </c>
      <c r="Y485">
        <v>4.8</v>
      </c>
      <c r="Z485">
        <v>5</v>
      </c>
      <c r="AA485">
        <v>5.8</v>
      </c>
      <c r="AB485" s="3">
        <v>121.33</v>
      </c>
      <c r="AC485" s="3"/>
      <c r="AD485">
        <v>10</v>
      </c>
      <c r="AE485" t="s">
        <v>64</v>
      </c>
      <c r="AF485" s="4"/>
    </row>
    <row r="486" spans="1:32" x14ac:dyDescent="0.3">
      <c r="A486" t="s">
        <v>577</v>
      </c>
      <c r="B486">
        <v>15</v>
      </c>
      <c r="C486" t="str">
        <f t="shared" si="7"/>
        <v>Teenager</v>
      </c>
      <c r="D486" t="s">
        <v>28</v>
      </c>
      <c r="E486">
        <v>11.2</v>
      </c>
      <c r="G486" t="s">
        <v>60</v>
      </c>
      <c r="H486" t="s">
        <v>200</v>
      </c>
      <c r="I486" t="s">
        <v>71</v>
      </c>
      <c r="J486">
        <v>3.9</v>
      </c>
      <c r="L486" t="s">
        <v>51</v>
      </c>
      <c r="M486" t="s">
        <v>36</v>
      </c>
      <c r="N486" t="s">
        <v>34</v>
      </c>
      <c r="O486">
        <v>3.62</v>
      </c>
      <c r="Q486" t="s">
        <v>80</v>
      </c>
      <c r="R486" t="s">
        <v>36</v>
      </c>
      <c r="S486" t="b">
        <v>1</v>
      </c>
      <c r="T486" t="b">
        <v>1</v>
      </c>
      <c r="U486" t="b">
        <v>1</v>
      </c>
      <c r="V486" t="b">
        <v>1</v>
      </c>
      <c r="W486" t="b">
        <v>1</v>
      </c>
      <c r="X486">
        <v>1.1000000000000001</v>
      </c>
      <c r="Y486">
        <v>3.6</v>
      </c>
      <c r="Z486">
        <v>6</v>
      </c>
      <c r="AA486">
        <v>1.1000000000000001</v>
      </c>
      <c r="AB486" s="3">
        <v>352.98</v>
      </c>
      <c r="AC486" s="3"/>
      <c r="AD486">
        <v>5</v>
      </c>
      <c r="AE486" t="s">
        <v>37</v>
      </c>
      <c r="AF486" s="4"/>
    </row>
    <row r="487" spans="1:32" x14ac:dyDescent="0.3">
      <c r="A487" t="s">
        <v>578</v>
      </c>
      <c r="B487">
        <v>21</v>
      </c>
      <c r="C487" t="str">
        <f t="shared" si="7"/>
        <v>Young Adults</v>
      </c>
      <c r="D487" t="s">
        <v>28</v>
      </c>
      <c r="E487">
        <v>11.6</v>
      </c>
      <c r="G487" t="s">
        <v>76</v>
      </c>
      <c r="H487" t="s">
        <v>77</v>
      </c>
      <c r="I487" t="s">
        <v>86</v>
      </c>
      <c r="J487">
        <v>5.4</v>
      </c>
      <c r="L487" t="s">
        <v>32</v>
      </c>
      <c r="M487" t="s">
        <v>74</v>
      </c>
      <c r="N487" t="s">
        <v>51</v>
      </c>
      <c r="O487">
        <v>2.57</v>
      </c>
      <c r="P487">
        <v>3</v>
      </c>
      <c r="Q487" t="s">
        <v>35</v>
      </c>
      <c r="R487" t="s">
        <v>36</v>
      </c>
      <c r="S487" t="b">
        <v>1</v>
      </c>
      <c r="T487" t="b">
        <v>0</v>
      </c>
      <c r="U487" t="b">
        <v>0</v>
      </c>
      <c r="V487" t="b">
        <v>0</v>
      </c>
      <c r="W487" t="b">
        <v>0</v>
      </c>
      <c r="X487">
        <v>3.5</v>
      </c>
      <c r="Y487">
        <v>3.8</v>
      </c>
      <c r="Z487">
        <v>10</v>
      </c>
      <c r="AA487">
        <v>0</v>
      </c>
      <c r="AB487" s="3">
        <v>426.48</v>
      </c>
      <c r="AC487" s="3"/>
      <c r="AD487">
        <v>3</v>
      </c>
      <c r="AE487" t="s">
        <v>58</v>
      </c>
      <c r="AF487" s="4"/>
    </row>
    <row r="488" spans="1:32" x14ac:dyDescent="0.3">
      <c r="A488" t="s">
        <v>579</v>
      </c>
      <c r="B488">
        <v>30</v>
      </c>
      <c r="C488" t="str">
        <f t="shared" si="7"/>
        <v>Young Adults</v>
      </c>
      <c r="D488" t="s">
        <v>28</v>
      </c>
      <c r="E488">
        <v>12.4</v>
      </c>
      <c r="G488" t="s">
        <v>82</v>
      </c>
      <c r="H488" t="s">
        <v>167</v>
      </c>
      <c r="I488" t="s">
        <v>71</v>
      </c>
      <c r="J488">
        <v>5.3</v>
      </c>
      <c r="L488" t="s">
        <v>32</v>
      </c>
      <c r="M488" t="s">
        <v>42</v>
      </c>
      <c r="N488" t="s">
        <v>62</v>
      </c>
      <c r="P488">
        <v>4</v>
      </c>
      <c r="Q488" t="s">
        <v>80</v>
      </c>
      <c r="R488" t="s">
        <v>33</v>
      </c>
      <c r="S488" t="b">
        <v>1</v>
      </c>
      <c r="T488" t="b">
        <v>1</v>
      </c>
      <c r="U488" t="b">
        <v>0</v>
      </c>
      <c r="V488" t="b">
        <v>0</v>
      </c>
      <c r="W488" t="b">
        <v>1</v>
      </c>
      <c r="X488">
        <v>2.1</v>
      </c>
      <c r="Y488">
        <v>4.7</v>
      </c>
      <c r="Z488">
        <v>9</v>
      </c>
      <c r="AA488">
        <v>0</v>
      </c>
      <c r="AB488" s="3">
        <v>238.32</v>
      </c>
      <c r="AC488" s="3"/>
      <c r="AD488">
        <v>3</v>
      </c>
      <c r="AE488" t="s">
        <v>37</v>
      </c>
      <c r="AF488" s="4"/>
    </row>
    <row r="489" spans="1:32" x14ac:dyDescent="0.3">
      <c r="A489" t="s">
        <v>580</v>
      </c>
      <c r="B489">
        <v>14</v>
      </c>
      <c r="C489" t="str">
        <f t="shared" si="7"/>
        <v>Teenager</v>
      </c>
      <c r="D489" t="s">
        <v>53</v>
      </c>
      <c r="E489">
        <v>3.9</v>
      </c>
      <c r="G489" t="s">
        <v>76</v>
      </c>
      <c r="H489" t="s">
        <v>77</v>
      </c>
      <c r="I489" t="s">
        <v>50</v>
      </c>
      <c r="J489">
        <v>5.2</v>
      </c>
      <c r="L489" t="s">
        <v>51</v>
      </c>
      <c r="M489" t="s">
        <v>42</v>
      </c>
      <c r="N489" t="s">
        <v>43</v>
      </c>
      <c r="O489">
        <v>3.55</v>
      </c>
      <c r="Q489" t="s">
        <v>35</v>
      </c>
      <c r="R489" t="s">
        <v>36</v>
      </c>
      <c r="S489" t="b">
        <v>0</v>
      </c>
      <c r="T489" t="b">
        <v>0</v>
      </c>
      <c r="U489" t="b">
        <v>0</v>
      </c>
      <c r="V489" t="b">
        <v>0</v>
      </c>
      <c r="W489" t="b">
        <v>0</v>
      </c>
      <c r="X489">
        <v>1.3</v>
      </c>
      <c r="Y489">
        <v>9.3000000000000007</v>
      </c>
      <c r="Z489">
        <v>5</v>
      </c>
      <c r="AA489">
        <v>8</v>
      </c>
      <c r="AB489" s="3">
        <v>38.56</v>
      </c>
      <c r="AC489" s="3"/>
      <c r="AD489">
        <v>2</v>
      </c>
      <c r="AE489" t="s">
        <v>46</v>
      </c>
      <c r="AF489" s="4"/>
    </row>
    <row r="490" spans="1:32" x14ac:dyDescent="0.3">
      <c r="A490" t="s">
        <v>581</v>
      </c>
      <c r="B490">
        <v>16</v>
      </c>
      <c r="C490" t="str">
        <f t="shared" si="7"/>
        <v>Teenager</v>
      </c>
      <c r="D490" t="s">
        <v>53</v>
      </c>
      <c r="E490">
        <v>5.5</v>
      </c>
      <c r="G490" t="s">
        <v>60</v>
      </c>
      <c r="H490" t="s">
        <v>102</v>
      </c>
      <c r="I490" t="s">
        <v>50</v>
      </c>
      <c r="J490">
        <v>6.6</v>
      </c>
      <c r="L490" t="s">
        <v>51</v>
      </c>
      <c r="M490" t="s">
        <v>36</v>
      </c>
      <c r="N490" t="s">
        <v>62</v>
      </c>
      <c r="O490">
        <v>3.16</v>
      </c>
      <c r="Q490" t="s">
        <v>105</v>
      </c>
      <c r="R490" t="s">
        <v>57</v>
      </c>
      <c r="S490" t="b">
        <v>0</v>
      </c>
      <c r="T490" t="b">
        <v>1</v>
      </c>
      <c r="U490" t="b">
        <v>0</v>
      </c>
      <c r="V490" t="b">
        <v>1</v>
      </c>
      <c r="W490" t="b">
        <v>1</v>
      </c>
      <c r="X490">
        <v>2.4</v>
      </c>
      <c r="Y490">
        <v>7.3</v>
      </c>
      <c r="Z490">
        <v>3</v>
      </c>
      <c r="AA490">
        <v>5.3</v>
      </c>
      <c r="AB490" s="3">
        <v>128.87</v>
      </c>
      <c r="AC490" s="3"/>
      <c r="AD490">
        <v>4</v>
      </c>
      <c r="AE490" t="s">
        <v>64</v>
      </c>
      <c r="AF490" s="4"/>
    </row>
    <row r="491" spans="1:32" x14ac:dyDescent="0.3">
      <c r="A491" t="s">
        <v>582</v>
      </c>
      <c r="B491">
        <v>28</v>
      </c>
      <c r="C491" t="str">
        <f t="shared" si="7"/>
        <v>Young Adults</v>
      </c>
      <c r="D491" t="s">
        <v>28</v>
      </c>
      <c r="E491">
        <v>0.9</v>
      </c>
      <c r="G491" t="s">
        <v>60</v>
      </c>
      <c r="H491" t="s">
        <v>200</v>
      </c>
      <c r="I491" t="s">
        <v>50</v>
      </c>
      <c r="J491">
        <v>8.4</v>
      </c>
      <c r="L491" t="s">
        <v>43</v>
      </c>
      <c r="M491" t="s">
        <v>42</v>
      </c>
      <c r="N491" t="s">
        <v>62</v>
      </c>
      <c r="P491">
        <v>2</v>
      </c>
      <c r="Q491" t="s">
        <v>69</v>
      </c>
      <c r="R491" t="s">
        <v>45</v>
      </c>
      <c r="S491" t="b">
        <v>0</v>
      </c>
      <c r="T491" t="b">
        <v>0</v>
      </c>
      <c r="U491" t="b">
        <v>0</v>
      </c>
      <c r="V491" t="b">
        <v>0</v>
      </c>
      <c r="W491" t="b">
        <v>0</v>
      </c>
      <c r="X491">
        <v>0.6</v>
      </c>
      <c r="Y491">
        <v>7.9</v>
      </c>
      <c r="Z491">
        <v>1</v>
      </c>
      <c r="AA491">
        <v>12</v>
      </c>
      <c r="AB491" s="3">
        <v>7.57</v>
      </c>
      <c r="AC491" s="3"/>
      <c r="AD491">
        <v>8</v>
      </c>
      <c r="AE491" t="s">
        <v>46</v>
      </c>
      <c r="AF491" s="4"/>
    </row>
    <row r="492" spans="1:32" x14ac:dyDescent="0.3">
      <c r="A492" t="s">
        <v>583</v>
      </c>
      <c r="B492">
        <v>20</v>
      </c>
      <c r="C492" t="str">
        <f t="shared" si="7"/>
        <v>Young Adults</v>
      </c>
      <c r="D492" t="s">
        <v>53</v>
      </c>
      <c r="E492">
        <v>5.7</v>
      </c>
      <c r="G492" t="s">
        <v>60</v>
      </c>
      <c r="H492" t="s">
        <v>200</v>
      </c>
      <c r="I492" t="s">
        <v>86</v>
      </c>
      <c r="J492">
        <v>5.5</v>
      </c>
      <c r="L492" t="s">
        <v>43</v>
      </c>
      <c r="M492" t="s">
        <v>74</v>
      </c>
      <c r="N492" t="s">
        <v>43</v>
      </c>
      <c r="O492">
        <v>1.53</v>
      </c>
      <c r="P492">
        <v>5</v>
      </c>
      <c r="Q492" t="s">
        <v>63</v>
      </c>
      <c r="R492" t="s">
        <v>42</v>
      </c>
      <c r="S492" t="b">
        <v>0</v>
      </c>
      <c r="T492" t="b">
        <v>0</v>
      </c>
      <c r="U492" t="b">
        <v>0</v>
      </c>
      <c r="V492" t="b">
        <v>0</v>
      </c>
      <c r="W492" t="b">
        <v>1</v>
      </c>
      <c r="X492">
        <v>1.9</v>
      </c>
      <c r="Y492">
        <v>5.4</v>
      </c>
      <c r="Z492">
        <v>5</v>
      </c>
      <c r="AA492">
        <v>4.9000000000000004</v>
      </c>
      <c r="AB492" s="3">
        <v>75.19</v>
      </c>
      <c r="AC492" s="3"/>
      <c r="AD492">
        <v>8</v>
      </c>
      <c r="AE492" t="s">
        <v>46</v>
      </c>
      <c r="AF492" s="4"/>
    </row>
    <row r="493" spans="1:32" x14ac:dyDescent="0.3">
      <c r="A493" t="s">
        <v>584</v>
      </c>
      <c r="B493">
        <v>24</v>
      </c>
      <c r="C493" t="str">
        <f t="shared" si="7"/>
        <v>Young Adults</v>
      </c>
      <c r="D493" t="s">
        <v>28</v>
      </c>
      <c r="E493">
        <v>14.1</v>
      </c>
      <c r="G493" t="s">
        <v>60</v>
      </c>
      <c r="H493" t="s">
        <v>200</v>
      </c>
      <c r="I493" t="s">
        <v>50</v>
      </c>
      <c r="J493">
        <v>3.9</v>
      </c>
      <c r="L493" t="s">
        <v>78</v>
      </c>
      <c r="M493" t="s">
        <v>45</v>
      </c>
      <c r="N493" t="s">
        <v>34</v>
      </c>
      <c r="P493">
        <v>2</v>
      </c>
      <c r="Q493" t="s">
        <v>35</v>
      </c>
      <c r="R493" t="s">
        <v>45</v>
      </c>
      <c r="S493" t="b">
        <v>1</v>
      </c>
      <c r="T493" t="b">
        <v>1</v>
      </c>
      <c r="U493" t="b">
        <v>1</v>
      </c>
      <c r="V493" t="b">
        <v>1</v>
      </c>
      <c r="W493" t="b">
        <v>1</v>
      </c>
      <c r="X493">
        <v>2.2000000000000002</v>
      </c>
      <c r="Y493">
        <v>4.8</v>
      </c>
      <c r="Z493">
        <v>10</v>
      </c>
      <c r="AA493">
        <v>0</v>
      </c>
      <c r="AB493" s="3">
        <v>394.74</v>
      </c>
      <c r="AC493" s="3"/>
      <c r="AD493">
        <v>14</v>
      </c>
      <c r="AE493" t="s">
        <v>37</v>
      </c>
      <c r="AF493" s="4"/>
    </row>
    <row r="494" spans="1:32" x14ac:dyDescent="0.3">
      <c r="A494" t="s">
        <v>585</v>
      </c>
      <c r="B494">
        <v>19</v>
      </c>
      <c r="C494" t="str">
        <f t="shared" si="7"/>
        <v>Teenager</v>
      </c>
      <c r="D494" t="s">
        <v>53</v>
      </c>
      <c r="E494">
        <v>5.8</v>
      </c>
      <c r="G494" t="s">
        <v>39</v>
      </c>
      <c r="H494" t="s">
        <v>93</v>
      </c>
      <c r="I494" t="s">
        <v>31</v>
      </c>
      <c r="J494">
        <v>6.8</v>
      </c>
      <c r="L494" t="s">
        <v>43</v>
      </c>
      <c r="M494" t="s">
        <v>36</v>
      </c>
      <c r="N494" t="s">
        <v>62</v>
      </c>
      <c r="O494">
        <v>2.4300000000000002</v>
      </c>
      <c r="P494">
        <v>6</v>
      </c>
      <c r="Q494" t="s">
        <v>69</v>
      </c>
      <c r="R494" t="s">
        <v>57</v>
      </c>
      <c r="S494" t="b">
        <v>0</v>
      </c>
      <c r="T494" t="b">
        <v>1</v>
      </c>
      <c r="U494" t="b">
        <v>0</v>
      </c>
      <c r="V494" t="b">
        <v>0</v>
      </c>
      <c r="W494" t="b">
        <v>0</v>
      </c>
      <c r="X494">
        <v>2.6</v>
      </c>
      <c r="Y494">
        <v>6.9</v>
      </c>
      <c r="Z494">
        <v>4</v>
      </c>
      <c r="AA494">
        <v>10.4</v>
      </c>
      <c r="AB494" s="3">
        <v>70.73</v>
      </c>
      <c r="AC494" s="3"/>
      <c r="AD494">
        <v>2</v>
      </c>
      <c r="AE494" t="s">
        <v>64</v>
      </c>
      <c r="AF494" s="4"/>
    </row>
    <row r="495" spans="1:32" x14ac:dyDescent="0.3">
      <c r="A495" t="s">
        <v>586</v>
      </c>
      <c r="B495">
        <v>20</v>
      </c>
      <c r="C495" t="str">
        <f t="shared" si="7"/>
        <v>Young Adults</v>
      </c>
      <c r="D495" t="s">
        <v>28</v>
      </c>
      <c r="E495">
        <v>6</v>
      </c>
      <c r="G495" t="s">
        <v>48</v>
      </c>
      <c r="H495" t="s">
        <v>49</v>
      </c>
      <c r="I495" t="s">
        <v>71</v>
      </c>
      <c r="J495">
        <v>6.5</v>
      </c>
      <c r="L495" t="s">
        <v>32</v>
      </c>
      <c r="M495" t="s">
        <v>45</v>
      </c>
      <c r="N495" t="s">
        <v>34</v>
      </c>
      <c r="O495">
        <v>3.43</v>
      </c>
      <c r="P495">
        <v>9</v>
      </c>
      <c r="Q495" t="s">
        <v>63</v>
      </c>
      <c r="R495" t="s">
        <v>42</v>
      </c>
      <c r="S495" t="b">
        <v>0</v>
      </c>
      <c r="T495" t="b">
        <v>1</v>
      </c>
      <c r="U495" t="b">
        <v>0</v>
      </c>
      <c r="V495" t="b">
        <v>1</v>
      </c>
      <c r="W495" t="b">
        <v>0</v>
      </c>
      <c r="X495">
        <v>1.2</v>
      </c>
      <c r="Y495">
        <v>6.4</v>
      </c>
      <c r="Z495">
        <v>5</v>
      </c>
      <c r="AA495">
        <v>10.7</v>
      </c>
      <c r="AB495" s="3">
        <v>95.85</v>
      </c>
      <c r="AC495" s="3"/>
      <c r="AD495">
        <v>10</v>
      </c>
      <c r="AE495" t="s">
        <v>64</v>
      </c>
      <c r="AF495" s="4"/>
    </row>
    <row r="496" spans="1:32" x14ac:dyDescent="0.3">
      <c r="A496" t="s">
        <v>587</v>
      </c>
      <c r="B496">
        <v>20</v>
      </c>
      <c r="C496" t="str">
        <f t="shared" si="7"/>
        <v>Young Adults</v>
      </c>
      <c r="D496" t="s">
        <v>53</v>
      </c>
      <c r="E496">
        <v>3.8</v>
      </c>
      <c r="G496" t="s">
        <v>60</v>
      </c>
      <c r="H496" t="s">
        <v>102</v>
      </c>
      <c r="I496" t="s">
        <v>71</v>
      </c>
      <c r="J496">
        <v>6</v>
      </c>
      <c r="L496" t="s">
        <v>41</v>
      </c>
      <c r="M496" t="s">
        <v>33</v>
      </c>
      <c r="N496" t="s">
        <v>84</v>
      </c>
      <c r="O496">
        <v>3.16</v>
      </c>
      <c r="P496">
        <v>2</v>
      </c>
      <c r="Q496" t="s">
        <v>44</v>
      </c>
      <c r="R496" t="s">
        <v>45</v>
      </c>
      <c r="S496" t="b">
        <v>0</v>
      </c>
      <c r="T496" t="b">
        <v>0</v>
      </c>
      <c r="U496" t="b">
        <v>0</v>
      </c>
      <c r="V496" t="b">
        <v>0</v>
      </c>
      <c r="W496" t="b">
        <v>0</v>
      </c>
      <c r="X496">
        <v>2.2000000000000002</v>
      </c>
      <c r="Y496">
        <v>9.1999999999999993</v>
      </c>
      <c r="Z496">
        <v>4</v>
      </c>
      <c r="AA496">
        <v>8.6999999999999993</v>
      </c>
      <c r="AB496" s="3">
        <v>9.48</v>
      </c>
      <c r="AC496" s="3"/>
      <c r="AD496">
        <v>1</v>
      </c>
      <c r="AE496" t="s">
        <v>46</v>
      </c>
      <c r="AF496" s="4"/>
    </row>
    <row r="497" spans="1:32" x14ac:dyDescent="0.3">
      <c r="A497" t="s">
        <v>588</v>
      </c>
      <c r="B497">
        <v>16</v>
      </c>
      <c r="C497" t="str">
        <f t="shared" si="7"/>
        <v>Teenager</v>
      </c>
      <c r="D497" t="s">
        <v>28</v>
      </c>
      <c r="E497">
        <v>7.9</v>
      </c>
      <c r="G497" t="s">
        <v>76</v>
      </c>
      <c r="H497" t="s">
        <v>110</v>
      </c>
      <c r="I497" t="s">
        <v>31</v>
      </c>
      <c r="J497">
        <v>5.0999999999999996</v>
      </c>
      <c r="L497" t="s">
        <v>41</v>
      </c>
      <c r="M497" t="s">
        <v>45</v>
      </c>
      <c r="N497" t="s">
        <v>62</v>
      </c>
      <c r="O497">
        <v>3.47</v>
      </c>
      <c r="Q497" t="s">
        <v>44</v>
      </c>
      <c r="R497" t="s">
        <v>42</v>
      </c>
      <c r="S497" t="b">
        <v>0</v>
      </c>
      <c r="T497" t="b">
        <v>1</v>
      </c>
      <c r="U497" t="b">
        <v>0</v>
      </c>
      <c r="V497" t="b">
        <v>0</v>
      </c>
      <c r="W497" t="b">
        <v>1</v>
      </c>
      <c r="X497">
        <v>3</v>
      </c>
      <c r="Y497">
        <v>7.8</v>
      </c>
      <c r="Z497">
        <v>5</v>
      </c>
      <c r="AA497">
        <v>5.5</v>
      </c>
      <c r="AB497" s="3">
        <v>136.26</v>
      </c>
      <c r="AC497" s="3"/>
      <c r="AD497">
        <v>4</v>
      </c>
      <c r="AE497" t="s">
        <v>64</v>
      </c>
      <c r="AF497" s="4"/>
    </row>
    <row r="498" spans="1:32" x14ac:dyDescent="0.3">
      <c r="A498" t="s">
        <v>589</v>
      </c>
      <c r="B498">
        <v>27</v>
      </c>
      <c r="C498" t="str">
        <f t="shared" si="7"/>
        <v>Young Adults</v>
      </c>
      <c r="D498" t="s">
        <v>28</v>
      </c>
      <c r="E498">
        <v>9.1</v>
      </c>
      <c r="G498" t="s">
        <v>76</v>
      </c>
      <c r="H498" t="s">
        <v>77</v>
      </c>
      <c r="I498" t="s">
        <v>31</v>
      </c>
      <c r="J498">
        <v>5.9</v>
      </c>
      <c r="L498" t="s">
        <v>32</v>
      </c>
      <c r="M498" t="s">
        <v>36</v>
      </c>
      <c r="N498" t="s">
        <v>129</v>
      </c>
      <c r="P498">
        <v>8</v>
      </c>
      <c r="Q498" t="s">
        <v>35</v>
      </c>
      <c r="R498" t="s">
        <v>42</v>
      </c>
      <c r="S498" t="b">
        <v>1</v>
      </c>
      <c r="T498" t="b">
        <v>0</v>
      </c>
      <c r="U498" t="b">
        <v>0</v>
      </c>
      <c r="V498" t="b">
        <v>1</v>
      </c>
      <c r="W498" t="b">
        <v>1</v>
      </c>
      <c r="X498">
        <v>0.2</v>
      </c>
      <c r="Y498">
        <v>6.4</v>
      </c>
      <c r="Z498">
        <v>6</v>
      </c>
      <c r="AA498">
        <v>5.0999999999999996</v>
      </c>
      <c r="AB498" s="3">
        <v>224.46</v>
      </c>
      <c r="AC498" s="3"/>
      <c r="AD498">
        <v>5</v>
      </c>
      <c r="AE498" t="s">
        <v>58</v>
      </c>
      <c r="AF498" s="4"/>
    </row>
    <row r="499" spans="1:32" x14ac:dyDescent="0.3">
      <c r="A499" t="s">
        <v>590</v>
      </c>
      <c r="B499">
        <v>22</v>
      </c>
      <c r="C499" t="str">
        <f t="shared" si="7"/>
        <v>Young Adults</v>
      </c>
      <c r="D499" t="s">
        <v>28</v>
      </c>
      <c r="E499">
        <v>9.5</v>
      </c>
      <c r="G499" t="s">
        <v>60</v>
      </c>
      <c r="H499" t="s">
        <v>200</v>
      </c>
      <c r="I499" t="s">
        <v>31</v>
      </c>
      <c r="J499">
        <v>3.7</v>
      </c>
      <c r="L499" t="s">
        <v>41</v>
      </c>
      <c r="M499" t="s">
        <v>74</v>
      </c>
      <c r="N499" t="s">
        <v>62</v>
      </c>
      <c r="O499">
        <v>1.1399999999999999</v>
      </c>
      <c r="P499">
        <v>4</v>
      </c>
      <c r="Q499" t="s">
        <v>63</v>
      </c>
      <c r="R499" t="s">
        <v>42</v>
      </c>
      <c r="S499" t="b">
        <v>0</v>
      </c>
      <c r="T499" t="b">
        <v>1</v>
      </c>
      <c r="U499" t="b">
        <v>0</v>
      </c>
      <c r="V499" t="b">
        <v>1</v>
      </c>
      <c r="W499" t="b">
        <v>1</v>
      </c>
      <c r="X499">
        <v>2.2000000000000002</v>
      </c>
      <c r="Y499">
        <v>5.7</v>
      </c>
      <c r="Z499">
        <v>6</v>
      </c>
      <c r="AA499">
        <v>3.3</v>
      </c>
      <c r="AB499" s="3">
        <v>207.65</v>
      </c>
      <c r="AC499" s="3"/>
      <c r="AD499">
        <v>4</v>
      </c>
      <c r="AE499" t="s">
        <v>58</v>
      </c>
      <c r="AF499" s="4"/>
    </row>
    <row r="500" spans="1:32" x14ac:dyDescent="0.3">
      <c r="A500" t="s">
        <v>591</v>
      </c>
      <c r="B500">
        <v>20</v>
      </c>
      <c r="C500" t="str">
        <f t="shared" si="7"/>
        <v>Young Adults</v>
      </c>
      <c r="D500" t="s">
        <v>28</v>
      </c>
      <c r="E500">
        <v>5.9</v>
      </c>
      <c r="G500" t="s">
        <v>60</v>
      </c>
      <c r="H500" t="s">
        <v>102</v>
      </c>
      <c r="I500" t="s">
        <v>50</v>
      </c>
      <c r="J500">
        <v>6.7</v>
      </c>
      <c r="L500" t="s">
        <v>43</v>
      </c>
      <c r="M500" t="s">
        <v>74</v>
      </c>
      <c r="N500" t="s">
        <v>62</v>
      </c>
      <c r="O500">
        <v>2.14</v>
      </c>
      <c r="P500">
        <v>8</v>
      </c>
      <c r="Q500" t="s">
        <v>80</v>
      </c>
      <c r="R500" t="s">
        <v>45</v>
      </c>
      <c r="S500" t="b">
        <v>0</v>
      </c>
      <c r="T500" t="b">
        <v>0</v>
      </c>
      <c r="U500" t="b">
        <v>0</v>
      </c>
      <c r="V500" t="b">
        <v>0</v>
      </c>
      <c r="W500" t="b">
        <v>1</v>
      </c>
      <c r="X500">
        <v>0.3</v>
      </c>
      <c r="Y500">
        <v>5.4</v>
      </c>
      <c r="Z500">
        <v>3</v>
      </c>
      <c r="AA500">
        <v>10.7</v>
      </c>
      <c r="AB500" s="3">
        <v>131.69999999999999</v>
      </c>
      <c r="AC500" s="3"/>
      <c r="AD500">
        <v>6</v>
      </c>
      <c r="AE500" t="s">
        <v>46</v>
      </c>
      <c r="AF500" s="4"/>
    </row>
    <row r="501" spans="1:32" x14ac:dyDescent="0.3">
      <c r="A501" t="s">
        <v>592</v>
      </c>
      <c r="B501">
        <v>20</v>
      </c>
      <c r="C501" t="str">
        <f t="shared" si="7"/>
        <v>Young Adults</v>
      </c>
      <c r="D501" t="s">
        <v>53</v>
      </c>
      <c r="E501">
        <v>7.1</v>
      </c>
      <c r="G501" t="s">
        <v>60</v>
      </c>
      <c r="H501" t="s">
        <v>200</v>
      </c>
      <c r="I501" t="s">
        <v>71</v>
      </c>
      <c r="J501">
        <v>4.7</v>
      </c>
      <c r="L501" t="s">
        <v>51</v>
      </c>
      <c r="M501" t="s">
        <v>33</v>
      </c>
      <c r="N501" t="s">
        <v>34</v>
      </c>
      <c r="O501">
        <v>1.02</v>
      </c>
      <c r="P501">
        <v>3</v>
      </c>
      <c r="Q501" t="s">
        <v>44</v>
      </c>
      <c r="R501" t="s">
        <v>33</v>
      </c>
      <c r="S501" t="b">
        <v>1</v>
      </c>
      <c r="T501" t="b">
        <v>1</v>
      </c>
      <c r="U501" t="b">
        <v>0</v>
      </c>
      <c r="V501" t="b">
        <v>1</v>
      </c>
      <c r="W501" t="b">
        <v>1</v>
      </c>
      <c r="X501">
        <v>3.6</v>
      </c>
      <c r="Y501">
        <v>5.5</v>
      </c>
      <c r="Z501">
        <v>3</v>
      </c>
      <c r="AA501">
        <v>5</v>
      </c>
      <c r="AB501" s="3">
        <v>142.02000000000001</v>
      </c>
      <c r="AC501" s="3"/>
      <c r="AD501">
        <v>3</v>
      </c>
      <c r="AE501" t="s">
        <v>58</v>
      </c>
      <c r="AF501" s="4"/>
    </row>
    <row r="502" spans="1:32" x14ac:dyDescent="0.3">
      <c r="A502" t="s">
        <v>593</v>
      </c>
      <c r="B502">
        <v>18</v>
      </c>
      <c r="C502" t="str">
        <f t="shared" si="7"/>
        <v>Teenager</v>
      </c>
      <c r="D502" t="s">
        <v>28</v>
      </c>
      <c r="E502">
        <v>9.6</v>
      </c>
      <c r="G502" t="s">
        <v>60</v>
      </c>
      <c r="H502" t="s">
        <v>61</v>
      </c>
      <c r="I502" t="s">
        <v>50</v>
      </c>
      <c r="J502">
        <v>3.7</v>
      </c>
      <c r="L502" t="s">
        <v>32</v>
      </c>
      <c r="M502" t="s">
        <v>74</v>
      </c>
      <c r="N502" t="s">
        <v>51</v>
      </c>
      <c r="O502">
        <v>3.97</v>
      </c>
      <c r="Q502" t="s">
        <v>80</v>
      </c>
      <c r="R502" t="s">
        <v>42</v>
      </c>
      <c r="S502" t="b">
        <v>0</v>
      </c>
      <c r="T502" t="b">
        <v>0</v>
      </c>
      <c r="U502" t="b">
        <v>0</v>
      </c>
      <c r="V502" t="b">
        <v>1</v>
      </c>
      <c r="W502" t="b">
        <v>1</v>
      </c>
      <c r="X502">
        <v>6.7</v>
      </c>
      <c r="Y502">
        <v>5.6</v>
      </c>
      <c r="Z502">
        <v>6</v>
      </c>
      <c r="AA502">
        <v>2.2999999999999998</v>
      </c>
      <c r="AB502" s="3">
        <v>82.52</v>
      </c>
      <c r="AC502" s="3"/>
      <c r="AD502">
        <v>4</v>
      </c>
      <c r="AE502" t="s">
        <v>64</v>
      </c>
      <c r="AF502" s="4"/>
    </row>
    <row r="503" spans="1:32" x14ac:dyDescent="0.3">
      <c r="A503" t="s">
        <v>594</v>
      </c>
      <c r="B503">
        <v>23</v>
      </c>
      <c r="C503" t="str">
        <f t="shared" si="7"/>
        <v>Young Adults</v>
      </c>
      <c r="D503" t="s">
        <v>53</v>
      </c>
      <c r="E503">
        <v>4.0999999999999996</v>
      </c>
      <c r="G503" t="s">
        <v>54</v>
      </c>
      <c r="H503" t="s">
        <v>55</v>
      </c>
      <c r="I503" t="s">
        <v>86</v>
      </c>
      <c r="J503">
        <v>5.6</v>
      </c>
      <c r="L503" t="s">
        <v>51</v>
      </c>
      <c r="M503" t="s">
        <v>42</v>
      </c>
      <c r="N503" t="s">
        <v>34</v>
      </c>
      <c r="P503">
        <v>1</v>
      </c>
      <c r="Q503" t="s">
        <v>66</v>
      </c>
      <c r="R503" t="s">
        <v>42</v>
      </c>
      <c r="S503" t="b">
        <v>0</v>
      </c>
      <c r="T503" t="b">
        <v>0</v>
      </c>
      <c r="U503" t="b">
        <v>0</v>
      </c>
      <c r="V503" t="b">
        <v>0</v>
      </c>
      <c r="W503" t="b">
        <v>0</v>
      </c>
      <c r="X503">
        <v>2.5</v>
      </c>
      <c r="Y503">
        <v>6.6</v>
      </c>
      <c r="Z503">
        <v>2</v>
      </c>
      <c r="AA503">
        <v>11.9</v>
      </c>
      <c r="AB503" s="3">
        <v>34.53</v>
      </c>
      <c r="AC503" s="3"/>
      <c r="AD503">
        <v>8</v>
      </c>
      <c r="AE503" t="s">
        <v>46</v>
      </c>
      <c r="AF503" s="4"/>
    </row>
    <row r="504" spans="1:32" x14ac:dyDescent="0.3">
      <c r="A504" t="s">
        <v>595</v>
      </c>
      <c r="B504">
        <v>19</v>
      </c>
      <c r="C504" t="str">
        <f t="shared" si="7"/>
        <v>Teenager</v>
      </c>
      <c r="D504" t="s">
        <v>28</v>
      </c>
      <c r="E504">
        <v>7.5</v>
      </c>
      <c r="G504" t="s">
        <v>54</v>
      </c>
      <c r="H504" t="s">
        <v>55</v>
      </c>
      <c r="I504" t="s">
        <v>31</v>
      </c>
      <c r="J504">
        <v>3.3</v>
      </c>
      <c r="L504" t="s">
        <v>78</v>
      </c>
      <c r="M504" t="s">
        <v>33</v>
      </c>
      <c r="N504" t="s">
        <v>62</v>
      </c>
      <c r="O504">
        <v>1.78</v>
      </c>
      <c r="P504">
        <v>4</v>
      </c>
      <c r="Q504" t="s">
        <v>105</v>
      </c>
      <c r="R504" t="s">
        <v>57</v>
      </c>
      <c r="S504" t="b">
        <v>0</v>
      </c>
      <c r="T504" t="b">
        <v>0</v>
      </c>
      <c r="U504" t="b">
        <v>0</v>
      </c>
      <c r="V504" t="b">
        <v>0</v>
      </c>
      <c r="W504" t="b">
        <v>0</v>
      </c>
      <c r="X504">
        <v>1</v>
      </c>
      <c r="Y504">
        <v>8</v>
      </c>
      <c r="Z504">
        <v>5</v>
      </c>
      <c r="AA504">
        <v>7.3</v>
      </c>
      <c r="AB504" s="3">
        <v>70.7</v>
      </c>
      <c r="AC504" s="3"/>
      <c r="AD504">
        <v>5</v>
      </c>
      <c r="AE504" t="s">
        <v>46</v>
      </c>
      <c r="AF504" s="4"/>
    </row>
    <row r="505" spans="1:32" x14ac:dyDescent="0.3">
      <c r="A505" t="s">
        <v>596</v>
      </c>
      <c r="B505">
        <v>14</v>
      </c>
      <c r="C505" t="str">
        <f t="shared" si="7"/>
        <v>Teenager</v>
      </c>
      <c r="D505" t="s">
        <v>28</v>
      </c>
      <c r="E505">
        <v>3.5</v>
      </c>
      <c r="G505" t="s">
        <v>76</v>
      </c>
      <c r="H505" t="s">
        <v>126</v>
      </c>
      <c r="I505" t="s">
        <v>50</v>
      </c>
      <c r="J505">
        <v>7.9</v>
      </c>
      <c r="L505" t="s">
        <v>51</v>
      </c>
      <c r="M505" t="s">
        <v>36</v>
      </c>
      <c r="N505" t="s">
        <v>43</v>
      </c>
      <c r="O505">
        <v>2.4500000000000002</v>
      </c>
      <c r="Q505" t="s">
        <v>80</v>
      </c>
      <c r="R505" t="s">
        <v>42</v>
      </c>
      <c r="S505" t="b">
        <v>0</v>
      </c>
      <c r="T505" t="b">
        <v>0</v>
      </c>
      <c r="U505" t="b">
        <v>0</v>
      </c>
      <c r="V505" t="b">
        <v>0</v>
      </c>
      <c r="W505" t="b">
        <v>0</v>
      </c>
      <c r="X505">
        <v>1.1000000000000001</v>
      </c>
      <c r="Y505">
        <v>7.9</v>
      </c>
      <c r="Z505">
        <v>3</v>
      </c>
      <c r="AA505">
        <v>11.2</v>
      </c>
      <c r="AB505" s="3">
        <v>10.74</v>
      </c>
      <c r="AC505" s="3"/>
      <c r="AD505">
        <v>2</v>
      </c>
      <c r="AE505" t="s">
        <v>46</v>
      </c>
      <c r="AF505" s="4"/>
    </row>
    <row r="506" spans="1:32" x14ac:dyDescent="0.3">
      <c r="A506" t="s">
        <v>597</v>
      </c>
      <c r="B506">
        <v>27</v>
      </c>
      <c r="C506" t="str">
        <f t="shared" si="7"/>
        <v>Young Adults</v>
      </c>
      <c r="D506" t="s">
        <v>53</v>
      </c>
      <c r="E506">
        <v>0.8</v>
      </c>
      <c r="G506" t="s">
        <v>54</v>
      </c>
      <c r="H506" t="s">
        <v>98</v>
      </c>
      <c r="I506" t="s">
        <v>50</v>
      </c>
      <c r="J506">
        <v>8.1999999999999993</v>
      </c>
      <c r="L506" t="s">
        <v>43</v>
      </c>
      <c r="M506" t="s">
        <v>45</v>
      </c>
      <c r="N506" t="s">
        <v>43</v>
      </c>
      <c r="P506">
        <v>6</v>
      </c>
      <c r="Q506" t="s">
        <v>35</v>
      </c>
      <c r="R506" t="s">
        <v>45</v>
      </c>
      <c r="S506" t="b">
        <v>0</v>
      </c>
      <c r="T506" t="b">
        <v>0</v>
      </c>
      <c r="U506" t="b">
        <v>0</v>
      </c>
      <c r="V506" t="b">
        <v>0</v>
      </c>
      <c r="W506" t="b">
        <v>0</v>
      </c>
      <c r="X506">
        <v>0.2</v>
      </c>
      <c r="Y506">
        <v>10.5</v>
      </c>
      <c r="Z506">
        <v>1</v>
      </c>
      <c r="AA506">
        <v>14.3</v>
      </c>
      <c r="AB506" s="3">
        <v>27.33</v>
      </c>
      <c r="AC506" s="3"/>
      <c r="AD506">
        <v>17</v>
      </c>
      <c r="AE506" t="s">
        <v>46</v>
      </c>
      <c r="AF506" s="4"/>
    </row>
    <row r="507" spans="1:32" x14ac:dyDescent="0.3">
      <c r="A507" t="s">
        <v>598</v>
      </c>
      <c r="B507">
        <v>18</v>
      </c>
      <c r="C507" t="str">
        <f t="shared" si="7"/>
        <v>Teenager</v>
      </c>
      <c r="D507" t="s">
        <v>53</v>
      </c>
      <c r="E507">
        <v>9.4</v>
      </c>
      <c r="G507" t="s">
        <v>76</v>
      </c>
      <c r="H507" t="s">
        <v>126</v>
      </c>
      <c r="I507" t="s">
        <v>86</v>
      </c>
      <c r="J507">
        <v>3.6</v>
      </c>
      <c r="L507" t="s">
        <v>32</v>
      </c>
      <c r="M507" t="s">
        <v>42</v>
      </c>
      <c r="N507" t="s">
        <v>34</v>
      </c>
      <c r="O507">
        <v>3.04</v>
      </c>
      <c r="Q507" t="s">
        <v>44</v>
      </c>
      <c r="R507" t="s">
        <v>57</v>
      </c>
      <c r="S507" t="b">
        <v>0</v>
      </c>
      <c r="T507" t="b">
        <v>0</v>
      </c>
      <c r="U507" t="b">
        <v>1</v>
      </c>
      <c r="V507" t="b">
        <v>0</v>
      </c>
      <c r="W507" t="b">
        <v>0</v>
      </c>
      <c r="X507">
        <v>4.7</v>
      </c>
      <c r="Y507">
        <v>7.1</v>
      </c>
      <c r="Z507">
        <v>4</v>
      </c>
      <c r="AA507">
        <v>5.3</v>
      </c>
      <c r="AB507" s="3">
        <v>470.19</v>
      </c>
      <c r="AC507" s="3"/>
      <c r="AD507">
        <v>2</v>
      </c>
      <c r="AE507" t="s">
        <v>58</v>
      </c>
      <c r="AF507" s="4"/>
    </row>
    <row r="508" spans="1:32" x14ac:dyDescent="0.3">
      <c r="A508" t="s">
        <v>599</v>
      </c>
      <c r="B508">
        <v>21</v>
      </c>
      <c r="C508" t="str">
        <f t="shared" si="7"/>
        <v>Young Adults</v>
      </c>
      <c r="D508" t="s">
        <v>28</v>
      </c>
      <c r="E508">
        <v>5.5</v>
      </c>
      <c r="G508" t="s">
        <v>48</v>
      </c>
      <c r="H508" t="s">
        <v>128</v>
      </c>
      <c r="I508" t="s">
        <v>50</v>
      </c>
      <c r="J508">
        <v>6.3</v>
      </c>
      <c r="L508" t="s">
        <v>41</v>
      </c>
      <c r="M508" t="s">
        <v>33</v>
      </c>
      <c r="N508" t="s">
        <v>34</v>
      </c>
      <c r="O508">
        <v>3.86</v>
      </c>
      <c r="P508">
        <v>4</v>
      </c>
      <c r="Q508" t="s">
        <v>44</v>
      </c>
      <c r="R508" t="s">
        <v>45</v>
      </c>
      <c r="S508" t="b">
        <v>0</v>
      </c>
      <c r="T508" t="b">
        <v>0</v>
      </c>
      <c r="U508" t="b">
        <v>0</v>
      </c>
      <c r="V508" t="b">
        <v>1</v>
      </c>
      <c r="W508" t="b">
        <v>0</v>
      </c>
      <c r="X508">
        <v>1.6</v>
      </c>
      <c r="Y508">
        <v>9.1</v>
      </c>
      <c r="Z508">
        <v>3</v>
      </c>
      <c r="AA508">
        <v>6</v>
      </c>
      <c r="AB508" s="3">
        <v>91.49</v>
      </c>
      <c r="AC508" s="3"/>
      <c r="AD508">
        <v>11</v>
      </c>
      <c r="AE508" t="s">
        <v>46</v>
      </c>
      <c r="AF508" s="4"/>
    </row>
    <row r="509" spans="1:32" x14ac:dyDescent="0.3">
      <c r="A509" t="s">
        <v>600</v>
      </c>
      <c r="B509">
        <v>18</v>
      </c>
      <c r="C509" t="str">
        <f t="shared" si="7"/>
        <v>Teenager</v>
      </c>
      <c r="D509" t="s">
        <v>28</v>
      </c>
      <c r="E509">
        <v>4.5999999999999996</v>
      </c>
      <c r="G509" t="s">
        <v>48</v>
      </c>
      <c r="H509" t="s">
        <v>214</v>
      </c>
      <c r="I509" t="s">
        <v>31</v>
      </c>
      <c r="J509">
        <v>6.8</v>
      </c>
      <c r="L509" t="s">
        <v>43</v>
      </c>
      <c r="M509" t="s">
        <v>74</v>
      </c>
      <c r="N509" t="s">
        <v>51</v>
      </c>
      <c r="O509">
        <v>3.77</v>
      </c>
      <c r="Q509" t="s">
        <v>63</v>
      </c>
      <c r="R509" t="s">
        <v>33</v>
      </c>
      <c r="S509" t="b">
        <v>0</v>
      </c>
      <c r="T509" t="b">
        <v>0</v>
      </c>
      <c r="U509" t="b">
        <v>0</v>
      </c>
      <c r="V509" t="b">
        <v>1</v>
      </c>
      <c r="W509" t="b">
        <v>0</v>
      </c>
      <c r="X509">
        <v>2.4</v>
      </c>
      <c r="Y509">
        <v>8.5</v>
      </c>
      <c r="Z509">
        <v>2</v>
      </c>
      <c r="AA509">
        <v>7.1</v>
      </c>
      <c r="AB509" s="3">
        <v>96.69</v>
      </c>
      <c r="AC509" s="3"/>
      <c r="AD509">
        <v>7</v>
      </c>
      <c r="AE509" t="s">
        <v>46</v>
      </c>
      <c r="AF509" s="4"/>
    </row>
    <row r="510" spans="1:32" x14ac:dyDescent="0.3">
      <c r="A510" t="s">
        <v>601</v>
      </c>
      <c r="B510">
        <v>18</v>
      </c>
      <c r="C510" t="str">
        <f t="shared" si="7"/>
        <v>Teenager</v>
      </c>
      <c r="D510" t="s">
        <v>28</v>
      </c>
      <c r="E510">
        <v>3.5</v>
      </c>
      <c r="G510" t="s">
        <v>48</v>
      </c>
      <c r="H510" t="s">
        <v>214</v>
      </c>
      <c r="I510" t="s">
        <v>50</v>
      </c>
      <c r="J510">
        <v>8.4</v>
      </c>
      <c r="L510" t="s">
        <v>43</v>
      </c>
      <c r="M510" t="s">
        <v>36</v>
      </c>
      <c r="N510" t="s">
        <v>43</v>
      </c>
      <c r="O510">
        <v>3.76</v>
      </c>
      <c r="Q510" t="s">
        <v>121</v>
      </c>
      <c r="R510" t="s">
        <v>42</v>
      </c>
      <c r="S510" t="b">
        <v>0</v>
      </c>
      <c r="T510" t="b">
        <v>0</v>
      </c>
      <c r="U510" t="b">
        <v>0</v>
      </c>
      <c r="V510" t="b">
        <v>0</v>
      </c>
      <c r="W510" t="b">
        <v>0</v>
      </c>
      <c r="X510">
        <v>1</v>
      </c>
      <c r="Y510">
        <v>10</v>
      </c>
      <c r="Z510">
        <v>1</v>
      </c>
      <c r="AA510">
        <v>12.8</v>
      </c>
      <c r="AB510" s="3">
        <v>38.67</v>
      </c>
      <c r="AC510" s="3"/>
      <c r="AD510">
        <v>6</v>
      </c>
      <c r="AE510" t="s">
        <v>46</v>
      </c>
      <c r="AF510" s="4"/>
    </row>
    <row r="511" spans="1:32" x14ac:dyDescent="0.3">
      <c r="A511" t="s">
        <v>602</v>
      </c>
      <c r="B511">
        <v>19</v>
      </c>
      <c r="C511" t="str">
        <f t="shared" si="7"/>
        <v>Teenager</v>
      </c>
      <c r="D511" t="s">
        <v>28</v>
      </c>
      <c r="E511">
        <v>5.7</v>
      </c>
      <c r="G511" t="s">
        <v>60</v>
      </c>
      <c r="H511" t="s">
        <v>96</v>
      </c>
      <c r="I511" t="s">
        <v>31</v>
      </c>
      <c r="J511">
        <v>6.4</v>
      </c>
      <c r="L511" t="s">
        <v>43</v>
      </c>
      <c r="M511" t="s">
        <v>74</v>
      </c>
      <c r="N511" t="s">
        <v>34</v>
      </c>
      <c r="O511">
        <v>2.06</v>
      </c>
      <c r="P511">
        <v>7</v>
      </c>
      <c r="Q511" t="s">
        <v>69</v>
      </c>
      <c r="R511" t="s">
        <v>57</v>
      </c>
      <c r="S511" t="b">
        <v>0</v>
      </c>
      <c r="T511" t="b">
        <v>1</v>
      </c>
      <c r="U511" t="b">
        <v>0</v>
      </c>
      <c r="V511" t="b">
        <v>1</v>
      </c>
      <c r="W511" t="b">
        <v>1</v>
      </c>
      <c r="X511">
        <v>4.3</v>
      </c>
      <c r="Y511">
        <v>6.6</v>
      </c>
      <c r="Z511">
        <v>6</v>
      </c>
      <c r="AA511">
        <v>10</v>
      </c>
      <c r="AB511" s="3">
        <v>89.3</v>
      </c>
      <c r="AC511" s="3"/>
      <c r="AD511">
        <v>6</v>
      </c>
      <c r="AE511" t="s">
        <v>64</v>
      </c>
      <c r="AF511" s="4"/>
    </row>
    <row r="512" spans="1:32" x14ac:dyDescent="0.3">
      <c r="A512" t="s">
        <v>603</v>
      </c>
      <c r="B512">
        <v>22</v>
      </c>
      <c r="C512" t="str">
        <f t="shared" si="7"/>
        <v>Young Adults</v>
      </c>
      <c r="D512" t="s">
        <v>28</v>
      </c>
      <c r="E512">
        <v>1</v>
      </c>
      <c r="G512" t="s">
        <v>82</v>
      </c>
      <c r="H512" t="s">
        <v>134</v>
      </c>
      <c r="I512" t="s">
        <v>71</v>
      </c>
      <c r="J512">
        <v>8</v>
      </c>
      <c r="L512" t="s">
        <v>41</v>
      </c>
      <c r="M512" t="s">
        <v>33</v>
      </c>
      <c r="N512" t="s">
        <v>43</v>
      </c>
      <c r="O512">
        <v>3.87</v>
      </c>
      <c r="P512">
        <v>9</v>
      </c>
      <c r="Q512" t="s">
        <v>35</v>
      </c>
      <c r="R512" t="s">
        <v>57</v>
      </c>
      <c r="S512" t="b">
        <v>0</v>
      </c>
      <c r="T512" t="b">
        <v>0</v>
      </c>
      <c r="U512" t="b">
        <v>0</v>
      </c>
      <c r="V512" t="b">
        <v>0</v>
      </c>
      <c r="W512" t="b">
        <v>0</v>
      </c>
      <c r="X512">
        <v>0.1</v>
      </c>
      <c r="Y512">
        <v>11.3</v>
      </c>
      <c r="Z512">
        <v>1</v>
      </c>
      <c r="AA512">
        <v>14.9</v>
      </c>
      <c r="AB512" s="3">
        <v>7.33</v>
      </c>
      <c r="AC512" s="3"/>
      <c r="AD512">
        <v>6</v>
      </c>
      <c r="AE512" t="s">
        <v>46</v>
      </c>
      <c r="AF512" s="4"/>
    </row>
    <row r="513" spans="1:32" x14ac:dyDescent="0.3">
      <c r="A513" t="s">
        <v>604</v>
      </c>
      <c r="B513">
        <v>19</v>
      </c>
      <c r="C513" t="str">
        <f t="shared" si="7"/>
        <v>Teenager</v>
      </c>
      <c r="D513" t="s">
        <v>53</v>
      </c>
      <c r="E513">
        <v>6.7</v>
      </c>
      <c r="G513" t="s">
        <v>29</v>
      </c>
      <c r="H513" t="s">
        <v>118</v>
      </c>
      <c r="I513" t="s">
        <v>71</v>
      </c>
      <c r="J513">
        <v>3.1</v>
      </c>
      <c r="L513" t="s">
        <v>41</v>
      </c>
      <c r="M513" t="s">
        <v>36</v>
      </c>
      <c r="N513" t="s">
        <v>34</v>
      </c>
      <c r="O513">
        <v>2.79</v>
      </c>
      <c r="P513">
        <v>9</v>
      </c>
      <c r="Q513" t="s">
        <v>69</v>
      </c>
      <c r="R513" t="s">
        <v>36</v>
      </c>
      <c r="S513" t="b">
        <v>0</v>
      </c>
      <c r="T513" t="b">
        <v>0</v>
      </c>
      <c r="U513" t="b">
        <v>0</v>
      </c>
      <c r="V513" t="b">
        <v>0</v>
      </c>
      <c r="W513" t="b">
        <v>1</v>
      </c>
      <c r="X513">
        <v>1.2</v>
      </c>
      <c r="Y513">
        <v>8.1999999999999993</v>
      </c>
      <c r="Z513">
        <v>2</v>
      </c>
      <c r="AA513">
        <v>5</v>
      </c>
      <c r="AB513" s="3">
        <v>103.77</v>
      </c>
      <c r="AC513" s="3"/>
      <c r="AD513">
        <v>5</v>
      </c>
      <c r="AE513" t="s">
        <v>46</v>
      </c>
      <c r="AF513" s="4"/>
    </row>
    <row r="514" spans="1:32" x14ac:dyDescent="0.3">
      <c r="A514" t="s">
        <v>605</v>
      </c>
      <c r="B514">
        <v>14</v>
      </c>
      <c r="C514" t="str">
        <f t="shared" si="7"/>
        <v>Teenager</v>
      </c>
      <c r="D514" t="s">
        <v>28</v>
      </c>
      <c r="E514">
        <v>2.1</v>
      </c>
      <c r="G514" t="s">
        <v>39</v>
      </c>
      <c r="H514" t="s">
        <v>40</v>
      </c>
      <c r="I514" t="s">
        <v>71</v>
      </c>
      <c r="J514">
        <v>7.3</v>
      </c>
      <c r="L514" t="s">
        <v>41</v>
      </c>
      <c r="M514" t="s">
        <v>33</v>
      </c>
      <c r="N514" t="s">
        <v>84</v>
      </c>
      <c r="O514">
        <v>3.63</v>
      </c>
      <c r="Q514" t="s">
        <v>66</v>
      </c>
      <c r="R514" t="s">
        <v>57</v>
      </c>
      <c r="S514" t="b">
        <v>0</v>
      </c>
      <c r="T514" t="b">
        <v>0</v>
      </c>
      <c r="U514" t="b">
        <v>0</v>
      </c>
      <c r="V514" t="b">
        <v>0</v>
      </c>
      <c r="W514" t="b">
        <v>0</v>
      </c>
      <c r="X514">
        <v>0.5</v>
      </c>
      <c r="Y514">
        <v>8.1999999999999993</v>
      </c>
      <c r="Z514">
        <v>3</v>
      </c>
      <c r="AA514">
        <v>12.1</v>
      </c>
      <c r="AB514" s="3">
        <v>41.89</v>
      </c>
      <c r="AC514" s="3"/>
      <c r="AD514">
        <v>3</v>
      </c>
      <c r="AE514" t="s">
        <v>46</v>
      </c>
      <c r="AF514" s="4"/>
    </row>
    <row r="515" spans="1:32" x14ac:dyDescent="0.3">
      <c r="A515" t="s">
        <v>606</v>
      </c>
      <c r="B515">
        <v>24</v>
      </c>
      <c r="C515" t="str">
        <f t="shared" ref="C515:C578" si="8">IF(B515&lt;=19,"Teenager",IF(B515&lt;=30,"Young Adults",IF(B515&gt;30,"Old Adults")))</f>
        <v>Young Adults</v>
      </c>
      <c r="D515" t="s">
        <v>53</v>
      </c>
      <c r="E515">
        <v>3.7</v>
      </c>
      <c r="G515" t="s">
        <v>82</v>
      </c>
      <c r="H515" t="s">
        <v>167</v>
      </c>
      <c r="I515" t="s">
        <v>86</v>
      </c>
      <c r="J515">
        <v>6.1</v>
      </c>
      <c r="L515" t="s">
        <v>43</v>
      </c>
      <c r="M515" t="s">
        <v>45</v>
      </c>
      <c r="N515" t="s">
        <v>43</v>
      </c>
      <c r="P515">
        <v>1</v>
      </c>
      <c r="Q515" t="s">
        <v>80</v>
      </c>
      <c r="R515" t="s">
        <v>36</v>
      </c>
      <c r="S515" t="b">
        <v>0</v>
      </c>
      <c r="T515" t="b">
        <v>0</v>
      </c>
      <c r="U515" t="b">
        <v>0</v>
      </c>
      <c r="V515" t="b">
        <v>0</v>
      </c>
      <c r="W515" t="b">
        <v>0</v>
      </c>
      <c r="X515">
        <v>2.1</v>
      </c>
      <c r="Y515">
        <v>6.1</v>
      </c>
      <c r="Z515">
        <v>3</v>
      </c>
      <c r="AA515">
        <v>10.8</v>
      </c>
      <c r="AB515" s="3">
        <v>7.4</v>
      </c>
      <c r="AC515" s="3"/>
      <c r="AD515">
        <v>3</v>
      </c>
      <c r="AE515" t="s">
        <v>46</v>
      </c>
      <c r="AF515" s="4"/>
    </row>
    <row r="516" spans="1:32" x14ac:dyDescent="0.3">
      <c r="A516" t="s">
        <v>607</v>
      </c>
      <c r="B516">
        <v>15</v>
      </c>
      <c r="C516" t="str">
        <f t="shared" si="8"/>
        <v>Teenager</v>
      </c>
      <c r="D516" t="s">
        <v>28</v>
      </c>
      <c r="E516">
        <v>11.2</v>
      </c>
      <c r="G516" t="s">
        <v>82</v>
      </c>
      <c r="H516" t="s">
        <v>83</v>
      </c>
      <c r="I516" t="s">
        <v>50</v>
      </c>
      <c r="J516">
        <v>3.4</v>
      </c>
      <c r="L516" t="s">
        <v>32</v>
      </c>
      <c r="M516" t="s">
        <v>33</v>
      </c>
      <c r="N516" t="s">
        <v>34</v>
      </c>
      <c r="O516">
        <v>2.41</v>
      </c>
      <c r="Q516" t="s">
        <v>44</v>
      </c>
      <c r="R516" t="s">
        <v>36</v>
      </c>
      <c r="S516" t="b">
        <v>1</v>
      </c>
      <c r="T516" t="b">
        <v>0</v>
      </c>
      <c r="U516" t="b">
        <v>0</v>
      </c>
      <c r="V516" t="b">
        <v>0</v>
      </c>
      <c r="W516" t="b">
        <v>0</v>
      </c>
      <c r="X516">
        <v>3</v>
      </c>
      <c r="Y516">
        <v>4.5999999999999996</v>
      </c>
      <c r="Z516">
        <v>8</v>
      </c>
      <c r="AA516">
        <v>0.6</v>
      </c>
      <c r="AB516" s="3">
        <v>436.35</v>
      </c>
      <c r="AC516" s="3"/>
      <c r="AD516">
        <v>5</v>
      </c>
      <c r="AE516" t="s">
        <v>58</v>
      </c>
      <c r="AF516" s="4"/>
    </row>
    <row r="517" spans="1:32" x14ac:dyDescent="0.3">
      <c r="A517" t="s">
        <v>608</v>
      </c>
      <c r="B517">
        <v>17</v>
      </c>
      <c r="C517" t="str">
        <f t="shared" si="8"/>
        <v>Teenager</v>
      </c>
      <c r="D517" t="s">
        <v>28</v>
      </c>
      <c r="E517">
        <v>6.3</v>
      </c>
      <c r="G517" t="s">
        <v>60</v>
      </c>
      <c r="H517" t="s">
        <v>96</v>
      </c>
      <c r="I517" t="s">
        <v>50</v>
      </c>
      <c r="J517">
        <v>6.2</v>
      </c>
      <c r="L517" t="s">
        <v>51</v>
      </c>
      <c r="M517" t="s">
        <v>45</v>
      </c>
      <c r="N517" t="s">
        <v>62</v>
      </c>
      <c r="O517">
        <v>2.2000000000000002</v>
      </c>
      <c r="Q517" t="s">
        <v>66</v>
      </c>
      <c r="R517" t="s">
        <v>42</v>
      </c>
      <c r="S517" t="b">
        <v>0</v>
      </c>
      <c r="T517" t="b">
        <v>1</v>
      </c>
      <c r="U517" t="b">
        <v>0</v>
      </c>
      <c r="V517" t="b">
        <v>0</v>
      </c>
      <c r="W517" t="b">
        <v>1</v>
      </c>
      <c r="X517">
        <v>0.1</v>
      </c>
      <c r="Y517">
        <v>7.1</v>
      </c>
      <c r="Z517">
        <v>4</v>
      </c>
      <c r="AA517">
        <v>9.9</v>
      </c>
      <c r="AB517" s="3">
        <v>85.83</v>
      </c>
      <c r="AC517" s="3"/>
      <c r="AD517">
        <v>3</v>
      </c>
      <c r="AE517" t="s">
        <v>64</v>
      </c>
      <c r="AF517" s="4"/>
    </row>
    <row r="518" spans="1:32" x14ac:dyDescent="0.3">
      <c r="A518" t="s">
        <v>609</v>
      </c>
      <c r="B518">
        <v>20</v>
      </c>
      <c r="C518" t="str">
        <f t="shared" si="8"/>
        <v>Young Adults</v>
      </c>
      <c r="D518" t="s">
        <v>28</v>
      </c>
      <c r="E518">
        <v>12.2</v>
      </c>
      <c r="G518" t="s">
        <v>60</v>
      </c>
      <c r="H518" t="s">
        <v>61</v>
      </c>
      <c r="I518" t="s">
        <v>71</v>
      </c>
      <c r="J518">
        <v>5.3</v>
      </c>
      <c r="L518" t="s">
        <v>32</v>
      </c>
      <c r="M518" t="s">
        <v>42</v>
      </c>
      <c r="N518" t="s">
        <v>34</v>
      </c>
      <c r="O518">
        <v>3.3</v>
      </c>
      <c r="P518">
        <v>9</v>
      </c>
      <c r="Q518" t="s">
        <v>44</v>
      </c>
      <c r="R518" t="s">
        <v>57</v>
      </c>
      <c r="S518" t="b">
        <v>1</v>
      </c>
      <c r="T518" t="b">
        <v>0</v>
      </c>
      <c r="U518" t="b">
        <v>0</v>
      </c>
      <c r="V518" t="b">
        <v>1</v>
      </c>
      <c r="W518" t="b">
        <v>1</v>
      </c>
      <c r="X518">
        <v>1.2</v>
      </c>
      <c r="Y518">
        <v>4.0999999999999996</v>
      </c>
      <c r="Z518">
        <v>7</v>
      </c>
      <c r="AA518">
        <v>0.5</v>
      </c>
      <c r="AB518" s="3">
        <v>343.9</v>
      </c>
      <c r="AC518" s="3"/>
      <c r="AD518">
        <v>8</v>
      </c>
      <c r="AE518" t="s">
        <v>58</v>
      </c>
      <c r="AF518" s="4"/>
    </row>
    <row r="519" spans="1:32" x14ac:dyDescent="0.3">
      <c r="A519" t="s">
        <v>610</v>
      </c>
      <c r="B519">
        <v>20</v>
      </c>
      <c r="C519" t="str">
        <f t="shared" si="8"/>
        <v>Young Adults</v>
      </c>
      <c r="D519" t="s">
        <v>28</v>
      </c>
      <c r="E519">
        <v>5.4</v>
      </c>
      <c r="G519" t="s">
        <v>76</v>
      </c>
      <c r="H519" t="s">
        <v>77</v>
      </c>
      <c r="I519" t="s">
        <v>86</v>
      </c>
      <c r="J519">
        <v>5.9</v>
      </c>
      <c r="L519" t="s">
        <v>32</v>
      </c>
      <c r="M519" t="s">
        <v>45</v>
      </c>
      <c r="N519" t="s">
        <v>51</v>
      </c>
      <c r="O519">
        <v>1.63</v>
      </c>
      <c r="P519">
        <v>10</v>
      </c>
      <c r="Q519" t="s">
        <v>35</v>
      </c>
      <c r="R519" t="s">
        <v>36</v>
      </c>
      <c r="S519" t="b">
        <v>0</v>
      </c>
      <c r="T519" t="b">
        <v>0</v>
      </c>
      <c r="U519" t="b">
        <v>0</v>
      </c>
      <c r="V519" t="b">
        <v>1</v>
      </c>
      <c r="W519" t="b">
        <v>0</v>
      </c>
      <c r="X519">
        <v>0.2</v>
      </c>
      <c r="Y519">
        <v>6.9</v>
      </c>
      <c r="Z519">
        <v>3</v>
      </c>
      <c r="AA519">
        <v>9.9</v>
      </c>
      <c r="AB519" s="3">
        <v>114.75</v>
      </c>
      <c r="AC519" s="3"/>
      <c r="AD519">
        <v>9</v>
      </c>
      <c r="AE519" t="s">
        <v>46</v>
      </c>
      <c r="AF519" s="4"/>
    </row>
    <row r="520" spans="1:32" x14ac:dyDescent="0.3">
      <c r="A520" t="s">
        <v>611</v>
      </c>
      <c r="B520">
        <v>16</v>
      </c>
      <c r="C520" t="str">
        <f t="shared" si="8"/>
        <v>Teenager</v>
      </c>
      <c r="D520" t="s">
        <v>28</v>
      </c>
      <c r="E520">
        <v>7.8</v>
      </c>
      <c r="G520" t="s">
        <v>39</v>
      </c>
      <c r="H520" t="s">
        <v>120</v>
      </c>
      <c r="I520" t="s">
        <v>86</v>
      </c>
      <c r="J520">
        <v>3.1</v>
      </c>
      <c r="L520" t="s">
        <v>41</v>
      </c>
      <c r="M520" t="s">
        <v>36</v>
      </c>
      <c r="N520" t="s">
        <v>43</v>
      </c>
      <c r="O520">
        <v>1.33</v>
      </c>
      <c r="Q520" t="s">
        <v>44</v>
      </c>
      <c r="R520" t="s">
        <v>45</v>
      </c>
      <c r="S520" t="b">
        <v>1</v>
      </c>
      <c r="T520" t="b">
        <v>0</v>
      </c>
      <c r="U520" t="b">
        <v>1</v>
      </c>
      <c r="V520" t="b">
        <v>1</v>
      </c>
      <c r="W520" t="b">
        <v>1</v>
      </c>
      <c r="X520">
        <v>0.5</v>
      </c>
      <c r="Y520">
        <v>4.5</v>
      </c>
      <c r="Z520">
        <v>5</v>
      </c>
      <c r="AA520">
        <v>6</v>
      </c>
      <c r="AB520" s="3">
        <v>50.64</v>
      </c>
      <c r="AC520" s="3"/>
      <c r="AD520">
        <v>2</v>
      </c>
      <c r="AE520" t="s">
        <v>58</v>
      </c>
      <c r="AF520" s="4"/>
    </row>
    <row r="521" spans="1:32" x14ac:dyDescent="0.3">
      <c r="A521" t="s">
        <v>612</v>
      </c>
      <c r="B521">
        <v>21</v>
      </c>
      <c r="C521" t="str">
        <f t="shared" si="8"/>
        <v>Young Adults</v>
      </c>
      <c r="D521" t="s">
        <v>28</v>
      </c>
      <c r="E521">
        <v>3.1</v>
      </c>
      <c r="G521" t="s">
        <v>29</v>
      </c>
      <c r="H521" t="s">
        <v>30</v>
      </c>
      <c r="I521" t="s">
        <v>71</v>
      </c>
      <c r="J521">
        <v>8.6999999999999993</v>
      </c>
      <c r="L521" t="s">
        <v>51</v>
      </c>
      <c r="M521" t="s">
        <v>45</v>
      </c>
      <c r="N521" t="s">
        <v>62</v>
      </c>
      <c r="O521">
        <v>3.87</v>
      </c>
      <c r="P521">
        <v>1</v>
      </c>
      <c r="Q521" t="s">
        <v>66</v>
      </c>
      <c r="R521" t="s">
        <v>57</v>
      </c>
      <c r="S521" t="b">
        <v>0</v>
      </c>
      <c r="T521" t="b">
        <v>0</v>
      </c>
      <c r="U521" t="b">
        <v>0</v>
      </c>
      <c r="V521" t="b">
        <v>0</v>
      </c>
      <c r="W521" t="b">
        <v>0</v>
      </c>
      <c r="X521">
        <v>0.5</v>
      </c>
      <c r="Y521">
        <v>7</v>
      </c>
      <c r="Z521">
        <v>1</v>
      </c>
      <c r="AA521">
        <v>11.2</v>
      </c>
      <c r="AB521" s="3">
        <v>1.5</v>
      </c>
      <c r="AC521" s="3"/>
      <c r="AD521">
        <v>8</v>
      </c>
      <c r="AE521" t="s">
        <v>46</v>
      </c>
      <c r="AF521" s="4"/>
    </row>
    <row r="522" spans="1:32" x14ac:dyDescent="0.3">
      <c r="A522" t="s">
        <v>613</v>
      </c>
      <c r="B522">
        <v>24</v>
      </c>
      <c r="C522" t="str">
        <f t="shared" si="8"/>
        <v>Young Adults</v>
      </c>
      <c r="D522" t="s">
        <v>28</v>
      </c>
      <c r="E522">
        <v>8.1999999999999993</v>
      </c>
      <c r="G522" t="s">
        <v>82</v>
      </c>
      <c r="H522" t="s">
        <v>83</v>
      </c>
      <c r="I522" t="s">
        <v>50</v>
      </c>
      <c r="J522">
        <v>3.6</v>
      </c>
      <c r="L522" t="s">
        <v>41</v>
      </c>
      <c r="M522" t="s">
        <v>33</v>
      </c>
      <c r="N522" t="s">
        <v>51</v>
      </c>
      <c r="P522">
        <v>10</v>
      </c>
      <c r="Q522" t="s">
        <v>63</v>
      </c>
      <c r="R522" t="s">
        <v>42</v>
      </c>
      <c r="S522" t="b">
        <v>0</v>
      </c>
      <c r="T522" t="b">
        <v>0</v>
      </c>
      <c r="U522" t="b">
        <v>1</v>
      </c>
      <c r="V522" t="b">
        <v>1</v>
      </c>
      <c r="W522" t="b">
        <v>1</v>
      </c>
      <c r="X522">
        <v>2.1</v>
      </c>
      <c r="Y522">
        <v>4.0999999999999996</v>
      </c>
      <c r="Z522">
        <v>6</v>
      </c>
      <c r="AA522">
        <v>5.9</v>
      </c>
      <c r="AB522" s="3">
        <v>29</v>
      </c>
      <c r="AC522" s="3"/>
      <c r="AD522">
        <v>2</v>
      </c>
      <c r="AE522" t="s">
        <v>64</v>
      </c>
      <c r="AF522" s="4"/>
    </row>
    <row r="523" spans="1:32" x14ac:dyDescent="0.3">
      <c r="A523" t="s">
        <v>614</v>
      </c>
      <c r="B523">
        <v>20</v>
      </c>
      <c r="C523" t="str">
        <f t="shared" si="8"/>
        <v>Young Adults</v>
      </c>
      <c r="D523" t="s">
        <v>28</v>
      </c>
      <c r="E523">
        <v>6.6</v>
      </c>
      <c r="G523" t="s">
        <v>76</v>
      </c>
      <c r="H523" t="s">
        <v>77</v>
      </c>
      <c r="I523" t="s">
        <v>71</v>
      </c>
      <c r="J523">
        <v>4.9000000000000004</v>
      </c>
      <c r="L523" t="s">
        <v>51</v>
      </c>
      <c r="M523" t="s">
        <v>74</v>
      </c>
      <c r="N523" t="s">
        <v>34</v>
      </c>
      <c r="O523">
        <v>2.86</v>
      </c>
      <c r="P523">
        <v>1</v>
      </c>
      <c r="Q523" t="s">
        <v>66</v>
      </c>
      <c r="R523" t="s">
        <v>42</v>
      </c>
      <c r="S523" t="b">
        <v>1</v>
      </c>
      <c r="T523" t="b">
        <v>1</v>
      </c>
      <c r="U523" t="b">
        <v>0</v>
      </c>
      <c r="V523" t="b">
        <v>1</v>
      </c>
      <c r="W523" t="b">
        <v>0</v>
      </c>
      <c r="X523">
        <v>2.5</v>
      </c>
      <c r="Y523">
        <v>6.8</v>
      </c>
      <c r="Z523">
        <v>5</v>
      </c>
      <c r="AA523">
        <v>6.9</v>
      </c>
      <c r="AB523" s="3">
        <v>35.07</v>
      </c>
      <c r="AC523" s="3"/>
      <c r="AD523">
        <v>6</v>
      </c>
      <c r="AE523" t="s">
        <v>58</v>
      </c>
      <c r="AF523" s="4"/>
    </row>
    <row r="524" spans="1:32" x14ac:dyDescent="0.3">
      <c r="A524" t="s">
        <v>615</v>
      </c>
      <c r="B524">
        <v>21</v>
      </c>
      <c r="C524" t="str">
        <f t="shared" si="8"/>
        <v>Young Adults</v>
      </c>
      <c r="D524" t="s">
        <v>53</v>
      </c>
      <c r="E524">
        <v>9.1</v>
      </c>
      <c r="G524" t="s">
        <v>39</v>
      </c>
      <c r="H524" t="s">
        <v>93</v>
      </c>
      <c r="I524" t="s">
        <v>86</v>
      </c>
      <c r="J524">
        <v>4.7</v>
      </c>
      <c r="L524" t="s">
        <v>51</v>
      </c>
      <c r="M524" t="s">
        <v>36</v>
      </c>
      <c r="N524" t="s">
        <v>51</v>
      </c>
      <c r="O524">
        <v>3.33</v>
      </c>
      <c r="P524">
        <v>5</v>
      </c>
      <c r="Q524" t="s">
        <v>35</v>
      </c>
      <c r="R524" t="s">
        <v>45</v>
      </c>
      <c r="S524" t="b">
        <v>0</v>
      </c>
      <c r="T524" t="b">
        <v>0</v>
      </c>
      <c r="U524" t="b">
        <v>1</v>
      </c>
      <c r="V524" t="b">
        <v>0</v>
      </c>
      <c r="W524" t="b">
        <v>1</v>
      </c>
      <c r="X524">
        <v>0.3</v>
      </c>
      <c r="Y524">
        <v>4.3</v>
      </c>
      <c r="Z524">
        <v>6</v>
      </c>
      <c r="AA524">
        <v>4.0999999999999996</v>
      </c>
      <c r="AB524" s="3">
        <v>479.29</v>
      </c>
      <c r="AC524" s="3"/>
      <c r="AD524">
        <v>7</v>
      </c>
      <c r="AE524" t="s">
        <v>58</v>
      </c>
      <c r="AF524" s="4"/>
    </row>
    <row r="525" spans="1:32" x14ac:dyDescent="0.3">
      <c r="A525" t="s">
        <v>616</v>
      </c>
      <c r="B525">
        <v>17</v>
      </c>
      <c r="C525" t="str">
        <f t="shared" si="8"/>
        <v>Teenager</v>
      </c>
      <c r="D525" t="s">
        <v>28</v>
      </c>
      <c r="E525">
        <v>4.5999999999999996</v>
      </c>
      <c r="G525" t="s">
        <v>48</v>
      </c>
      <c r="H525" t="s">
        <v>128</v>
      </c>
      <c r="I525" t="s">
        <v>50</v>
      </c>
      <c r="J525">
        <v>6.2</v>
      </c>
      <c r="L525" t="s">
        <v>43</v>
      </c>
      <c r="M525" t="s">
        <v>33</v>
      </c>
      <c r="N525" t="s">
        <v>62</v>
      </c>
      <c r="O525">
        <v>1.61</v>
      </c>
      <c r="Q525" t="s">
        <v>80</v>
      </c>
      <c r="R525" t="s">
        <v>36</v>
      </c>
      <c r="S525" t="b">
        <v>0</v>
      </c>
      <c r="T525" t="b">
        <v>0</v>
      </c>
      <c r="U525" t="b">
        <v>0</v>
      </c>
      <c r="V525" t="b">
        <v>0</v>
      </c>
      <c r="W525" t="b">
        <v>0</v>
      </c>
      <c r="X525">
        <v>2.5</v>
      </c>
      <c r="Y525">
        <v>9.1</v>
      </c>
      <c r="Z525">
        <v>6</v>
      </c>
      <c r="AA525">
        <v>8.6</v>
      </c>
      <c r="AB525" s="3">
        <v>40.53</v>
      </c>
      <c r="AC525" s="3"/>
      <c r="AD525">
        <v>4</v>
      </c>
      <c r="AE525" t="s">
        <v>46</v>
      </c>
      <c r="AF525" s="4"/>
    </row>
    <row r="526" spans="1:32" x14ac:dyDescent="0.3">
      <c r="A526" t="s">
        <v>617</v>
      </c>
      <c r="B526">
        <v>19</v>
      </c>
      <c r="C526" t="str">
        <f t="shared" si="8"/>
        <v>Teenager</v>
      </c>
      <c r="D526" t="s">
        <v>28</v>
      </c>
      <c r="E526">
        <v>7.3</v>
      </c>
      <c r="G526" t="s">
        <v>82</v>
      </c>
      <c r="H526" t="s">
        <v>167</v>
      </c>
      <c r="I526" t="s">
        <v>71</v>
      </c>
      <c r="J526">
        <v>3.2</v>
      </c>
      <c r="L526" t="s">
        <v>41</v>
      </c>
      <c r="M526" t="s">
        <v>42</v>
      </c>
      <c r="N526" t="s">
        <v>51</v>
      </c>
      <c r="O526">
        <v>3.31</v>
      </c>
      <c r="P526">
        <v>3</v>
      </c>
      <c r="Q526" t="s">
        <v>35</v>
      </c>
      <c r="R526" t="s">
        <v>57</v>
      </c>
      <c r="S526" t="b">
        <v>1</v>
      </c>
      <c r="T526" t="b">
        <v>1</v>
      </c>
      <c r="U526" t="b">
        <v>0</v>
      </c>
      <c r="V526" t="b">
        <v>1</v>
      </c>
      <c r="W526" t="b">
        <v>1</v>
      </c>
      <c r="X526">
        <v>1.4</v>
      </c>
      <c r="Y526">
        <v>5.3</v>
      </c>
      <c r="Z526">
        <v>4</v>
      </c>
      <c r="AA526">
        <v>7.1</v>
      </c>
      <c r="AB526" s="3">
        <v>84.52</v>
      </c>
      <c r="AC526" s="3"/>
      <c r="AD526">
        <v>4</v>
      </c>
      <c r="AE526" t="s">
        <v>58</v>
      </c>
      <c r="AF526" s="4"/>
    </row>
    <row r="527" spans="1:32" x14ac:dyDescent="0.3">
      <c r="A527" t="s">
        <v>618</v>
      </c>
      <c r="B527">
        <v>16</v>
      </c>
      <c r="C527" t="str">
        <f t="shared" si="8"/>
        <v>Teenager</v>
      </c>
      <c r="D527" t="s">
        <v>28</v>
      </c>
      <c r="E527">
        <v>1.7</v>
      </c>
      <c r="G527" t="s">
        <v>48</v>
      </c>
      <c r="H527" t="s">
        <v>128</v>
      </c>
      <c r="I527" t="s">
        <v>50</v>
      </c>
      <c r="J527">
        <v>8.1999999999999993</v>
      </c>
      <c r="L527" t="s">
        <v>51</v>
      </c>
      <c r="M527" t="s">
        <v>33</v>
      </c>
      <c r="N527" t="s">
        <v>84</v>
      </c>
      <c r="O527">
        <v>3.03</v>
      </c>
      <c r="Q527" t="s">
        <v>121</v>
      </c>
      <c r="R527" t="s">
        <v>42</v>
      </c>
      <c r="S527" t="b">
        <v>0</v>
      </c>
      <c r="T527" t="b">
        <v>0</v>
      </c>
      <c r="U527" t="b">
        <v>0</v>
      </c>
      <c r="V527" t="b">
        <v>0</v>
      </c>
      <c r="W527" t="b">
        <v>0</v>
      </c>
      <c r="X527">
        <v>0.8</v>
      </c>
      <c r="Y527">
        <v>7.6</v>
      </c>
      <c r="Z527">
        <v>1</v>
      </c>
      <c r="AA527">
        <v>9.6999999999999993</v>
      </c>
      <c r="AB527" s="3">
        <v>12.32</v>
      </c>
      <c r="AC527" s="3"/>
      <c r="AD527">
        <v>4</v>
      </c>
      <c r="AE527" t="s">
        <v>46</v>
      </c>
      <c r="AF527" s="4"/>
    </row>
    <row r="528" spans="1:32" x14ac:dyDescent="0.3">
      <c r="A528" t="s">
        <v>619</v>
      </c>
      <c r="B528">
        <v>18</v>
      </c>
      <c r="C528" t="str">
        <f t="shared" si="8"/>
        <v>Teenager</v>
      </c>
      <c r="D528" t="s">
        <v>28</v>
      </c>
      <c r="E528">
        <v>4.3</v>
      </c>
      <c r="G528" t="s">
        <v>48</v>
      </c>
      <c r="H528" t="s">
        <v>214</v>
      </c>
      <c r="I528" t="s">
        <v>71</v>
      </c>
      <c r="J528">
        <v>6.9</v>
      </c>
      <c r="L528" t="s">
        <v>41</v>
      </c>
      <c r="M528" t="s">
        <v>33</v>
      </c>
      <c r="N528" t="s">
        <v>34</v>
      </c>
      <c r="O528">
        <v>3.2</v>
      </c>
      <c r="Q528" t="s">
        <v>69</v>
      </c>
      <c r="R528" t="s">
        <v>33</v>
      </c>
      <c r="S528" t="b">
        <v>0</v>
      </c>
      <c r="T528" t="b">
        <v>0</v>
      </c>
      <c r="U528" t="b">
        <v>0</v>
      </c>
      <c r="V528" t="b">
        <v>0</v>
      </c>
      <c r="W528" t="b">
        <v>0</v>
      </c>
      <c r="X528">
        <v>0</v>
      </c>
      <c r="Y528">
        <v>9.5</v>
      </c>
      <c r="Z528">
        <v>4</v>
      </c>
      <c r="AA528">
        <v>9</v>
      </c>
      <c r="AB528" s="3">
        <v>32.71</v>
      </c>
      <c r="AC528" s="3"/>
      <c r="AD528">
        <v>5</v>
      </c>
      <c r="AE528" t="s">
        <v>46</v>
      </c>
      <c r="AF528" s="4"/>
    </row>
    <row r="529" spans="1:32" x14ac:dyDescent="0.3">
      <c r="A529" t="s">
        <v>620</v>
      </c>
      <c r="B529">
        <v>21</v>
      </c>
      <c r="C529" t="str">
        <f t="shared" si="8"/>
        <v>Young Adults</v>
      </c>
      <c r="D529" t="s">
        <v>28</v>
      </c>
      <c r="E529">
        <v>1.3</v>
      </c>
      <c r="G529" t="s">
        <v>48</v>
      </c>
      <c r="H529" t="s">
        <v>214</v>
      </c>
      <c r="I529" t="s">
        <v>50</v>
      </c>
      <c r="J529">
        <v>8.5</v>
      </c>
      <c r="L529" t="s">
        <v>41</v>
      </c>
      <c r="M529" t="s">
        <v>45</v>
      </c>
      <c r="N529" t="s">
        <v>62</v>
      </c>
      <c r="O529">
        <v>3.92</v>
      </c>
      <c r="P529">
        <v>8</v>
      </c>
      <c r="Q529" t="s">
        <v>121</v>
      </c>
      <c r="R529" t="s">
        <v>36</v>
      </c>
      <c r="S529" t="b">
        <v>0</v>
      </c>
      <c r="T529" t="b">
        <v>0</v>
      </c>
      <c r="U529" t="b">
        <v>0</v>
      </c>
      <c r="V529" t="b">
        <v>0</v>
      </c>
      <c r="W529" t="b">
        <v>0</v>
      </c>
      <c r="X529">
        <v>0.1</v>
      </c>
      <c r="Y529">
        <v>9.1999999999999993</v>
      </c>
      <c r="Z529">
        <v>1</v>
      </c>
      <c r="AA529">
        <v>12.2</v>
      </c>
      <c r="AB529" s="3">
        <v>44.99</v>
      </c>
      <c r="AC529" s="3"/>
      <c r="AD529">
        <v>11</v>
      </c>
      <c r="AE529" t="s">
        <v>46</v>
      </c>
      <c r="AF529" s="4"/>
    </row>
    <row r="530" spans="1:32" x14ac:dyDescent="0.3">
      <c r="A530" t="s">
        <v>621</v>
      </c>
      <c r="B530">
        <v>25</v>
      </c>
      <c r="C530" t="str">
        <f t="shared" si="8"/>
        <v>Young Adults</v>
      </c>
      <c r="D530" t="s">
        <v>28</v>
      </c>
      <c r="E530">
        <v>10.4</v>
      </c>
      <c r="G530" t="s">
        <v>76</v>
      </c>
      <c r="H530" t="s">
        <v>110</v>
      </c>
      <c r="I530" t="s">
        <v>71</v>
      </c>
      <c r="J530">
        <v>4.3</v>
      </c>
      <c r="L530" t="s">
        <v>41</v>
      </c>
      <c r="M530" t="s">
        <v>45</v>
      </c>
      <c r="N530" t="s">
        <v>51</v>
      </c>
      <c r="P530">
        <v>3</v>
      </c>
      <c r="Q530" t="s">
        <v>80</v>
      </c>
      <c r="R530" t="s">
        <v>33</v>
      </c>
      <c r="S530" t="b">
        <v>1</v>
      </c>
      <c r="T530" t="b">
        <v>1</v>
      </c>
      <c r="U530" t="b">
        <v>0</v>
      </c>
      <c r="V530" t="b">
        <v>1</v>
      </c>
      <c r="W530" t="b">
        <v>0</v>
      </c>
      <c r="X530">
        <v>5</v>
      </c>
      <c r="Y530">
        <v>6.4</v>
      </c>
      <c r="Z530">
        <v>5</v>
      </c>
      <c r="AA530">
        <v>0.6</v>
      </c>
      <c r="AB530" s="3">
        <v>61.9</v>
      </c>
      <c r="AC530" s="3"/>
      <c r="AD530">
        <v>11</v>
      </c>
      <c r="AE530" t="s">
        <v>37</v>
      </c>
      <c r="AF530" s="4"/>
    </row>
    <row r="531" spans="1:32" x14ac:dyDescent="0.3">
      <c r="A531" t="s">
        <v>622</v>
      </c>
      <c r="B531">
        <v>20</v>
      </c>
      <c r="C531" t="str">
        <f t="shared" si="8"/>
        <v>Young Adults</v>
      </c>
      <c r="D531" t="s">
        <v>53</v>
      </c>
      <c r="E531">
        <v>10.1</v>
      </c>
      <c r="G531" t="s">
        <v>39</v>
      </c>
      <c r="H531" t="s">
        <v>40</v>
      </c>
      <c r="I531" t="s">
        <v>86</v>
      </c>
      <c r="J531">
        <v>5.7</v>
      </c>
      <c r="L531" t="s">
        <v>32</v>
      </c>
      <c r="M531" t="s">
        <v>74</v>
      </c>
      <c r="N531" t="s">
        <v>34</v>
      </c>
      <c r="O531">
        <v>2.09</v>
      </c>
      <c r="P531">
        <v>1</v>
      </c>
      <c r="Q531" t="s">
        <v>105</v>
      </c>
      <c r="R531" t="s">
        <v>45</v>
      </c>
      <c r="S531" t="b">
        <v>1</v>
      </c>
      <c r="T531" t="b">
        <v>1</v>
      </c>
      <c r="U531" t="b">
        <v>1</v>
      </c>
      <c r="V531" t="b">
        <v>1</v>
      </c>
      <c r="W531" t="b">
        <v>1</v>
      </c>
      <c r="X531">
        <v>8.9</v>
      </c>
      <c r="Y531">
        <v>3.6</v>
      </c>
      <c r="Z531">
        <v>8</v>
      </c>
      <c r="AA531">
        <v>5.2</v>
      </c>
      <c r="AB531" s="3">
        <v>350.42</v>
      </c>
      <c r="AC531" s="3"/>
      <c r="AD531">
        <v>6</v>
      </c>
      <c r="AE531" t="s">
        <v>37</v>
      </c>
      <c r="AF531" s="4"/>
    </row>
    <row r="532" spans="1:32" x14ac:dyDescent="0.3">
      <c r="A532" t="s">
        <v>623</v>
      </c>
      <c r="B532">
        <v>20</v>
      </c>
      <c r="C532" t="str">
        <f t="shared" si="8"/>
        <v>Young Adults</v>
      </c>
      <c r="D532" t="s">
        <v>53</v>
      </c>
      <c r="E532">
        <v>5.8</v>
      </c>
      <c r="G532" t="s">
        <v>29</v>
      </c>
      <c r="H532" t="s">
        <v>73</v>
      </c>
      <c r="I532" t="s">
        <v>71</v>
      </c>
      <c r="J532">
        <v>6.3</v>
      </c>
      <c r="L532" t="s">
        <v>32</v>
      </c>
      <c r="M532" t="s">
        <v>42</v>
      </c>
      <c r="N532" t="s">
        <v>62</v>
      </c>
      <c r="O532">
        <v>1.63</v>
      </c>
      <c r="P532">
        <v>3</v>
      </c>
      <c r="Q532" t="s">
        <v>69</v>
      </c>
      <c r="R532" t="s">
        <v>57</v>
      </c>
      <c r="S532" t="b">
        <v>0</v>
      </c>
      <c r="T532" t="b">
        <v>0</v>
      </c>
      <c r="U532" t="b">
        <v>0</v>
      </c>
      <c r="V532" t="b">
        <v>0</v>
      </c>
      <c r="W532" t="b">
        <v>0</v>
      </c>
      <c r="X532">
        <v>2.4</v>
      </c>
      <c r="Y532">
        <v>8.8000000000000007</v>
      </c>
      <c r="Z532">
        <v>5</v>
      </c>
      <c r="AA532">
        <v>7.8</v>
      </c>
      <c r="AB532" s="3">
        <v>124.29</v>
      </c>
      <c r="AC532" s="3"/>
      <c r="AD532">
        <v>7</v>
      </c>
      <c r="AE532" t="s">
        <v>46</v>
      </c>
      <c r="AF532" s="4"/>
    </row>
    <row r="533" spans="1:32" x14ac:dyDescent="0.3">
      <c r="A533" t="s">
        <v>624</v>
      </c>
      <c r="B533">
        <v>18</v>
      </c>
      <c r="C533" t="str">
        <f t="shared" si="8"/>
        <v>Teenager</v>
      </c>
      <c r="D533" t="s">
        <v>28</v>
      </c>
      <c r="E533">
        <v>2.5</v>
      </c>
      <c r="G533" t="s">
        <v>29</v>
      </c>
      <c r="H533" t="s">
        <v>30</v>
      </c>
      <c r="I533" t="s">
        <v>86</v>
      </c>
      <c r="J533">
        <v>8.9</v>
      </c>
      <c r="L533" t="s">
        <v>43</v>
      </c>
      <c r="M533" t="s">
        <v>45</v>
      </c>
      <c r="N533" t="s">
        <v>62</v>
      </c>
      <c r="O533">
        <v>1.57</v>
      </c>
      <c r="Q533" t="s">
        <v>66</v>
      </c>
      <c r="R533" t="s">
        <v>57</v>
      </c>
      <c r="S533" t="b">
        <v>0</v>
      </c>
      <c r="T533" t="b">
        <v>0</v>
      </c>
      <c r="U533" t="b">
        <v>0</v>
      </c>
      <c r="V533" t="b">
        <v>0</v>
      </c>
      <c r="W533" t="b">
        <v>0</v>
      </c>
      <c r="X533">
        <v>0.5</v>
      </c>
      <c r="Y533">
        <v>10.4</v>
      </c>
      <c r="Z533">
        <v>1</v>
      </c>
      <c r="AA533">
        <v>12.3</v>
      </c>
      <c r="AB533" s="3">
        <v>30.97</v>
      </c>
      <c r="AC533" s="3"/>
      <c r="AD533">
        <v>5</v>
      </c>
      <c r="AE533" t="s">
        <v>46</v>
      </c>
      <c r="AF533" s="4"/>
    </row>
    <row r="534" spans="1:32" x14ac:dyDescent="0.3">
      <c r="A534" t="s">
        <v>625</v>
      </c>
      <c r="B534">
        <v>18</v>
      </c>
      <c r="C534" t="str">
        <f t="shared" si="8"/>
        <v>Teenager</v>
      </c>
      <c r="D534" t="s">
        <v>28</v>
      </c>
      <c r="E534">
        <v>2.6</v>
      </c>
      <c r="G534" t="s">
        <v>76</v>
      </c>
      <c r="H534" t="s">
        <v>77</v>
      </c>
      <c r="I534" t="s">
        <v>86</v>
      </c>
      <c r="J534">
        <v>8.8000000000000007</v>
      </c>
      <c r="L534" t="s">
        <v>43</v>
      </c>
      <c r="M534" t="s">
        <v>36</v>
      </c>
      <c r="N534" t="s">
        <v>84</v>
      </c>
      <c r="O534">
        <v>2.58</v>
      </c>
      <c r="Q534" t="s">
        <v>66</v>
      </c>
      <c r="R534" t="s">
        <v>36</v>
      </c>
      <c r="S534" t="b">
        <v>0</v>
      </c>
      <c r="T534" t="b">
        <v>0</v>
      </c>
      <c r="U534" t="b">
        <v>0</v>
      </c>
      <c r="V534" t="b">
        <v>0</v>
      </c>
      <c r="W534" t="b">
        <v>0</v>
      </c>
      <c r="X534">
        <v>0.2</v>
      </c>
      <c r="Y534">
        <v>10.1</v>
      </c>
      <c r="Z534">
        <v>2</v>
      </c>
      <c r="AA534">
        <v>12.4</v>
      </c>
      <c r="AB534" s="3">
        <v>26.71</v>
      </c>
      <c r="AC534" s="3"/>
      <c r="AD534">
        <v>7</v>
      </c>
      <c r="AE534" t="s">
        <v>46</v>
      </c>
      <c r="AF534" s="4"/>
    </row>
    <row r="535" spans="1:32" x14ac:dyDescent="0.3">
      <c r="A535" t="s">
        <v>626</v>
      </c>
      <c r="B535">
        <v>19</v>
      </c>
      <c r="C535" t="str">
        <f t="shared" si="8"/>
        <v>Teenager</v>
      </c>
      <c r="D535" t="s">
        <v>28</v>
      </c>
      <c r="E535">
        <v>10.199999999999999</v>
      </c>
      <c r="G535" t="s">
        <v>39</v>
      </c>
      <c r="H535" t="s">
        <v>93</v>
      </c>
      <c r="I535" t="s">
        <v>31</v>
      </c>
      <c r="J535">
        <v>3.3</v>
      </c>
      <c r="L535" t="s">
        <v>32</v>
      </c>
      <c r="M535" t="s">
        <v>42</v>
      </c>
      <c r="N535" t="s">
        <v>129</v>
      </c>
      <c r="O535">
        <v>3.44</v>
      </c>
      <c r="P535">
        <v>10</v>
      </c>
      <c r="Q535" t="s">
        <v>69</v>
      </c>
      <c r="R535" t="s">
        <v>57</v>
      </c>
      <c r="S535" t="b">
        <v>1</v>
      </c>
      <c r="T535" t="b">
        <v>0</v>
      </c>
      <c r="U535" t="b">
        <v>0</v>
      </c>
      <c r="V535" t="b">
        <v>0</v>
      </c>
      <c r="W535" t="b">
        <v>0</v>
      </c>
      <c r="X535">
        <v>0.8</v>
      </c>
      <c r="Y535">
        <v>6.9</v>
      </c>
      <c r="Z535">
        <v>7</v>
      </c>
      <c r="AA535">
        <v>3</v>
      </c>
      <c r="AB535" s="3">
        <v>207.43</v>
      </c>
      <c r="AC535" s="3"/>
      <c r="AD535">
        <v>1</v>
      </c>
      <c r="AE535" t="s">
        <v>58</v>
      </c>
      <c r="AF535" s="4"/>
    </row>
    <row r="536" spans="1:32" x14ac:dyDescent="0.3">
      <c r="A536" t="s">
        <v>627</v>
      </c>
      <c r="B536">
        <v>14</v>
      </c>
      <c r="C536" t="str">
        <f t="shared" si="8"/>
        <v>Teenager</v>
      </c>
      <c r="D536" t="s">
        <v>28</v>
      </c>
      <c r="E536">
        <v>5.8</v>
      </c>
      <c r="G536" t="s">
        <v>48</v>
      </c>
      <c r="H536" t="s">
        <v>49</v>
      </c>
      <c r="I536" t="s">
        <v>71</v>
      </c>
      <c r="J536">
        <v>6.2</v>
      </c>
      <c r="L536" t="s">
        <v>41</v>
      </c>
      <c r="M536" t="s">
        <v>36</v>
      </c>
      <c r="N536" t="s">
        <v>51</v>
      </c>
      <c r="O536">
        <v>2.69</v>
      </c>
      <c r="Q536" t="s">
        <v>80</v>
      </c>
      <c r="R536" t="s">
        <v>36</v>
      </c>
      <c r="S536" t="b">
        <v>0</v>
      </c>
      <c r="T536" t="b">
        <v>1</v>
      </c>
      <c r="U536" t="b">
        <v>0</v>
      </c>
      <c r="V536" t="b">
        <v>1</v>
      </c>
      <c r="W536" t="b">
        <v>1</v>
      </c>
      <c r="X536">
        <v>0.4</v>
      </c>
      <c r="Y536">
        <v>7.1</v>
      </c>
      <c r="Z536">
        <v>4</v>
      </c>
      <c r="AA536">
        <v>9.4</v>
      </c>
      <c r="AB536" s="3">
        <v>88.33</v>
      </c>
      <c r="AC536" s="3"/>
      <c r="AD536">
        <v>1</v>
      </c>
      <c r="AE536" t="s">
        <v>64</v>
      </c>
      <c r="AF536" s="4"/>
    </row>
    <row r="537" spans="1:32" x14ac:dyDescent="0.3">
      <c r="A537" t="s">
        <v>628</v>
      </c>
      <c r="B537">
        <v>17</v>
      </c>
      <c r="C537" t="str">
        <f t="shared" si="8"/>
        <v>Teenager</v>
      </c>
      <c r="D537" t="s">
        <v>53</v>
      </c>
      <c r="E537">
        <v>1.9</v>
      </c>
      <c r="G537" t="s">
        <v>76</v>
      </c>
      <c r="H537" t="s">
        <v>77</v>
      </c>
      <c r="I537" t="s">
        <v>31</v>
      </c>
      <c r="J537">
        <v>7.1</v>
      </c>
      <c r="L537" t="s">
        <v>43</v>
      </c>
      <c r="M537" t="s">
        <v>74</v>
      </c>
      <c r="N537" t="s">
        <v>62</v>
      </c>
      <c r="O537">
        <v>1.78</v>
      </c>
      <c r="Q537" t="s">
        <v>56</v>
      </c>
      <c r="R537" t="s">
        <v>42</v>
      </c>
      <c r="S537" t="b">
        <v>0</v>
      </c>
      <c r="T537" t="b">
        <v>0</v>
      </c>
      <c r="U537" t="b">
        <v>0</v>
      </c>
      <c r="V537" t="b">
        <v>0</v>
      </c>
      <c r="W537" t="b">
        <v>0</v>
      </c>
      <c r="X537">
        <v>0.1</v>
      </c>
      <c r="Y537">
        <v>10.9</v>
      </c>
      <c r="Z537">
        <v>1</v>
      </c>
      <c r="AA537">
        <v>11.5</v>
      </c>
      <c r="AB537" s="3">
        <v>23.78</v>
      </c>
      <c r="AC537" s="3"/>
      <c r="AD537">
        <v>6</v>
      </c>
      <c r="AE537" t="s">
        <v>46</v>
      </c>
      <c r="AF537" s="4"/>
    </row>
    <row r="538" spans="1:32" x14ac:dyDescent="0.3">
      <c r="A538" t="s">
        <v>629</v>
      </c>
      <c r="B538">
        <v>18</v>
      </c>
      <c r="C538" t="str">
        <f t="shared" si="8"/>
        <v>Teenager</v>
      </c>
      <c r="D538" t="s">
        <v>28</v>
      </c>
      <c r="E538">
        <v>8</v>
      </c>
      <c r="G538" t="s">
        <v>54</v>
      </c>
      <c r="H538" t="s">
        <v>89</v>
      </c>
      <c r="I538" t="s">
        <v>31</v>
      </c>
      <c r="J538">
        <v>5</v>
      </c>
      <c r="L538" t="s">
        <v>51</v>
      </c>
      <c r="M538" t="s">
        <v>36</v>
      </c>
      <c r="N538" t="s">
        <v>51</v>
      </c>
      <c r="O538">
        <v>3.81</v>
      </c>
      <c r="Q538" t="s">
        <v>63</v>
      </c>
      <c r="R538" t="s">
        <v>42</v>
      </c>
      <c r="S538" t="b">
        <v>0</v>
      </c>
      <c r="T538" t="b">
        <v>1</v>
      </c>
      <c r="U538" t="b">
        <v>1</v>
      </c>
      <c r="V538" t="b">
        <v>1</v>
      </c>
      <c r="W538" t="b">
        <v>1</v>
      </c>
      <c r="X538">
        <v>0.1</v>
      </c>
      <c r="Y538">
        <v>7.7</v>
      </c>
      <c r="Z538">
        <v>5</v>
      </c>
      <c r="AA538">
        <v>5.3</v>
      </c>
      <c r="AB538" s="3">
        <v>85.28</v>
      </c>
      <c r="AC538" s="3"/>
      <c r="AD538">
        <v>4</v>
      </c>
      <c r="AE538" t="s">
        <v>58</v>
      </c>
      <c r="AF538" s="4"/>
    </row>
    <row r="539" spans="1:32" x14ac:dyDescent="0.3">
      <c r="A539" t="s">
        <v>630</v>
      </c>
      <c r="B539">
        <v>18</v>
      </c>
      <c r="C539" t="str">
        <f t="shared" si="8"/>
        <v>Teenager</v>
      </c>
      <c r="D539" t="s">
        <v>28</v>
      </c>
      <c r="E539">
        <v>3.4</v>
      </c>
      <c r="G539" t="s">
        <v>76</v>
      </c>
      <c r="H539" t="s">
        <v>126</v>
      </c>
      <c r="I539" t="s">
        <v>50</v>
      </c>
      <c r="J539">
        <v>7.4</v>
      </c>
      <c r="L539" t="s">
        <v>51</v>
      </c>
      <c r="M539" t="s">
        <v>36</v>
      </c>
      <c r="N539" t="s">
        <v>62</v>
      </c>
      <c r="O539">
        <v>2.15</v>
      </c>
      <c r="Q539" t="s">
        <v>66</v>
      </c>
      <c r="R539" t="s">
        <v>57</v>
      </c>
      <c r="S539" t="b">
        <v>0</v>
      </c>
      <c r="T539" t="b">
        <v>0</v>
      </c>
      <c r="U539" t="b">
        <v>0</v>
      </c>
      <c r="V539" t="b">
        <v>0</v>
      </c>
      <c r="W539" t="b">
        <v>0</v>
      </c>
      <c r="X539">
        <v>0.3</v>
      </c>
      <c r="Y539">
        <v>9</v>
      </c>
      <c r="Z539">
        <v>1</v>
      </c>
      <c r="AA539">
        <v>9.6</v>
      </c>
      <c r="AB539" s="3">
        <v>30.22</v>
      </c>
      <c r="AC539" s="3"/>
      <c r="AD539">
        <v>4</v>
      </c>
      <c r="AE539" t="s">
        <v>46</v>
      </c>
      <c r="AF539" s="4"/>
    </row>
    <row r="540" spans="1:32" x14ac:dyDescent="0.3">
      <c r="A540" t="s">
        <v>631</v>
      </c>
      <c r="B540">
        <v>24</v>
      </c>
      <c r="C540" t="str">
        <f t="shared" si="8"/>
        <v>Young Adults</v>
      </c>
      <c r="D540" t="s">
        <v>28</v>
      </c>
      <c r="E540">
        <v>1.2</v>
      </c>
      <c r="G540" t="s">
        <v>82</v>
      </c>
      <c r="H540" t="s">
        <v>134</v>
      </c>
      <c r="I540" t="s">
        <v>31</v>
      </c>
      <c r="J540">
        <v>7.6</v>
      </c>
      <c r="L540" t="s">
        <v>41</v>
      </c>
      <c r="M540" t="s">
        <v>45</v>
      </c>
      <c r="N540" t="s">
        <v>62</v>
      </c>
      <c r="P540">
        <v>1</v>
      </c>
      <c r="Q540" t="s">
        <v>44</v>
      </c>
      <c r="R540" t="s">
        <v>33</v>
      </c>
      <c r="S540" t="b">
        <v>0</v>
      </c>
      <c r="T540" t="b">
        <v>0</v>
      </c>
      <c r="U540" t="b">
        <v>0</v>
      </c>
      <c r="V540" t="b">
        <v>0</v>
      </c>
      <c r="W540" t="b">
        <v>0</v>
      </c>
      <c r="X540">
        <v>0.3</v>
      </c>
      <c r="Y540">
        <v>8.6</v>
      </c>
      <c r="Z540">
        <v>1</v>
      </c>
      <c r="AA540">
        <v>14.2</v>
      </c>
      <c r="AB540" s="3">
        <v>32.340000000000003</v>
      </c>
      <c r="AC540" s="3"/>
      <c r="AD540">
        <v>10</v>
      </c>
      <c r="AE540" t="s">
        <v>46</v>
      </c>
      <c r="AF540" s="4"/>
    </row>
    <row r="541" spans="1:32" x14ac:dyDescent="0.3">
      <c r="A541" t="s">
        <v>632</v>
      </c>
      <c r="B541">
        <v>19</v>
      </c>
      <c r="C541" t="str">
        <f t="shared" si="8"/>
        <v>Teenager</v>
      </c>
      <c r="D541" t="s">
        <v>28</v>
      </c>
      <c r="E541">
        <v>4.3</v>
      </c>
      <c r="G541" t="s">
        <v>76</v>
      </c>
      <c r="H541" t="s">
        <v>126</v>
      </c>
      <c r="I541" t="s">
        <v>31</v>
      </c>
      <c r="J541">
        <v>6.3</v>
      </c>
      <c r="L541" t="s">
        <v>43</v>
      </c>
      <c r="M541" t="s">
        <v>42</v>
      </c>
      <c r="N541" t="s">
        <v>34</v>
      </c>
      <c r="O541">
        <v>2.46</v>
      </c>
      <c r="P541">
        <v>10</v>
      </c>
      <c r="Q541" t="s">
        <v>80</v>
      </c>
      <c r="R541" t="s">
        <v>33</v>
      </c>
      <c r="S541" t="b">
        <v>0</v>
      </c>
      <c r="T541" t="b">
        <v>0</v>
      </c>
      <c r="U541" t="b">
        <v>0</v>
      </c>
      <c r="V541" t="b">
        <v>0</v>
      </c>
      <c r="W541" t="b">
        <v>0</v>
      </c>
      <c r="X541">
        <v>0.7</v>
      </c>
      <c r="Y541">
        <v>9.1999999999999993</v>
      </c>
      <c r="Z541">
        <v>3</v>
      </c>
      <c r="AA541">
        <v>11.9</v>
      </c>
      <c r="AB541" s="3">
        <v>43.72</v>
      </c>
      <c r="AC541" s="3"/>
      <c r="AD541">
        <v>4</v>
      </c>
      <c r="AE541" t="s">
        <v>46</v>
      </c>
      <c r="AF541" s="4"/>
    </row>
    <row r="542" spans="1:32" x14ac:dyDescent="0.3">
      <c r="A542" t="s">
        <v>633</v>
      </c>
      <c r="B542">
        <v>18</v>
      </c>
      <c r="C542" t="str">
        <f t="shared" si="8"/>
        <v>Teenager</v>
      </c>
      <c r="D542" t="s">
        <v>28</v>
      </c>
      <c r="E542">
        <v>10.7</v>
      </c>
      <c r="G542" t="s">
        <v>60</v>
      </c>
      <c r="H542" t="s">
        <v>61</v>
      </c>
      <c r="I542" t="s">
        <v>86</v>
      </c>
      <c r="J542">
        <v>5.3</v>
      </c>
      <c r="L542" t="s">
        <v>41</v>
      </c>
      <c r="M542" t="s">
        <v>36</v>
      </c>
      <c r="N542" t="s">
        <v>34</v>
      </c>
      <c r="O542">
        <v>3.11</v>
      </c>
      <c r="Q542" t="s">
        <v>105</v>
      </c>
      <c r="R542" t="s">
        <v>33</v>
      </c>
      <c r="S542" t="b">
        <v>1</v>
      </c>
      <c r="T542" t="b">
        <v>1</v>
      </c>
      <c r="U542" t="b">
        <v>1</v>
      </c>
      <c r="V542" t="b">
        <v>1</v>
      </c>
      <c r="W542" t="b">
        <v>1</v>
      </c>
      <c r="X542">
        <v>4.8</v>
      </c>
      <c r="Y542">
        <v>4.3</v>
      </c>
      <c r="Z542">
        <v>7</v>
      </c>
      <c r="AA542">
        <v>4.3</v>
      </c>
      <c r="AB542" s="3">
        <v>115.6</v>
      </c>
      <c r="AC542" s="3"/>
      <c r="AD542">
        <v>1</v>
      </c>
      <c r="AE542" t="s">
        <v>37</v>
      </c>
      <c r="AF542" s="4"/>
    </row>
    <row r="543" spans="1:32" x14ac:dyDescent="0.3">
      <c r="A543" t="s">
        <v>634</v>
      </c>
      <c r="B543">
        <v>27</v>
      </c>
      <c r="C543" t="str">
        <f t="shared" si="8"/>
        <v>Young Adults</v>
      </c>
      <c r="D543" t="s">
        <v>28</v>
      </c>
      <c r="E543">
        <v>3.3</v>
      </c>
      <c r="G543" t="s">
        <v>60</v>
      </c>
      <c r="H543" t="s">
        <v>102</v>
      </c>
      <c r="I543" t="s">
        <v>71</v>
      </c>
      <c r="J543">
        <v>8.9</v>
      </c>
      <c r="L543" t="s">
        <v>51</v>
      </c>
      <c r="M543" t="s">
        <v>45</v>
      </c>
      <c r="N543" t="s">
        <v>34</v>
      </c>
      <c r="P543">
        <v>6</v>
      </c>
      <c r="Q543" t="s">
        <v>35</v>
      </c>
      <c r="R543" t="s">
        <v>33</v>
      </c>
      <c r="S543" t="b">
        <v>0</v>
      </c>
      <c r="T543" t="b">
        <v>0</v>
      </c>
      <c r="U543" t="b">
        <v>0</v>
      </c>
      <c r="V543" t="b">
        <v>0</v>
      </c>
      <c r="W543" t="b">
        <v>0</v>
      </c>
      <c r="X543">
        <v>0.4</v>
      </c>
      <c r="Y543">
        <v>9.3000000000000007</v>
      </c>
      <c r="Z543">
        <v>3</v>
      </c>
      <c r="AA543">
        <v>9</v>
      </c>
      <c r="AB543" s="3">
        <v>11.66</v>
      </c>
      <c r="AC543" s="3"/>
      <c r="AD543">
        <v>15</v>
      </c>
      <c r="AE543" t="s">
        <v>46</v>
      </c>
      <c r="AF543" s="4"/>
    </row>
    <row r="544" spans="1:32" x14ac:dyDescent="0.3">
      <c r="A544" t="s">
        <v>635</v>
      </c>
      <c r="B544">
        <v>31</v>
      </c>
      <c r="C544" t="str">
        <f t="shared" si="8"/>
        <v>Old Adults</v>
      </c>
      <c r="D544" t="s">
        <v>28</v>
      </c>
      <c r="E544">
        <v>10.4</v>
      </c>
      <c r="G544" t="s">
        <v>82</v>
      </c>
      <c r="H544" t="s">
        <v>167</v>
      </c>
      <c r="I544" t="s">
        <v>71</v>
      </c>
      <c r="J544">
        <v>3.2</v>
      </c>
      <c r="L544" t="s">
        <v>51</v>
      </c>
      <c r="M544" t="s">
        <v>33</v>
      </c>
      <c r="N544" t="s">
        <v>62</v>
      </c>
      <c r="P544">
        <v>10</v>
      </c>
      <c r="Q544" t="s">
        <v>66</v>
      </c>
      <c r="R544" t="s">
        <v>45</v>
      </c>
      <c r="S544" t="b">
        <v>0</v>
      </c>
      <c r="T544" t="b">
        <v>1</v>
      </c>
      <c r="U544" t="b">
        <v>1</v>
      </c>
      <c r="V544" t="b">
        <v>0</v>
      </c>
      <c r="W544" t="b">
        <v>0</v>
      </c>
      <c r="X544">
        <v>4.0999999999999996</v>
      </c>
      <c r="Y544">
        <v>7</v>
      </c>
      <c r="Z544">
        <v>7</v>
      </c>
      <c r="AA544">
        <v>1.8</v>
      </c>
      <c r="AB544" s="3">
        <v>339.48</v>
      </c>
      <c r="AC544" s="3"/>
      <c r="AD544">
        <v>7</v>
      </c>
      <c r="AE544" t="s">
        <v>37</v>
      </c>
      <c r="AF544" s="4"/>
    </row>
    <row r="545" spans="1:32" x14ac:dyDescent="0.3">
      <c r="A545" t="s">
        <v>636</v>
      </c>
      <c r="B545">
        <v>22</v>
      </c>
      <c r="C545" t="str">
        <f t="shared" si="8"/>
        <v>Young Adults</v>
      </c>
      <c r="D545" t="s">
        <v>53</v>
      </c>
      <c r="E545">
        <v>6.7</v>
      </c>
      <c r="G545" t="s">
        <v>29</v>
      </c>
      <c r="H545" t="s">
        <v>104</v>
      </c>
      <c r="I545" t="s">
        <v>31</v>
      </c>
      <c r="J545">
        <v>4.5999999999999996</v>
      </c>
      <c r="L545" t="s">
        <v>51</v>
      </c>
      <c r="M545" t="s">
        <v>42</v>
      </c>
      <c r="N545" t="s">
        <v>51</v>
      </c>
      <c r="O545">
        <v>1.18</v>
      </c>
      <c r="P545">
        <v>5</v>
      </c>
      <c r="Q545" t="s">
        <v>63</v>
      </c>
      <c r="R545" t="s">
        <v>33</v>
      </c>
      <c r="S545" t="b">
        <v>1</v>
      </c>
      <c r="T545" t="b">
        <v>1</v>
      </c>
      <c r="U545" t="b">
        <v>0</v>
      </c>
      <c r="V545" t="b">
        <v>1</v>
      </c>
      <c r="W545" t="b">
        <v>1</v>
      </c>
      <c r="X545">
        <v>1.4</v>
      </c>
      <c r="Y545">
        <v>6.5</v>
      </c>
      <c r="Z545">
        <v>5</v>
      </c>
      <c r="AA545">
        <v>6.5</v>
      </c>
      <c r="AB545" s="3">
        <v>37</v>
      </c>
      <c r="AC545" s="3"/>
      <c r="AD545">
        <v>4</v>
      </c>
      <c r="AE545" t="s">
        <v>58</v>
      </c>
      <c r="AF545" s="4"/>
    </row>
    <row r="546" spans="1:32" x14ac:dyDescent="0.3">
      <c r="A546" t="s">
        <v>637</v>
      </c>
      <c r="B546">
        <v>16</v>
      </c>
      <c r="C546" t="str">
        <f t="shared" si="8"/>
        <v>Teenager</v>
      </c>
      <c r="D546" t="s">
        <v>28</v>
      </c>
      <c r="E546">
        <v>6.3</v>
      </c>
      <c r="G546" t="s">
        <v>76</v>
      </c>
      <c r="H546" t="s">
        <v>126</v>
      </c>
      <c r="I546" t="s">
        <v>86</v>
      </c>
      <c r="J546">
        <v>5.0999999999999996</v>
      </c>
      <c r="L546" t="s">
        <v>51</v>
      </c>
      <c r="M546" t="s">
        <v>33</v>
      </c>
      <c r="N546" t="s">
        <v>84</v>
      </c>
      <c r="O546">
        <v>1.91</v>
      </c>
      <c r="Q546" t="s">
        <v>44</v>
      </c>
      <c r="R546" t="s">
        <v>57</v>
      </c>
      <c r="S546" t="b">
        <v>0</v>
      </c>
      <c r="T546" t="b">
        <v>0</v>
      </c>
      <c r="U546" t="b">
        <v>0</v>
      </c>
      <c r="V546" t="b">
        <v>0</v>
      </c>
      <c r="W546" t="b">
        <v>0</v>
      </c>
      <c r="X546">
        <v>0.8</v>
      </c>
      <c r="Y546">
        <v>7.7</v>
      </c>
      <c r="Z546">
        <v>3</v>
      </c>
      <c r="AA546">
        <v>4.8</v>
      </c>
      <c r="AB546" s="3">
        <v>33.58</v>
      </c>
      <c r="AC546" s="3"/>
      <c r="AD546">
        <v>4</v>
      </c>
      <c r="AE546" t="s">
        <v>46</v>
      </c>
      <c r="AF546" s="4"/>
    </row>
    <row r="547" spans="1:32" x14ac:dyDescent="0.3">
      <c r="A547" t="s">
        <v>638</v>
      </c>
      <c r="B547">
        <v>19</v>
      </c>
      <c r="C547" t="str">
        <f t="shared" si="8"/>
        <v>Teenager</v>
      </c>
      <c r="D547" t="s">
        <v>28</v>
      </c>
      <c r="E547">
        <v>6.2</v>
      </c>
      <c r="G547" t="s">
        <v>76</v>
      </c>
      <c r="H547" t="s">
        <v>110</v>
      </c>
      <c r="I547" t="s">
        <v>86</v>
      </c>
      <c r="J547">
        <v>6.7</v>
      </c>
      <c r="L547" t="s">
        <v>41</v>
      </c>
      <c r="M547" t="s">
        <v>45</v>
      </c>
      <c r="N547" t="s">
        <v>62</v>
      </c>
      <c r="O547">
        <v>3.56</v>
      </c>
      <c r="P547">
        <v>6</v>
      </c>
      <c r="Q547" t="s">
        <v>105</v>
      </c>
      <c r="R547" t="s">
        <v>42</v>
      </c>
      <c r="S547" t="b">
        <v>0</v>
      </c>
      <c r="T547" t="b">
        <v>1</v>
      </c>
      <c r="U547" t="b">
        <v>0</v>
      </c>
      <c r="V547" t="b">
        <v>1</v>
      </c>
      <c r="W547" t="b">
        <v>0</v>
      </c>
      <c r="X547">
        <v>3.6</v>
      </c>
      <c r="Y547">
        <v>5.9</v>
      </c>
      <c r="Z547">
        <v>3</v>
      </c>
      <c r="AA547">
        <v>7.4</v>
      </c>
      <c r="AB547" s="3">
        <v>138.86000000000001</v>
      </c>
      <c r="AC547" s="3"/>
      <c r="AD547">
        <v>6</v>
      </c>
      <c r="AE547" t="s">
        <v>64</v>
      </c>
      <c r="AF547" s="4"/>
    </row>
    <row r="548" spans="1:32" x14ac:dyDescent="0.3">
      <c r="A548" t="s">
        <v>639</v>
      </c>
      <c r="B548">
        <v>22</v>
      </c>
      <c r="C548" t="str">
        <f t="shared" si="8"/>
        <v>Young Adults</v>
      </c>
      <c r="D548" t="s">
        <v>28</v>
      </c>
      <c r="E548">
        <v>3.2</v>
      </c>
      <c r="G548" t="s">
        <v>76</v>
      </c>
      <c r="H548" t="s">
        <v>110</v>
      </c>
      <c r="I548" t="s">
        <v>50</v>
      </c>
      <c r="J548">
        <v>8.6999999999999993</v>
      </c>
      <c r="L548" t="s">
        <v>51</v>
      </c>
      <c r="M548" t="s">
        <v>33</v>
      </c>
      <c r="N548" t="s">
        <v>62</v>
      </c>
      <c r="O548">
        <v>3.82</v>
      </c>
      <c r="P548">
        <v>6</v>
      </c>
      <c r="Q548" t="s">
        <v>56</v>
      </c>
      <c r="R548" t="s">
        <v>33</v>
      </c>
      <c r="S548" t="b">
        <v>0</v>
      </c>
      <c r="T548" t="b">
        <v>0</v>
      </c>
      <c r="U548" t="b">
        <v>0</v>
      </c>
      <c r="V548" t="b">
        <v>0</v>
      </c>
      <c r="W548" t="b">
        <v>0</v>
      </c>
      <c r="X548">
        <v>0.6</v>
      </c>
      <c r="Y548">
        <v>8.4</v>
      </c>
      <c r="Z548">
        <v>4</v>
      </c>
      <c r="AA548">
        <v>8.6999999999999993</v>
      </c>
      <c r="AB548" s="3">
        <v>42.64</v>
      </c>
      <c r="AC548" s="3"/>
      <c r="AD548">
        <v>3</v>
      </c>
      <c r="AE548" t="s">
        <v>46</v>
      </c>
      <c r="AF548" s="4"/>
    </row>
    <row r="549" spans="1:32" x14ac:dyDescent="0.3">
      <c r="A549" t="s">
        <v>640</v>
      </c>
      <c r="B549">
        <v>24</v>
      </c>
      <c r="C549" t="str">
        <f t="shared" si="8"/>
        <v>Young Adults</v>
      </c>
      <c r="D549" t="s">
        <v>28</v>
      </c>
      <c r="E549">
        <v>7.1</v>
      </c>
      <c r="G549" t="s">
        <v>48</v>
      </c>
      <c r="H549" t="s">
        <v>68</v>
      </c>
      <c r="I549" t="s">
        <v>71</v>
      </c>
      <c r="J549">
        <v>3.8</v>
      </c>
      <c r="L549" t="s">
        <v>43</v>
      </c>
      <c r="M549" t="s">
        <v>36</v>
      </c>
      <c r="N549" t="s">
        <v>34</v>
      </c>
      <c r="P549">
        <v>8</v>
      </c>
      <c r="Q549" t="s">
        <v>105</v>
      </c>
      <c r="R549" t="s">
        <v>57</v>
      </c>
      <c r="S549" t="b">
        <v>1</v>
      </c>
      <c r="T549" t="b">
        <v>1</v>
      </c>
      <c r="U549" t="b">
        <v>0</v>
      </c>
      <c r="V549" t="b">
        <v>0</v>
      </c>
      <c r="W549" t="b">
        <v>0</v>
      </c>
      <c r="X549">
        <v>2.2000000000000002</v>
      </c>
      <c r="Y549">
        <v>6</v>
      </c>
      <c r="Z549">
        <v>5</v>
      </c>
      <c r="AA549">
        <v>4.9000000000000004</v>
      </c>
      <c r="AB549" s="3">
        <v>96.9</v>
      </c>
      <c r="AC549" s="3"/>
      <c r="AD549">
        <v>13</v>
      </c>
      <c r="AE549" t="s">
        <v>58</v>
      </c>
      <c r="AF549" s="4"/>
    </row>
    <row r="550" spans="1:32" x14ac:dyDescent="0.3">
      <c r="A550" t="s">
        <v>641</v>
      </c>
      <c r="B550">
        <v>18</v>
      </c>
      <c r="C550" t="str">
        <f t="shared" si="8"/>
        <v>Teenager</v>
      </c>
      <c r="D550" t="s">
        <v>28</v>
      </c>
      <c r="E550">
        <v>8.4</v>
      </c>
      <c r="G550" t="s">
        <v>39</v>
      </c>
      <c r="H550" t="s">
        <v>40</v>
      </c>
      <c r="I550" t="s">
        <v>86</v>
      </c>
      <c r="J550">
        <v>5.2</v>
      </c>
      <c r="L550" t="s">
        <v>51</v>
      </c>
      <c r="M550" t="s">
        <v>42</v>
      </c>
      <c r="N550" t="s">
        <v>51</v>
      </c>
      <c r="O550">
        <v>3.2</v>
      </c>
      <c r="Q550" t="s">
        <v>80</v>
      </c>
      <c r="R550" t="s">
        <v>33</v>
      </c>
      <c r="S550" t="b">
        <v>0</v>
      </c>
      <c r="T550" t="b">
        <v>0</v>
      </c>
      <c r="U550" t="b">
        <v>0</v>
      </c>
      <c r="V550" t="b">
        <v>1</v>
      </c>
      <c r="W550" t="b">
        <v>1</v>
      </c>
      <c r="X550">
        <v>0.7</v>
      </c>
      <c r="Y550">
        <v>4.7</v>
      </c>
      <c r="Z550">
        <v>5</v>
      </c>
      <c r="AA550">
        <v>7.2</v>
      </c>
      <c r="AB550" s="3">
        <v>73.02</v>
      </c>
      <c r="AC550" s="3"/>
      <c r="AD550">
        <v>1</v>
      </c>
      <c r="AE550" t="s">
        <v>46</v>
      </c>
      <c r="AF550" s="4"/>
    </row>
    <row r="551" spans="1:32" x14ac:dyDescent="0.3">
      <c r="A551" t="s">
        <v>642</v>
      </c>
      <c r="B551">
        <v>21</v>
      </c>
      <c r="C551" t="str">
        <f t="shared" si="8"/>
        <v>Young Adults</v>
      </c>
      <c r="D551" t="s">
        <v>53</v>
      </c>
      <c r="E551">
        <v>7.2</v>
      </c>
      <c r="G551" t="s">
        <v>60</v>
      </c>
      <c r="H551" t="s">
        <v>200</v>
      </c>
      <c r="I551" t="s">
        <v>31</v>
      </c>
      <c r="J551">
        <v>5.9</v>
      </c>
      <c r="L551" t="s">
        <v>41</v>
      </c>
      <c r="M551" t="s">
        <v>36</v>
      </c>
      <c r="N551" t="s">
        <v>84</v>
      </c>
      <c r="O551">
        <v>1.41</v>
      </c>
      <c r="P551">
        <v>2</v>
      </c>
      <c r="Q551" t="s">
        <v>44</v>
      </c>
      <c r="R551" t="s">
        <v>33</v>
      </c>
      <c r="S551" t="b">
        <v>1</v>
      </c>
      <c r="T551" t="b">
        <v>0</v>
      </c>
      <c r="U551" t="b">
        <v>0</v>
      </c>
      <c r="V551" t="b">
        <v>1</v>
      </c>
      <c r="W551" t="b">
        <v>1</v>
      </c>
      <c r="X551">
        <v>0.6</v>
      </c>
      <c r="Y551">
        <v>6.2</v>
      </c>
      <c r="Z551">
        <v>4</v>
      </c>
      <c r="AA551">
        <v>5</v>
      </c>
      <c r="AB551" s="3">
        <v>99.01</v>
      </c>
      <c r="AC551" s="3"/>
      <c r="AD551">
        <v>9</v>
      </c>
      <c r="AE551" t="s">
        <v>64</v>
      </c>
      <c r="AF551" s="4"/>
    </row>
    <row r="552" spans="1:32" x14ac:dyDescent="0.3">
      <c r="A552" t="s">
        <v>643</v>
      </c>
      <c r="B552">
        <v>19</v>
      </c>
      <c r="C552" t="str">
        <f t="shared" si="8"/>
        <v>Teenager</v>
      </c>
      <c r="D552" t="s">
        <v>28</v>
      </c>
      <c r="E552">
        <v>9.5</v>
      </c>
      <c r="G552" t="s">
        <v>82</v>
      </c>
      <c r="H552" t="s">
        <v>134</v>
      </c>
      <c r="I552" t="s">
        <v>50</v>
      </c>
      <c r="J552">
        <v>3.2</v>
      </c>
      <c r="L552" t="s">
        <v>51</v>
      </c>
      <c r="M552" t="s">
        <v>74</v>
      </c>
      <c r="N552" t="s">
        <v>84</v>
      </c>
      <c r="O552">
        <v>1.94</v>
      </c>
      <c r="P552">
        <v>5</v>
      </c>
      <c r="Q552" t="s">
        <v>44</v>
      </c>
      <c r="R552" t="s">
        <v>57</v>
      </c>
      <c r="S552" t="b">
        <v>1</v>
      </c>
      <c r="T552" t="b">
        <v>1</v>
      </c>
      <c r="U552" t="b">
        <v>1</v>
      </c>
      <c r="V552" t="b">
        <v>1</v>
      </c>
      <c r="W552" t="b">
        <v>0</v>
      </c>
      <c r="X552">
        <v>0.6</v>
      </c>
      <c r="Y552">
        <v>4.5999999999999996</v>
      </c>
      <c r="Z552">
        <v>6</v>
      </c>
      <c r="AA552">
        <v>2.4</v>
      </c>
      <c r="AB552" s="3">
        <v>90.31</v>
      </c>
      <c r="AC552" s="3"/>
      <c r="AD552">
        <v>6</v>
      </c>
      <c r="AE552" t="s">
        <v>37</v>
      </c>
      <c r="AF552" s="4"/>
    </row>
    <row r="553" spans="1:32" x14ac:dyDescent="0.3">
      <c r="A553" t="s">
        <v>644</v>
      </c>
      <c r="B553">
        <v>19</v>
      </c>
      <c r="C553" t="str">
        <f t="shared" si="8"/>
        <v>Teenager</v>
      </c>
      <c r="D553" t="s">
        <v>28</v>
      </c>
      <c r="E553">
        <v>6</v>
      </c>
      <c r="G553" t="s">
        <v>29</v>
      </c>
      <c r="H553" t="s">
        <v>118</v>
      </c>
      <c r="I553" t="s">
        <v>71</v>
      </c>
      <c r="J553">
        <v>5.3</v>
      </c>
      <c r="L553" t="s">
        <v>41</v>
      </c>
      <c r="M553" t="s">
        <v>42</v>
      </c>
      <c r="N553" t="s">
        <v>62</v>
      </c>
      <c r="O553">
        <v>1.42</v>
      </c>
      <c r="P553">
        <v>9</v>
      </c>
      <c r="Q553" t="s">
        <v>80</v>
      </c>
      <c r="R553" t="s">
        <v>57</v>
      </c>
      <c r="S553" t="b">
        <v>0</v>
      </c>
      <c r="T553" t="b">
        <v>0</v>
      </c>
      <c r="U553" t="b">
        <v>0</v>
      </c>
      <c r="V553" t="b">
        <v>0</v>
      </c>
      <c r="W553" t="b">
        <v>0</v>
      </c>
      <c r="X553">
        <v>3.5</v>
      </c>
      <c r="Y553">
        <v>5.4</v>
      </c>
      <c r="Z553">
        <v>4</v>
      </c>
      <c r="AA553">
        <v>10.199999999999999</v>
      </c>
      <c r="AB553" s="3">
        <v>35.25</v>
      </c>
      <c r="AC553" s="3"/>
      <c r="AD553">
        <v>6</v>
      </c>
      <c r="AE553" t="s">
        <v>46</v>
      </c>
      <c r="AF553" s="4"/>
    </row>
    <row r="554" spans="1:32" x14ac:dyDescent="0.3">
      <c r="A554" t="s">
        <v>645</v>
      </c>
      <c r="B554">
        <v>19</v>
      </c>
      <c r="C554" t="str">
        <f t="shared" si="8"/>
        <v>Teenager</v>
      </c>
      <c r="D554" t="s">
        <v>53</v>
      </c>
      <c r="E554">
        <v>2.2999999999999998</v>
      </c>
      <c r="G554" t="s">
        <v>39</v>
      </c>
      <c r="H554" t="s">
        <v>120</v>
      </c>
      <c r="I554" t="s">
        <v>71</v>
      </c>
      <c r="J554">
        <v>8.9</v>
      </c>
      <c r="L554" t="s">
        <v>43</v>
      </c>
      <c r="M554" t="s">
        <v>45</v>
      </c>
      <c r="N554" t="s">
        <v>43</v>
      </c>
      <c r="O554">
        <v>3.61</v>
      </c>
      <c r="P554">
        <v>10</v>
      </c>
      <c r="Q554" t="s">
        <v>66</v>
      </c>
      <c r="R554" t="s">
        <v>36</v>
      </c>
      <c r="S554" t="b">
        <v>0</v>
      </c>
      <c r="T554" t="b">
        <v>0</v>
      </c>
      <c r="U554" t="b">
        <v>0</v>
      </c>
      <c r="V554" t="b">
        <v>0</v>
      </c>
      <c r="W554" t="b">
        <v>0</v>
      </c>
      <c r="X554">
        <v>0.6</v>
      </c>
      <c r="Y554">
        <v>9.8000000000000007</v>
      </c>
      <c r="Z554">
        <v>2</v>
      </c>
      <c r="AA554">
        <v>14.5</v>
      </c>
      <c r="AB554" s="3">
        <v>39.46</v>
      </c>
      <c r="AC554" s="3"/>
      <c r="AD554">
        <v>5</v>
      </c>
      <c r="AE554" t="s">
        <v>46</v>
      </c>
      <c r="AF554" s="4"/>
    </row>
    <row r="555" spans="1:32" x14ac:dyDescent="0.3">
      <c r="A555" t="s">
        <v>646</v>
      </c>
      <c r="B555">
        <v>27</v>
      </c>
      <c r="C555" t="str">
        <f t="shared" si="8"/>
        <v>Young Adults</v>
      </c>
      <c r="D555" t="s">
        <v>28</v>
      </c>
      <c r="E555">
        <v>4.2</v>
      </c>
      <c r="G555" t="s">
        <v>82</v>
      </c>
      <c r="H555" t="s">
        <v>134</v>
      </c>
      <c r="I555" t="s">
        <v>31</v>
      </c>
      <c r="J555">
        <v>5.9</v>
      </c>
      <c r="L555" t="s">
        <v>43</v>
      </c>
      <c r="M555" t="s">
        <v>74</v>
      </c>
      <c r="N555" t="s">
        <v>84</v>
      </c>
      <c r="P555">
        <v>2</v>
      </c>
      <c r="Q555" t="s">
        <v>69</v>
      </c>
      <c r="R555" t="s">
        <v>33</v>
      </c>
      <c r="S555" t="b">
        <v>0</v>
      </c>
      <c r="T555" t="b">
        <v>0</v>
      </c>
      <c r="U555" t="b">
        <v>0</v>
      </c>
      <c r="V555" t="b">
        <v>0</v>
      </c>
      <c r="W555" t="b">
        <v>0</v>
      </c>
      <c r="X555">
        <v>1.3</v>
      </c>
      <c r="Y555">
        <v>8.9</v>
      </c>
      <c r="Z555">
        <v>3</v>
      </c>
      <c r="AA555">
        <v>12.6</v>
      </c>
      <c r="AB555" s="3">
        <v>18.36</v>
      </c>
      <c r="AC555" s="3"/>
      <c r="AD555">
        <v>5</v>
      </c>
      <c r="AE555" t="s">
        <v>46</v>
      </c>
      <c r="AF555" s="4"/>
    </row>
    <row r="556" spans="1:32" x14ac:dyDescent="0.3">
      <c r="A556" t="s">
        <v>647</v>
      </c>
      <c r="B556">
        <v>19</v>
      </c>
      <c r="C556" t="str">
        <f t="shared" si="8"/>
        <v>Teenager</v>
      </c>
      <c r="D556" t="s">
        <v>53</v>
      </c>
      <c r="E556">
        <v>4.5999999999999996</v>
      </c>
      <c r="G556" t="s">
        <v>54</v>
      </c>
      <c r="H556" t="s">
        <v>98</v>
      </c>
      <c r="I556" t="s">
        <v>71</v>
      </c>
      <c r="J556">
        <v>6.1</v>
      </c>
      <c r="L556" t="s">
        <v>43</v>
      </c>
      <c r="M556" t="s">
        <v>74</v>
      </c>
      <c r="N556" t="s">
        <v>62</v>
      </c>
      <c r="O556">
        <v>3.24</v>
      </c>
      <c r="P556">
        <v>2</v>
      </c>
      <c r="Q556" t="s">
        <v>63</v>
      </c>
      <c r="R556" t="s">
        <v>42</v>
      </c>
      <c r="S556" t="b">
        <v>0</v>
      </c>
      <c r="T556" t="b">
        <v>0</v>
      </c>
      <c r="U556" t="b">
        <v>0</v>
      </c>
      <c r="V556" t="b">
        <v>1</v>
      </c>
      <c r="W556" t="b">
        <v>0</v>
      </c>
      <c r="X556">
        <v>1.3</v>
      </c>
      <c r="Y556">
        <v>7.3</v>
      </c>
      <c r="Z556">
        <v>5</v>
      </c>
      <c r="AA556">
        <v>11.3</v>
      </c>
      <c r="AB556" s="3">
        <v>70.56</v>
      </c>
      <c r="AC556" s="3"/>
      <c r="AD556">
        <v>5</v>
      </c>
      <c r="AE556" t="s">
        <v>46</v>
      </c>
      <c r="AF556" s="4"/>
    </row>
    <row r="557" spans="1:32" x14ac:dyDescent="0.3">
      <c r="A557" t="s">
        <v>648</v>
      </c>
      <c r="B557">
        <v>19</v>
      </c>
      <c r="C557" t="str">
        <f t="shared" si="8"/>
        <v>Teenager</v>
      </c>
      <c r="D557" t="s">
        <v>28</v>
      </c>
      <c r="E557">
        <v>4.8</v>
      </c>
      <c r="G557" t="s">
        <v>82</v>
      </c>
      <c r="H557" t="s">
        <v>134</v>
      </c>
      <c r="I557" t="s">
        <v>71</v>
      </c>
      <c r="J557">
        <v>7</v>
      </c>
      <c r="L557" t="s">
        <v>51</v>
      </c>
      <c r="M557" t="s">
        <v>45</v>
      </c>
      <c r="N557" t="s">
        <v>51</v>
      </c>
      <c r="O557">
        <v>2.78</v>
      </c>
      <c r="P557">
        <v>1</v>
      </c>
      <c r="Q557" t="s">
        <v>69</v>
      </c>
      <c r="R557" t="s">
        <v>57</v>
      </c>
      <c r="S557" t="b">
        <v>0</v>
      </c>
      <c r="T557" t="b">
        <v>0</v>
      </c>
      <c r="U557" t="b">
        <v>0</v>
      </c>
      <c r="V557" t="b">
        <v>1</v>
      </c>
      <c r="W557" t="b">
        <v>0</v>
      </c>
      <c r="X557">
        <v>3.2</v>
      </c>
      <c r="Y557">
        <v>8.1</v>
      </c>
      <c r="Z557">
        <v>2</v>
      </c>
      <c r="AA557">
        <v>8.6</v>
      </c>
      <c r="AB557" s="3">
        <v>97.99</v>
      </c>
      <c r="AC557" s="3"/>
      <c r="AD557">
        <v>6</v>
      </c>
      <c r="AE557" t="s">
        <v>46</v>
      </c>
      <c r="AF557" s="4"/>
    </row>
    <row r="558" spans="1:32" x14ac:dyDescent="0.3">
      <c r="A558" t="s">
        <v>649</v>
      </c>
      <c r="B558">
        <v>20</v>
      </c>
      <c r="C558" t="str">
        <f t="shared" si="8"/>
        <v>Young Adults</v>
      </c>
      <c r="D558" t="s">
        <v>28</v>
      </c>
      <c r="E558">
        <v>11.7</v>
      </c>
      <c r="G558" t="s">
        <v>29</v>
      </c>
      <c r="H558" t="s">
        <v>118</v>
      </c>
      <c r="I558" t="s">
        <v>71</v>
      </c>
      <c r="J558">
        <v>5.5</v>
      </c>
      <c r="L558" t="s">
        <v>32</v>
      </c>
      <c r="M558" t="s">
        <v>74</v>
      </c>
      <c r="N558" t="s">
        <v>62</v>
      </c>
      <c r="O558">
        <v>2.69</v>
      </c>
      <c r="P558">
        <v>7</v>
      </c>
      <c r="Q558" t="s">
        <v>69</v>
      </c>
      <c r="R558" t="s">
        <v>57</v>
      </c>
      <c r="S558" t="b">
        <v>1</v>
      </c>
      <c r="T558" t="b">
        <v>1</v>
      </c>
      <c r="U558" t="b">
        <v>1</v>
      </c>
      <c r="V558" t="b">
        <v>1</v>
      </c>
      <c r="W558" t="b">
        <v>0</v>
      </c>
      <c r="X558">
        <v>0.1</v>
      </c>
      <c r="Y558">
        <v>5.4</v>
      </c>
      <c r="Z558">
        <v>7</v>
      </c>
      <c r="AA558">
        <v>0.2</v>
      </c>
      <c r="AB558" s="3">
        <v>360.29</v>
      </c>
      <c r="AC558" s="3"/>
      <c r="AD558">
        <v>3</v>
      </c>
      <c r="AE558" t="s">
        <v>37</v>
      </c>
      <c r="AF558" s="4"/>
    </row>
    <row r="559" spans="1:32" x14ac:dyDescent="0.3">
      <c r="A559" t="s">
        <v>650</v>
      </c>
      <c r="B559">
        <v>26</v>
      </c>
      <c r="C559" t="str">
        <f t="shared" si="8"/>
        <v>Young Adults</v>
      </c>
      <c r="D559" t="s">
        <v>28</v>
      </c>
      <c r="E559">
        <v>2.5</v>
      </c>
      <c r="G559" t="s">
        <v>39</v>
      </c>
      <c r="H559" t="s">
        <v>40</v>
      </c>
      <c r="I559" t="s">
        <v>31</v>
      </c>
      <c r="J559">
        <v>7.6</v>
      </c>
      <c r="L559" t="s">
        <v>43</v>
      </c>
      <c r="M559" t="s">
        <v>74</v>
      </c>
      <c r="N559" t="s">
        <v>43</v>
      </c>
      <c r="P559">
        <v>4</v>
      </c>
      <c r="Q559" t="s">
        <v>35</v>
      </c>
      <c r="R559" t="s">
        <v>57</v>
      </c>
      <c r="S559" t="b">
        <v>0</v>
      </c>
      <c r="T559" t="b">
        <v>0</v>
      </c>
      <c r="U559" t="b">
        <v>0</v>
      </c>
      <c r="V559" t="b">
        <v>0</v>
      </c>
      <c r="W559" t="b">
        <v>0</v>
      </c>
      <c r="X559">
        <v>0.5</v>
      </c>
      <c r="Y559">
        <v>8.8000000000000007</v>
      </c>
      <c r="Z559">
        <v>1</v>
      </c>
      <c r="AA559">
        <v>13.5</v>
      </c>
      <c r="AB559" s="3">
        <v>0.43</v>
      </c>
      <c r="AC559" s="3"/>
      <c r="AD559">
        <v>11</v>
      </c>
      <c r="AE559" t="s">
        <v>46</v>
      </c>
      <c r="AF559" s="4"/>
    </row>
    <row r="560" spans="1:32" x14ac:dyDescent="0.3">
      <c r="A560" t="s">
        <v>651</v>
      </c>
      <c r="B560">
        <v>33</v>
      </c>
      <c r="C560" t="str">
        <f t="shared" si="8"/>
        <v>Old Adults</v>
      </c>
      <c r="D560" t="s">
        <v>28</v>
      </c>
      <c r="E560">
        <v>5.2</v>
      </c>
      <c r="G560" t="s">
        <v>39</v>
      </c>
      <c r="H560" t="s">
        <v>120</v>
      </c>
      <c r="I560" t="s">
        <v>71</v>
      </c>
      <c r="J560">
        <v>5.3</v>
      </c>
      <c r="L560" t="s">
        <v>43</v>
      </c>
      <c r="M560" t="s">
        <v>42</v>
      </c>
      <c r="N560" t="s">
        <v>84</v>
      </c>
      <c r="P560">
        <v>10</v>
      </c>
      <c r="Q560" t="s">
        <v>44</v>
      </c>
      <c r="R560" t="s">
        <v>33</v>
      </c>
      <c r="S560" t="b">
        <v>0</v>
      </c>
      <c r="T560" t="b">
        <v>0</v>
      </c>
      <c r="U560" t="b">
        <v>0</v>
      </c>
      <c r="V560" t="b">
        <v>1</v>
      </c>
      <c r="W560" t="b">
        <v>0</v>
      </c>
      <c r="X560">
        <v>0.7</v>
      </c>
      <c r="Y560">
        <v>8.1999999999999993</v>
      </c>
      <c r="Z560">
        <v>2</v>
      </c>
      <c r="AA560">
        <v>9.1999999999999993</v>
      </c>
      <c r="AB560" s="3">
        <v>102.88</v>
      </c>
      <c r="AC560" s="3"/>
      <c r="AD560">
        <v>19</v>
      </c>
      <c r="AE560" t="s">
        <v>46</v>
      </c>
      <c r="AF560" s="4"/>
    </row>
    <row r="561" spans="1:32" x14ac:dyDescent="0.3">
      <c r="A561" t="s">
        <v>652</v>
      </c>
      <c r="B561">
        <v>19</v>
      </c>
      <c r="C561" t="str">
        <f t="shared" si="8"/>
        <v>Teenager</v>
      </c>
      <c r="D561" t="s">
        <v>28</v>
      </c>
      <c r="E561">
        <v>4.5999999999999996</v>
      </c>
      <c r="G561" t="s">
        <v>39</v>
      </c>
      <c r="H561" t="s">
        <v>120</v>
      </c>
      <c r="I561" t="s">
        <v>50</v>
      </c>
      <c r="J561">
        <v>5.4</v>
      </c>
      <c r="L561" t="s">
        <v>41</v>
      </c>
      <c r="M561" t="s">
        <v>42</v>
      </c>
      <c r="N561" t="s">
        <v>62</v>
      </c>
      <c r="O561">
        <v>1.85</v>
      </c>
      <c r="P561">
        <v>9</v>
      </c>
      <c r="Q561" t="s">
        <v>80</v>
      </c>
      <c r="R561" t="s">
        <v>36</v>
      </c>
      <c r="S561" t="b">
        <v>0</v>
      </c>
      <c r="T561" t="b">
        <v>0</v>
      </c>
      <c r="U561" t="b">
        <v>0</v>
      </c>
      <c r="V561" t="b">
        <v>0</v>
      </c>
      <c r="W561" t="b">
        <v>0</v>
      </c>
      <c r="X561">
        <v>0.2</v>
      </c>
      <c r="Y561">
        <v>5.5</v>
      </c>
      <c r="Z561">
        <v>1</v>
      </c>
      <c r="AA561">
        <v>11.2</v>
      </c>
      <c r="AB561" s="3">
        <v>37.92</v>
      </c>
      <c r="AC561" s="3"/>
      <c r="AD561">
        <v>7</v>
      </c>
      <c r="AE561" t="s">
        <v>46</v>
      </c>
      <c r="AF561" s="4"/>
    </row>
    <row r="562" spans="1:32" x14ac:dyDescent="0.3">
      <c r="A562" t="s">
        <v>653</v>
      </c>
      <c r="B562">
        <v>18</v>
      </c>
      <c r="C562" t="str">
        <f t="shared" si="8"/>
        <v>Teenager</v>
      </c>
      <c r="D562" t="s">
        <v>28</v>
      </c>
      <c r="E562">
        <v>4</v>
      </c>
      <c r="G562" t="s">
        <v>39</v>
      </c>
      <c r="H562" t="s">
        <v>120</v>
      </c>
      <c r="I562" t="s">
        <v>50</v>
      </c>
      <c r="J562">
        <v>5.8</v>
      </c>
      <c r="L562" t="s">
        <v>51</v>
      </c>
      <c r="M562" t="s">
        <v>74</v>
      </c>
      <c r="N562" t="s">
        <v>84</v>
      </c>
      <c r="O562">
        <v>3.29</v>
      </c>
      <c r="Q562" t="s">
        <v>66</v>
      </c>
      <c r="R562" t="s">
        <v>33</v>
      </c>
      <c r="S562" t="b">
        <v>0</v>
      </c>
      <c r="T562" t="b">
        <v>0</v>
      </c>
      <c r="U562" t="b">
        <v>0</v>
      </c>
      <c r="V562" t="b">
        <v>0</v>
      </c>
      <c r="W562" t="b">
        <v>0</v>
      </c>
      <c r="X562">
        <v>0.1</v>
      </c>
      <c r="Y562">
        <v>8.6999999999999993</v>
      </c>
      <c r="Z562">
        <v>3</v>
      </c>
      <c r="AA562">
        <v>13.2</v>
      </c>
      <c r="AB562" s="3">
        <v>26.29</v>
      </c>
      <c r="AC562" s="3"/>
      <c r="AD562">
        <v>4</v>
      </c>
      <c r="AE562" t="s">
        <v>46</v>
      </c>
      <c r="AF562" s="4"/>
    </row>
    <row r="563" spans="1:32" x14ac:dyDescent="0.3">
      <c r="A563" t="s">
        <v>654</v>
      </c>
      <c r="B563">
        <v>20</v>
      </c>
      <c r="C563" t="str">
        <f t="shared" si="8"/>
        <v>Young Adults</v>
      </c>
      <c r="D563" t="s">
        <v>53</v>
      </c>
      <c r="E563">
        <v>1.7</v>
      </c>
      <c r="G563" t="s">
        <v>29</v>
      </c>
      <c r="H563" t="s">
        <v>30</v>
      </c>
      <c r="I563" t="s">
        <v>71</v>
      </c>
      <c r="J563">
        <v>8.6999999999999993</v>
      </c>
      <c r="L563" t="s">
        <v>43</v>
      </c>
      <c r="M563" t="s">
        <v>42</v>
      </c>
      <c r="N563" t="s">
        <v>84</v>
      </c>
      <c r="O563">
        <v>3.88</v>
      </c>
      <c r="P563">
        <v>7</v>
      </c>
      <c r="Q563" t="s">
        <v>66</v>
      </c>
      <c r="R563" t="s">
        <v>57</v>
      </c>
      <c r="S563" t="b">
        <v>0</v>
      </c>
      <c r="T563" t="b">
        <v>0</v>
      </c>
      <c r="U563" t="b">
        <v>0</v>
      </c>
      <c r="V563" t="b">
        <v>0</v>
      </c>
      <c r="W563" t="b">
        <v>0</v>
      </c>
      <c r="X563">
        <v>0.1</v>
      </c>
      <c r="Y563">
        <v>7.6</v>
      </c>
      <c r="Z563">
        <v>1</v>
      </c>
      <c r="AA563">
        <v>10.4</v>
      </c>
      <c r="AB563" s="3">
        <v>2.0099999999999998</v>
      </c>
      <c r="AC563" s="3"/>
      <c r="AD563">
        <v>3</v>
      </c>
      <c r="AE563" t="s">
        <v>46</v>
      </c>
      <c r="AF563" s="4"/>
    </row>
    <row r="564" spans="1:32" x14ac:dyDescent="0.3">
      <c r="A564" t="s">
        <v>655</v>
      </c>
      <c r="B564">
        <v>16</v>
      </c>
      <c r="C564" t="str">
        <f t="shared" si="8"/>
        <v>Teenager</v>
      </c>
      <c r="D564" t="s">
        <v>28</v>
      </c>
      <c r="E564">
        <v>7.6</v>
      </c>
      <c r="G564" t="s">
        <v>48</v>
      </c>
      <c r="H564" t="s">
        <v>128</v>
      </c>
      <c r="I564" t="s">
        <v>86</v>
      </c>
      <c r="J564">
        <v>3.3</v>
      </c>
      <c r="L564" t="s">
        <v>78</v>
      </c>
      <c r="M564" t="s">
        <v>74</v>
      </c>
      <c r="N564" t="s">
        <v>51</v>
      </c>
      <c r="O564">
        <v>1.73</v>
      </c>
      <c r="Q564" t="s">
        <v>56</v>
      </c>
      <c r="R564" t="s">
        <v>57</v>
      </c>
      <c r="S564" t="b">
        <v>1</v>
      </c>
      <c r="T564" t="b">
        <v>0</v>
      </c>
      <c r="U564" t="b">
        <v>0</v>
      </c>
      <c r="V564" t="b">
        <v>0</v>
      </c>
      <c r="W564" t="b">
        <v>1</v>
      </c>
      <c r="X564">
        <v>4.5999999999999996</v>
      </c>
      <c r="Y564">
        <v>6.9</v>
      </c>
      <c r="Z564">
        <v>3</v>
      </c>
      <c r="AA564">
        <v>4.0999999999999996</v>
      </c>
      <c r="AB564" s="3">
        <v>42.16</v>
      </c>
      <c r="AC564" s="3"/>
      <c r="AD564">
        <v>1</v>
      </c>
      <c r="AE564" t="s">
        <v>64</v>
      </c>
      <c r="AF564" s="4"/>
    </row>
    <row r="565" spans="1:32" x14ac:dyDescent="0.3">
      <c r="A565" t="s">
        <v>656</v>
      </c>
      <c r="B565">
        <v>22</v>
      </c>
      <c r="C565" t="str">
        <f t="shared" si="8"/>
        <v>Young Adults</v>
      </c>
      <c r="D565" t="s">
        <v>28</v>
      </c>
      <c r="E565">
        <v>4.5</v>
      </c>
      <c r="G565" t="s">
        <v>76</v>
      </c>
      <c r="H565" t="s">
        <v>77</v>
      </c>
      <c r="I565" t="s">
        <v>86</v>
      </c>
      <c r="J565">
        <v>6.9</v>
      </c>
      <c r="L565" t="s">
        <v>51</v>
      </c>
      <c r="M565" t="s">
        <v>33</v>
      </c>
      <c r="N565" t="s">
        <v>34</v>
      </c>
      <c r="O565">
        <v>1.54</v>
      </c>
      <c r="P565">
        <v>10</v>
      </c>
      <c r="Q565" t="s">
        <v>69</v>
      </c>
      <c r="R565" t="s">
        <v>33</v>
      </c>
      <c r="S565" t="b">
        <v>0</v>
      </c>
      <c r="T565" t="b">
        <v>0</v>
      </c>
      <c r="U565" t="b">
        <v>0</v>
      </c>
      <c r="V565" t="b">
        <v>1</v>
      </c>
      <c r="W565" t="b">
        <v>0</v>
      </c>
      <c r="X565">
        <v>2.7</v>
      </c>
      <c r="Y565">
        <v>7.1</v>
      </c>
      <c r="Z565">
        <v>2</v>
      </c>
      <c r="AA565">
        <v>11.8</v>
      </c>
      <c r="AB565" s="3">
        <v>92.49</v>
      </c>
      <c r="AC565" s="3"/>
      <c r="AD565">
        <v>8</v>
      </c>
      <c r="AE565" t="s">
        <v>46</v>
      </c>
      <c r="AF565" s="4"/>
    </row>
    <row r="566" spans="1:32" x14ac:dyDescent="0.3">
      <c r="A566" t="s">
        <v>657</v>
      </c>
      <c r="B566">
        <v>23</v>
      </c>
      <c r="C566" t="str">
        <f t="shared" si="8"/>
        <v>Young Adults</v>
      </c>
      <c r="D566" t="s">
        <v>152</v>
      </c>
      <c r="E566">
        <v>4.5999999999999996</v>
      </c>
      <c r="G566" t="s">
        <v>76</v>
      </c>
      <c r="H566" t="s">
        <v>110</v>
      </c>
      <c r="I566" t="s">
        <v>86</v>
      </c>
      <c r="J566">
        <v>6.3</v>
      </c>
      <c r="L566" t="s">
        <v>41</v>
      </c>
      <c r="M566" t="s">
        <v>45</v>
      </c>
      <c r="N566" t="s">
        <v>34</v>
      </c>
      <c r="P566">
        <v>6</v>
      </c>
      <c r="Q566" t="s">
        <v>66</v>
      </c>
      <c r="R566" t="s">
        <v>36</v>
      </c>
      <c r="S566" t="b">
        <v>0</v>
      </c>
      <c r="T566" t="b">
        <v>0</v>
      </c>
      <c r="U566" t="b">
        <v>0</v>
      </c>
      <c r="V566" t="b">
        <v>0</v>
      </c>
      <c r="W566" t="b">
        <v>0</v>
      </c>
      <c r="X566">
        <v>0.8</v>
      </c>
      <c r="Y566">
        <v>6.8</v>
      </c>
      <c r="Z566">
        <v>4</v>
      </c>
      <c r="AA566">
        <v>10.9</v>
      </c>
      <c r="AB566" s="3">
        <v>134.52000000000001</v>
      </c>
      <c r="AC566" s="3"/>
      <c r="AD566">
        <v>11</v>
      </c>
      <c r="AE566" t="s">
        <v>46</v>
      </c>
      <c r="AF566" s="4"/>
    </row>
    <row r="567" spans="1:32" x14ac:dyDescent="0.3">
      <c r="A567" t="s">
        <v>658</v>
      </c>
      <c r="B567">
        <v>18</v>
      </c>
      <c r="C567" t="str">
        <f t="shared" si="8"/>
        <v>Teenager</v>
      </c>
      <c r="D567" t="s">
        <v>28</v>
      </c>
      <c r="E567">
        <v>2.2999999999999998</v>
      </c>
      <c r="G567" t="s">
        <v>82</v>
      </c>
      <c r="H567" t="s">
        <v>167</v>
      </c>
      <c r="I567" t="s">
        <v>71</v>
      </c>
      <c r="J567">
        <v>7.3</v>
      </c>
      <c r="L567" t="s">
        <v>43</v>
      </c>
      <c r="M567" t="s">
        <v>33</v>
      </c>
      <c r="N567" t="s">
        <v>62</v>
      </c>
      <c r="O567">
        <v>1.63</v>
      </c>
      <c r="Q567" t="s">
        <v>66</v>
      </c>
      <c r="R567" t="s">
        <v>42</v>
      </c>
      <c r="S567" t="b">
        <v>0</v>
      </c>
      <c r="T567" t="b">
        <v>0</v>
      </c>
      <c r="U567" t="b">
        <v>0</v>
      </c>
      <c r="V567" t="b">
        <v>0</v>
      </c>
      <c r="W567" t="b">
        <v>0</v>
      </c>
      <c r="X567">
        <v>0.4</v>
      </c>
      <c r="Y567">
        <v>9.8000000000000007</v>
      </c>
      <c r="Z567">
        <v>1</v>
      </c>
      <c r="AA567">
        <v>13.1</v>
      </c>
      <c r="AB567" s="3">
        <v>35.89</v>
      </c>
      <c r="AC567" s="3"/>
      <c r="AD567">
        <v>2</v>
      </c>
      <c r="AE567" t="s">
        <v>46</v>
      </c>
      <c r="AF567" s="4"/>
    </row>
    <row r="568" spans="1:32" x14ac:dyDescent="0.3">
      <c r="A568" t="s">
        <v>659</v>
      </c>
      <c r="B568">
        <v>25</v>
      </c>
      <c r="C568" t="str">
        <f t="shared" si="8"/>
        <v>Young Adults</v>
      </c>
      <c r="D568" t="s">
        <v>53</v>
      </c>
      <c r="E568">
        <v>5.3</v>
      </c>
      <c r="G568" t="s">
        <v>39</v>
      </c>
      <c r="H568" t="s">
        <v>120</v>
      </c>
      <c r="I568" t="s">
        <v>86</v>
      </c>
      <c r="J568">
        <v>6</v>
      </c>
      <c r="L568" t="s">
        <v>51</v>
      </c>
      <c r="M568" t="s">
        <v>36</v>
      </c>
      <c r="N568" t="s">
        <v>34</v>
      </c>
      <c r="P568">
        <v>3</v>
      </c>
      <c r="Q568" t="s">
        <v>105</v>
      </c>
      <c r="R568" t="s">
        <v>57</v>
      </c>
      <c r="S568" t="b">
        <v>0</v>
      </c>
      <c r="T568" t="b">
        <v>0</v>
      </c>
      <c r="U568" t="b">
        <v>0</v>
      </c>
      <c r="V568" t="b">
        <v>1</v>
      </c>
      <c r="W568" t="b">
        <v>0</v>
      </c>
      <c r="X568">
        <v>0.6</v>
      </c>
      <c r="Y568">
        <v>8.8000000000000007</v>
      </c>
      <c r="Z568">
        <v>2</v>
      </c>
      <c r="AA568">
        <v>6.3</v>
      </c>
      <c r="AB568" s="3">
        <v>123.9</v>
      </c>
      <c r="AC568" s="3"/>
      <c r="AD568">
        <v>6</v>
      </c>
      <c r="AE568" t="s">
        <v>46</v>
      </c>
      <c r="AF568" s="4"/>
    </row>
    <row r="569" spans="1:32" x14ac:dyDescent="0.3">
      <c r="A569" t="s">
        <v>660</v>
      </c>
      <c r="B569">
        <v>20</v>
      </c>
      <c r="C569" t="str">
        <f t="shared" si="8"/>
        <v>Young Adults</v>
      </c>
      <c r="D569" t="s">
        <v>28</v>
      </c>
      <c r="E569">
        <v>8</v>
      </c>
      <c r="G569" t="s">
        <v>39</v>
      </c>
      <c r="H569" t="s">
        <v>40</v>
      </c>
      <c r="I569" t="s">
        <v>50</v>
      </c>
      <c r="J569">
        <v>5.8</v>
      </c>
      <c r="L569" t="s">
        <v>51</v>
      </c>
      <c r="M569" t="s">
        <v>42</v>
      </c>
      <c r="N569" t="s">
        <v>34</v>
      </c>
      <c r="O569">
        <v>2.75</v>
      </c>
      <c r="P569">
        <v>6</v>
      </c>
      <c r="Q569" t="s">
        <v>69</v>
      </c>
      <c r="R569" t="s">
        <v>45</v>
      </c>
      <c r="S569" t="b">
        <v>1</v>
      </c>
      <c r="T569" t="b">
        <v>1</v>
      </c>
      <c r="U569" t="b">
        <v>1</v>
      </c>
      <c r="V569" t="b">
        <v>0</v>
      </c>
      <c r="W569" t="b">
        <v>1</v>
      </c>
      <c r="X569">
        <v>1.2</v>
      </c>
      <c r="Y569">
        <v>4.7</v>
      </c>
      <c r="Z569">
        <v>5</v>
      </c>
      <c r="AA569">
        <v>6.2</v>
      </c>
      <c r="AB569" s="3">
        <v>42.42</v>
      </c>
      <c r="AC569" s="3"/>
      <c r="AD569">
        <v>3</v>
      </c>
      <c r="AE569" t="s">
        <v>37</v>
      </c>
      <c r="AF569" s="4"/>
    </row>
    <row r="570" spans="1:32" x14ac:dyDescent="0.3">
      <c r="A570" t="s">
        <v>661</v>
      </c>
      <c r="B570">
        <v>13</v>
      </c>
      <c r="C570" t="str">
        <f t="shared" si="8"/>
        <v>Teenager</v>
      </c>
      <c r="D570" t="s">
        <v>28</v>
      </c>
      <c r="E570">
        <v>2.2999999999999998</v>
      </c>
      <c r="G570" t="s">
        <v>39</v>
      </c>
      <c r="H570" t="s">
        <v>93</v>
      </c>
      <c r="I570" t="s">
        <v>86</v>
      </c>
      <c r="J570">
        <v>8.1999999999999993</v>
      </c>
      <c r="L570" t="s">
        <v>41</v>
      </c>
      <c r="M570" t="s">
        <v>74</v>
      </c>
      <c r="N570" t="s">
        <v>34</v>
      </c>
      <c r="O570">
        <v>2.99</v>
      </c>
      <c r="Q570" t="s">
        <v>66</v>
      </c>
      <c r="R570" t="s">
        <v>33</v>
      </c>
      <c r="S570" t="b">
        <v>0</v>
      </c>
      <c r="T570" t="b">
        <v>0</v>
      </c>
      <c r="U570" t="b">
        <v>0</v>
      </c>
      <c r="V570" t="b">
        <v>0</v>
      </c>
      <c r="W570" t="b">
        <v>0</v>
      </c>
      <c r="X570">
        <v>0.1</v>
      </c>
      <c r="Y570">
        <v>10.6</v>
      </c>
      <c r="Z570">
        <v>1</v>
      </c>
      <c r="AA570">
        <v>10.7</v>
      </c>
      <c r="AB570" s="3">
        <v>13.49</v>
      </c>
      <c r="AC570" s="3"/>
      <c r="AD570">
        <v>1</v>
      </c>
      <c r="AE570" t="s">
        <v>46</v>
      </c>
      <c r="AF570" s="4"/>
    </row>
    <row r="571" spans="1:32" x14ac:dyDescent="0.3">
      <c r="A571" t="s">
        <v>662</v>
      </c>
      <c r="B571">
        <v>34</v>
      </c>
      <c r="C571" t="str">
        <f t="shared" si="8"/>
        <v>Old Adults</v>
      </c>
      <c r="D571" t="s">
        <v>28</v>
      </c>
      <c r="E571">
        <v>3.9</v>
      </c>
      <c r="G571" t="s">
        <v>39</v>
      </c>
      <c r="H571" t="s">
        <v>40</v>
      </c>
      <c r="I571" t="s">
        <v>31</v>
      </c>
      <c r="J571">
        <v>5.0999999999999996</v>
      </c>
      <c r="L571" t="s">
        <v>41</v>
      </c>
      <c r="M571" t="s">
        <v>33</v>
      </c>
      <c r="N571" t="s">
        <v>84</v>
      </c>
      <c r="P571">
        <v>2</v>
      </c>
      <c r="Q571" t="s">
        <v>44</v>
      </c>
      <c r="R571" t="s">
        <v>33</v>
      </c>
      <c r="S571" t="b">
        <v>0</v>
      </c>
      <c r="T571" t="b">
        <v>0</v>
      </c>
      <c r="U571" t="b">
        <v>0</v>
      </c>
      <c r="V571" t="b">
        <v>0</v>
      </c>
      <c r="W571" t="b">
        <v>0</v>
      </c>
      <c r="X571">
        <v>0.1</v>
      </c>
      <c r="Y571">
        <v>6.5</v>
      </c>
      <c r="Z571">
        <v>2</v>
      </c>
      <c r="AA571">
        <v>8.8000000000000007</v>
      </c>
      <c r="AB571" s="3">
        <v>23.55</v>
      </c>
      <c r="AC571" s="3"/>
      <c r="AD571">
        <v>17</v>
      </c>
      <c r="AE571" t="s">
        <v>46</v>
      </c>
      <c r="AF571" s="4"/>
    </row>
    <row r="572" spans="1:32" x14ac:dyDescent="0.3">
      <c r="A572" t="s">
        <v>663</v>
      </c>
      <c r="B572">
        <v>28</v>
      </c>
      <c r="C572" t="str">
        <f t="shared" si="8"/>
        <v>Young Adults</v>
      </c>
      <c r="D572" t="s">
        <v>53</v>
      </c>
      <c r="E572">
        <v>7.8</v>
      </c>
      <c r="G572" t="s">
        <v>60</v>
      </c>
      <c r="H572" t="s">
        <v>96</v>
      </c>
      <c r="I572" t="s">
        <v>86</v>
      </c>
      <c r="J572">
        <v>4.7</v>
      </c>
      <c r="L572" t="s">
        <v>41</v>
      </c>
      <c r="M572" t="s">
        <v>42</v>
      </c>
      <c r="N572" t="s">
        <v>51</v>
      </c>
      <c r="P572">
        <v>1</v>
      </c>
      <c r="Q572" t="s">
        <v>35</v>
      </c>
      <c r="R572" t="s">
        <v>42</v>
      </c>
      <c r="S572" t="b">
        <v>1</v>
      </c>
      <c r="T572" t="b">
        <v>1</v>
      </c>
      <c r="U572" t="b">
        <v>1</v>
      </c>
      <c r="V572" t="b">
        <v>1</v>
      </c>
      <c r="W572" t="b">
        <v>1</v>
      </c>
      <c r="X572">
        <v>0.8</v>
      </c>
      <c r="Y572">
        <v>4</v>
      </c>
      <c r="Z572">
        <v>6</v>
      </c>
      <c r="AA572">
        <v>2.7</v>
      </c>
      <c r="AB572" s="3">
        <v>88.65</v>
      </c>
      <c r="AC572" s="3"/>
      <c r="AD572">
        <v>14</v>
      </c>
      <c r="AE572" t="s">
        <v>37</v>
      </c>
      <c r="AF572" s="4"/>
    </row>
    <row r="573" spans="1:32" x14ac:dyDescent="0.3">
      <c r="A573" t="s">
        <v>664</v>
      </c>
      <c r="B573">
        <v>17</v>
      </c>
      <c r="C573" t="str">
        <f t="shared" si="8"/>
        <v>Teenager</v>
      </c>
      <c r="D573" t="s">
        <v>28</v>
      </c>
      <c r="E573">
        <v>8.4</v>
      </c>
      <c r="G573" t="s">
        <v>76</v>
      </c>
      <c r="H573" t="s">
        <v>110</v>
      </c>
      <c r="I573" t="s">
        <v>71</v>
      </c>
      <c r="J573">
        <v>3.4</v>
      </c>
      <c r="L573" t="s">
        <v>51</v>
      </c>
      <c r="M573" t="s">
        <v>74</v>
      </c>
      <c r="N573" t="s">
        <v>62</v>
      </c>
      <c r="O573">
        <v>3.69</v>
      </c>
      <c r="Q573" t="s">
        <v>63</v>
      </c>
      <c r="R573" t="s">
        <v>33</v>
      </c>
      <c r="S573" t="b">
        <v>1</v>
      </c>
      <c r="T573" t="b">
        <v>0</v>
      </c>
      <c r="U573" t="b">
        <v>1</v>
      </c>
      <c r="V573" t="b">
        <v>0</v>
      </c>
      <c r="W573" t="b">
        <v>0</v>
      </c>
      <c r="X573">
        <v>2.7</v>
      </c>
      <c r="Y573">
        <v>7.9</v>
      </c>
      <c r="Z573">
        <v>3</v>
      </c>
      <c r="AA573">
        <v>2.7</v>
      </c>
      <c r="AB573" s="3">
        <v>76.72</v>
      </c>
      <c r="AC573" s="3"/>
      <c r="AD573">
        <v>1</v>
      </c>
      <c r="AE573" t="s">
        <v>58</v>
      </c>
      <c r="AF573" s="4"/>
    </row>
    <row r="574" spans="1:32" x14ac:dyDescent="0.3">
      <c r="A574" t="s">
        <v>665</v>
      </c>
      <c r="B574">
        <v>20</v>
      </c>
      <c r="C574" t="str">
        <f t="shared" si="8"/>
        <v>Young Adults</v>
      </c>
      <c r="D574" t="s">
        <v>28</v>
      </c>
      <c r="E574">
        <v>5.3</v>
      </c>
      <c r="G574" t="s">
        <v>82</v>
      </c>
      <c r="H574" t="s">
        <v>167</v>
      </c>
      <c r="I574" t="s">
        <v>50</v>
      </c>
      <c r="J574">
        <v>5.5</v>
      </c>
      <c r="L574" t="s">
        <v>32</v>
      </c>
      <c r="M574" t="s">
        <v>33</v>
      </c>
      <c r="N574" t="s">
        <v>51</v>
      </c>
      <c r="O574">
        <v>2.34</v>
      </c>
      <c r="P574">
        <v>6</v>
      </c>
      <c r="Q574" t="s">
        <v>44</v>
      </c>
      <c r="R574" t="s">
        <v>33</v>
      </c>
      <c r="S574" t="b">
        <v>0</v>
      </c>
      <c r="T574" t="b">
        <v>0</v>
      </c>
      <c r="U574" t="b">
        <v>0</v>
      </c>
      <c r="V574" t="b">
        <v>1</v>
      </c>
      <c r="W574" t="b">
        <v>0</v>
      </c>
      <c r="X574">
        <v>1.3</v>
      </c>
      <c r="Y574">
        <v>8.5</v>
      </c>
      <c r="Z574">
        <v>4</v>
      </c>
      <c r="AA574">
        <v>8.6999999999999993</v>
      </c>
      <c r="AB574" s="3">
        <v>140.81</v>
      </c>
      <c r="AC574" s="3"/>
      <c r="AD574">
        <v>5</v>
      </c>
      <c r="AE574" t="s">
        <v>46</v>
      </c>
      <c r="AF574" s="4"/>
    </row>
    <row r="575" spans="1:32" x14ac:dyDescent="0.3">
      <c r="A575" t="s">
        <v>666</v>
      </c>
      <c r="B575">
        <v>23</v>
      </c>
      <c r="C575" t="str">
        <f t="shared" si="8"/>
        <v>Young Adults</v>
      </c>
      <c r="D575" t="s">
        <v>28</v>
      </c>
      <c r="E575">
        <v>3.5</v>
      </c>
      <c r="G575" t="s">
        <v>60</v>
      </c>
      <c r="H575" t="s">
        <v>96</v>
      </c>
      <c r="I575" t="s">
        <v>50</v>
      </c>
      <c r="J575">
        <v>6.9</v>
      </c>
      <c r="L575" t="s">
        <v>32</v>
      </c>
      <c r="M575" t="s">
        <v>45</v>
      </c>
      <c r="N575" t="s">
        <v>34</v>
      </c>
      <c r="P575">
        <v>2</v>
      </c>
      <c r="Q575" t="s">
        <v>80</v>
      </c>
      <c r="R575" t="s">
        <v>45</v>
      </c>
      <c r="S575" t="b">
        <v>0</v>
      </c>
      <c r="T575" t="b">
        <v>0</v>
      </c>
      <c r="U575" t="b">
        <v>0</v>
      </c>
      <c r="V575" t="b">
        <v>0</v>
      </c>
      <c r="W575" t="b">
        <v>0</v>
      </c>
      <c r="X575">
        <v>0.4</v>
      </c>
      <c r="Y575">
        <v>9.4</v>
      </c>
      <c r="Z575">
        <v>3</v>
      </c>
      <c r="AA575">
        <v>12.1</v>
      </c>
      <c r="AB575" s="3">
        <v>11.59</v>
      </c>
      <c r="AC575" s="3"/>
      <c r="AD575">
        <v>2</v>
      </c>
      <c r="AE575" t="s">
        <v>46</v>
      </c>
      <c r="AF575" s="4"/>
    </row>
    <row r="576" spans="1:32" x14ac:dyDescent="0.3">
      <c r="A576" t="s">
        <v>667</v>
      </c>
      <c r="B576">
        <v>23</v>
      </c>
      <c r="C576" t="str">
        <f t="shared" si="8"/>
        <v>Young Adults</v>
      </c>
      <c r="D576" t="s">
        <v>28</v>
      </c>
      <c r="E576">
        <v>4.3</v>
      </c>
      <c r="G576" t="s">
        <v>54</v>
      </c>
      <c r="H576" t="s">
        <v>89</v>
      </c>
      <c r="I576" t="s">
        <v>31</v>
      </c>
      <c r="J576">
        <v>5.5</v>
      </c>
      <c r="L576" t="s">
        <v>51</v>
      </c>
      <c r="M576" t="s">
        <v>45</v>
      </c>
      <c r="N576" t="s">
        <v>62</v>
      </c>
      <c r="P576">
        <v>1</v>
      </c>
      <c r="Q576" t="s">
        <v>105</v>
      </c>
      <c r="R576" t="s">
        <v>45</v>
      </c>
      <c r="S576" t="b">
        <v>0</v>
      </c>
      <c r="T576" t="b">
        <v>0</v>
      </c>
      <c r="U576" t="b">
        <v>0</v>
      </c>
      <c r="V576" t="b">
        <v>0</v>
      </c>
      <c r="W576" t="b">
        <v>0</v>
      </c>
      <c r="X576">
        <v>2.4</v>
      </c>
      <c r="Y576">
        <v>6.4</v>
      </c>
      <c r="Z576">
        <v>1</v>
      </c>
      <c r="AA576">
        <v>12.6</v>
      </c>
      <c r="AB576" s="3">
        <v>6.68</v>
      </c>
      <c r="AC576" s="3"/>
      <c r="AD576">
        <v>6</v>
      </c>
      <c r="AE576" t="s">
        <v>46</v>
      </c>
      <c r="AF576" s="4"/>
    </row>
    <row r="577" spans="1:32" x14ac:dyDescent="0.3">
      <c r="A577" t="s">
        <v>668</v>
      </c>
      <c r="B577">
        <v>21</v>
      </c>
      <c r="C577" t="str">
        <f t="shared" si="8"/>
        <v>Young Adults</v>
      </c>
      <c r="D577" t="s">
        <v>28</v>
      </c>
      <c r="E577">
        <v>6.5</v>
      </c>
      <c r="G577" t="s">
        <v>54</v>
      </c>
      <c r="H577" t="s">
        <v>55</v>
      </c>
      <c r="I577" t="s">
        <v>86</v>
      </c>
      <c r="J577">
        <v>5.7</v>
      </c>
      <c r="L577" t="s">
        <v>51</v>
      </c>
      <c r="M577" t="s">
        <v>33</v>
      </c>
      <c r="N577" t="s">
        <v>129</v>
      </c>
      <c r="O577">
        <v>1.76</v>
      </c>
      <c r="P577">
        <v>7</v>
      </c>
      <c r="Q577" t="s">
        <v>35</v>
      </c>
      <c r="R577" t="s">
        <v>33</v>
      </c>
      <c r="S577" t="b">
        <v>1</v>
      </c>
      <c r="T577" t="b">
        <v>1</v>
      </c>
      <c r="U577" t="b">
        <v>0</v>
      </c>
      <c r="V577" t="b">
        <v>1</v>
      </c>
      <c r="W577" t="b">
        <v>1</v>
      </c>
      <c r="X577">
        <v>1</v>
      </c>
      <c r="Y577">
        <v>6.2</v>
      </c>
      <c r="Z577">
        <v>4</v>
      </c>
      <c r="AA577">
        <v>5.4</v>
      </c>
      <c r="AB577" s="3">
        <v>132.29</v>
      </c>
      <c r="AC577" s="3"/>
      <c r="AD577">
        <v>4</v>
      </c>
      <c r="AE577" t="s">
        <v>58</v>
      </c>
      <c r="AF577" s="4"/>
    </row>
    <row r="578" spans="1:32" x14ac:dyDescent="0.3">
      <c r="A578" t="s">
        <v>669</v>
      </c>
      <c r="B578">
        <v>19</v>
      </c>
      <c r="C578" t="str">
        <f t="shared" si="8"/>
        <v>Teenager</v>
      </c>
      <c r="D578" t="s">
        <v>53</v>
      </c>
      <c r="E578">
        <v>1.3</v>
      </c>
      <c r="G578" t="s">
        <v>54</v>
      </c>
      <c r="H578" t="s">
        <v>55</v>
      </c>
      <c r="I578" t="s">
        <v>71</v>
      </c>
      <c r="J578">
        <v>9</v>
      </c>
      <c r="L578" t="s">
        <v>43</v>
      </c>
      <c r="M578" t="s">
        <v>36</v>
      </c>
      <c r="N578" t="s">
        <v>84</v>
      </c>
      <c r="O578">
        <v>3.45</v>
      </c>
      <c r="P578">
        <v>10</v>
      </c>
      <c r="Q578" t="s">
        <v>121</v>
      </c>
      <c r="R578" t="s">
        <v>33</v>
      </c>
      <c r="S578" t="b">
        <v>0</v>
      </c>
      <c r="T578" t="b">
        <v>0</v>
      </c>
      <c r="U578" t="b">
        <v>0</v>
      </c>
      <c r="V578" t="b">
        <v>0</v>
      </c>
      <c r="W578" t="b">
        <v>0</v>
      </c>
      <c r="X578">
        <v>0.1</v>
      </c>
      <c r="Y578">
        <v>11.3</v>
      </c>
      <c r="Z578">
        <v>1</v>
      </c>
      <c r="AA578">
        <v>11.5</v>
      </c>
      <c r="AB578" s="3">
        <v>25.35</v>
      </c>
      <c r="AC578" s="3"/>
      <c r="AD578">
        <v>5</v>
      </c>
      <c r="AE578" t="s">
        <v>46</v>
      </c>
      <c r="AF578" s="4"/>
    </row>
    <row r="579" spans="1:32" x14ac:dyDescent="0.3">
      <c r="A579" t="s">
        <v>670</v>
      </c>
      <c r="B579">
        <v>17</v>
      </c>
      <c r="C579" t="str">
        <f t="shared" ref="C579:C642" si="9">IF(B579&lt;=19,"Teenager",IF(B579&lt;=30,"Young Adults",IF(B579&gt;30,"Old Adults")))</f>
        <v>Teenager</v>
      </c>
      <c r="D579" t="s">
        <v>53</v>
      </c>
      <c r="E579">
        <v>7.1</v>
      </c>
      <c r="G579" t="s">
        <v>60</v>
      </c>
      <c r="H579" t="s">
        <v>96</v>
      </c>
      <c r="I579" t="s">
        <v>31</v>
      </c>
      <c r="J579">
        <v>5.2</v>
      </c>
      <c r="L579" t="s">
        <v>32</v>
      </c>
      <c r="M579" t="s">
        <v>33</v>
      </c>
      <c r="N579" t="s">
        <v>34</v>
      </c>
      <c r="O579">
        <v>3.36</v>
      </c>
      <c r="Q579" t="s">
        <v>44</v>
      </c>
      <c r="R579" t="s">
        <v>45</v>
      </c>
      <c r="S579" t="b">
        <v>1</v>
      </c>
      <c r="T579" t="b">
        <v>0</v>
      </c>
      <c r="U579" t="b">
        <v>0</v>
      </c>
      <c r="V579" t="b">
        <v>0</v>
      </c>
      <c r="W579" t="b">
        <v>1</v>
      </c>
      <c r="X579">
        <v>2.8</v>
      </c>
      <c r="Y579">
        <v>4.5</v>
      </c>
      <c r="Z579">
        <v>5</v>
      </c>
      <c r="AA579">
        <v>9.1999999999999993</v>
      </c>
      <c r="AB579" s="3">
        <v>86.64</v>
      </c>
      <c r="AC579" s="3"/>
      <c r="AD579">
        <v>5</v>
      </c>
      <c r="AE579" t="s">
        <v>64</v>
      </c>
      <c r="AF579" s="4"/>
    </row>
    <row r="580" spans="1:32" x14ac:dyDescent="0.3">
      <c r="A580" t="s">
        <v>671</v>
      </c>
      <c r="B580">
        <v>21</v>
      </c>
      <c r="C580" t="str">
        <f t="shared" si="9"/>
        <v>Young Adults</v>
      </c>
      <c r="D580" t="s">
        <v>53</v>
      </c>
      <c r="E580">
        <v>2.7</v>
      </c>
      <c r="G580" t="s">
        <v>29</v>
      </c>
      <c r="H580" t="s">
        <v>30</v>
      </c>
      <c r="I580" t="s">
        <v>71</v>
      </c>
      <c r="J580">
        <v>8.1999999999999993</v>
      </c>
      <c r="L580" t="s">
        <v>43</v>
      </c>
      <c r="M580" t="s">
        <v>74</v>
      </c>
      <c r="N580" t="s">
        <v>84</v>
      </c>
      <c r="O580">
        <v>3.63</v>
      </c>
      <c r="P580">
        <v>9</v>
      </c>
      <c r="Q580" t="s">
        <v>66</v>
      </c>
      <c r="R580" t="s">
        <v>45</v>
      </c>
      <c r="S580" t="b">
        <v>0</v>
      </c>
      <c r="T580" t="b">
        <v>0</v>
      </c>
      <c r="U580" t="b">
        <v>0</v>
      </c>
      <c r="V580" t="b">
        <v>0</v>
      </c>
      <c r="W580" t="b">
        <v>0</v>
      </c>
      <c r="X580">
        <v>0.4</v>
      </c>
      <c r="Y580">
        <v>10</v>
      </c>
      <c r="Z580">
        <v>2</v>
      </c>
      <c r="AA580">
        <v>13.2</v>
      </c>
      <c r="AB580" s="3">
        <v>34.35</v>
      </c>
      <c r="AC580" s="3"/>
      <c r="AD580">
        <v>3</v>
      </c>
      <c r="AE580" t="s">
        <v>46</v>
      </c>
      <c r="AF580" s="4"/>
    </row>
    <row r="581" spans="1:32" x14ac:dyDescent="0.3">
      <c r="A581" t="s">
        <v>672</v>
      </c>
      <c r="B581">
        <v>21</v>
      </c>
      <c r="C581" t="str">
        <f t="shared" si="9"/>
        <v>Young Adults</v>
      </c>
      <c r="D581" t="s">
        <v>28</v>
      </c>
      <c r="E581">
        <v>5.9</v>
      </c>
      <c r="G581" t="s">
        <v>82</v>
      </c>
      <c r="H581" t="s">
        <v>83</v>
      </c>
      <c r="I581" t="s">
        <v>71</v>
      </c>
      <c r="J581">
        <v>5.0999999999999996</v>
      </c>
      <c r="L581" t="s">
        <v>51</v>
      </c>
      <c r="M581" t="s">
        <v>33</v>
      </c>
      <c r="N581" t="s">
        <v>51</v>
      </c>
      <c r="O581">
        <v>2.78</v>
      </c>
      <c r="P581">
        <v>7</v>
      </c>
      <c r="Q581" t="s">
        <v>66</v>
      </c>
      <c r="R581" t="s">
        <v>36</v>
      </c>
      <c r="S581" t="b">
        <v>0</v>
      </c>
      <c r="T581" t="b">
        <v>0</v>
      </c>
      <c r="U581" t="b">
        <v>0</v>
      </c>
      <c r="V581" t="b">
        <v>1</v>
      </c>
      <c r="W581" t="b">
        <v>1</v>
      </c>
      <c r="X581">
        <v>2.2000000000000002</v>
      </c>
      <c r="Y581">
        <v>5.7</v>
      </c>
      <c r="Z581">
        <v>2</v>
      </c>
      <c r="AA581">
        <v>6.4</v>
      </c>
      <c r="AB581" s="3">
        <v>57.6</v>
      </c>
      <c r="AC581" s="3"/>
      <c r="AD581">
        <v>8</v>
      </c>
      <c r="AE581" t="s">
        <v>46</v>
      </c>
      <c r="AF581" s="4"/>
    </row>
    <row r="582" spans="1:32" x14ac:dyDescent="0.3">
      <c r="A582" t="s">
        <v>673</v>
      </c>
      <c r="B582">
        <v>18</v>
      </c>
      <c r="C582" t="str">
        <f t="shared" si="9"/>
        <v>Teenager</v>
      </c>
      <c r="D582" t="s">
        <v>53</v>
      </c>
      <c r="E582">
        <v>6.4</v>
      </c>
      <c r="G582" t="s">
        <v>60</v>
      </c>
      <c r="H582" t="s">
        <v>200</v>
      </c>
      <c r="I582" t="s">
        <v>86</v>
      </c>
      <c r="J582">
        <v>6.2</v>
      </c>
      <c r="L582" t="s">
        <v>32</v>
      </c>
      <c r="M582" t="s">
        <v>45</v>
      </c>
      <c r="N582" t="s">
        <v>34</v>
      </c>
      <c r="O582">
        <v>1.23</v>
      </c>
      <c r="Q582" t="s">
        <v>35</v>
      </c>
      <c r="R582" t="s">
        <v>57</v>
      </c>
      <c r="S582" t="b">
        <v>0</v>
      </c>
      <c r="T582" t="b">
        <v>1</v>
      </c>
      <c r="U582" t="b">
        <v>0</v>
      </c>
      <c r="V582" t="b">
        <v>1</v>
      </c>
      <c r="W582" t="b">
        <v>1</v>
      </c>
      <c r="X582">
        <v>0.9</v>
      </c>
      <c r="Y582">
        <v>5.9</v>
      </c>
      <c r="Z582">
        <v>4</v>
      </c>
      <c r="AA582">
        <v>10.7</v>
      </c>
      <c r="AB582" s="3">
        <v>34.21</v>
      </c>
      <c r="AC582" s="3"/>
      <c r="AD582">
        <v>4</v>
      </c>
      <c r="AE582" t="s">
        <v>64</v>
      </c>
      <c r="AF582" s="4"/>
    </row>
    <row r="583" spans="1:32" x14ac:dyDescent="0.3">
      <c r="A583" t="s">
        <v>674</v>
      </c>
      <c r="B583">
        <v>17</v>
      </c>
      <c r="C583" t="str">
        <f t="shared" si="9"/>
        <v>Teenager</v>
      </c>
      <c r="D583" t="s">
        <v>53</v>
      </c>
      <c r="E583">
        <v>8.3000000000000007</v>
      </c>
      <c r="G583" t="s">
        <v>48</v>
      </c>
      <c r="H583" t="s">
        <v>68</v>
      </c>
      <c r="I583" t="s">
        <v>71</v>
      </c>
      <c r="J583">
        <v>3.7</v>
      </c>
      <c r="L583" t="s">
        <v>51</v>
      </c>
      <c r="M583" t="s">
        <v>45</v>
      </c>
      <c r="N583" t="s">
        <v>43</v>
      </c>
      <c r="O583">
        <v>3.97</v>
      </c>
      <c r="Q583" t="s">
        <v>63</v>
      </c>
      <c r="R583" t="s">
        <v>42</v>
      </c>
      <c r="S583" t="b">
        <v>1</v>
      </c>
      <c r="T583" t="b">
        <v>1</v>
      </c>
      <c r="U583" t="b">
        <v>1</v>
      </c>
      <c r="V583" t="b">
        <v>1</v>
      </c>
      <c r="W583" t="b">
        <v>1</v>
      </c>
      <c r="X583">
        <v>0.2</v>
      </c>
      <c r="Y583">
        <v>4</v>
      </c>
      <c r="Z583">
        <v>6</v>
      </c>
      <c r="AA583">
        <v>6.7</v>
      </c>
      <c r="AB583" s="3">
        <v>40.049999999999997</v>
      </c>
      <c r="AC583" s="3"/>
      <c r="AD583">
        <v>5</v>
      </c>
      <c r="AE583" t="s">
        <v>37</v>
      </c>
      <c r="AF583" s="4"/>
    </row>
    <row r="584" spans="1:32" x14ac:dyDescent="0.3">
      <c r="A584" t="s">
        <v>675</v>
      </c>
      <c r="B584">
        <v>18</v>
      </c>
      <c r="C584" t="str">
        <f t="shared" si="9"/>
        <v>Teenager</v>
      </c>
      <c r="D584" t="s">
        <v>28</v>
      </c>
      <c r="E584">
        <v>9.5</v>
      </c>
      <c r="G584" t="s">
        <v>54</v>
      </c>
      <c r="H584" t="s">
        <v>98</v>
      </c>
      <c r="I584" t="s">
        <v>71</v>
      </c>
      <c r="J584">
        <v>4.5999999999999996</v>
      </c>
      <c r="L584" t="s">
        <v>51</v>
      </c>
      <c r="M584" t="s">
        <v>74</v>
      </c>
      <c r="N584" t="s">
        <v>62</v>
      </c>
      <c r="O584">
        <v>3.66</v>
      </c>
      <c r="Q584" t="s">
        <v>35</v>
      </c>
      <c r="R584" t="s">
        <v>42</v>
      </c>
      <c r="S584" t="b">
        <v>0</v>
      </c>
      <c r="T584" t="b">
        <v>0</v>
      </c>
      <c r="U584" t="b">
        <v>0</v>
      </c>
      <c r="V584" t="b">
        <v>1</v>
      </c>
      <c r="W584" t="b">
        <v>1</v>
      </c>
      <c r="X584">
        <v>0.5</v>
      </c>
      <c r="Y584">
        <v>7</v>
      </c>
      <c r="Z584">
        <v>4</v>
      </c>
      <c r="AA584">
        <v>3.8</v>
      </c>
      <c r="AB584" s="3">
        <v>327.63</v>
      </c>
      <c r="AC584" s="3"/>
      <c r="AD584">
        <v>3</v>
      </c>
      <c r="AE584" t="s">
        <v>64</v>
      </c>
      <c r="AF584" s="4"/>
    </row>
    <row r="585" spans="1:32" x14ac:dyDescent="0.3">
      <c r="A585" t="s">
        <v>676</v>
      </c>
      <c r="B585">
        <v>17</v>
      </c>
      <c r="C585" t="str">
        <f t="shared" si="9"/>
        <v>Teenager</v>
      </c>
      <c r="D585" t="s">
        <v>53</v>
      </c>
      <c r="E585">
        <v>7.8</v>
      </c>
      <c r="G585" t="s">
        <v>54</v>
      </c>
      <c r="H585" t="s">
        <v>55</v>
      </c>
      <c r="I585" t="s">
        <v>86</v>
      </c>
      <c r="J585">
        <v>5.7</v>
      </c>
      <c r="L585" t="s">
        <v>51</v>
      </c>
      <c r="M585" t="s">
        <v>36</v>
      </c>
      <c r="N585" t="s">
        <v>62</v>
      </c>
      <c r="O585">
        <v>2.75</v>
      </c>
      <c r="Q585" t="s">
        <v>63</v>
      </c>
      <c r="R585" t="s">
        <v>42</v>
      </c>
      <c r="S585" t="b">
        <v>1</v>
      </c>
      <c r="T585" t="b">
        <v>1</v>
      </c>
      <c r="U585" t="b">
        <v>0</v>
      </c>
      <c r="V585" t="b">
        <v>1</v>
      </c>
      <c r="W585" t="b">
        <v>0</v>
      </c>
      <c r="X585">
        <v>2.2000000000000002</v>
      </c>
      <c r="Y585">
        <v>5.5</v>
      </c>
      <c r="Z585">
        <v>4</v>
      </c>
      <c r="AA585">
        <v>5.7</v>
      </c>
      <c r="AB585" s="3">
        <v>80.16</v>
      </c>
      <c r="AC585" s="3"/>
      <c r="AD585">
        <v>4</v>
      </c>
      <c r="AE585" t="s">
        <v>58</v>
      </c>
      <c r="AF585" s="4"/>
    </row>
    <row r="586" spans="1:32" x14ac:dyDescent="0.3">
      <c r="A586" t="s">
        <v>677</v>
      </c>
      <c r="B586">
        <v>21</v>
      </c>
      <c r="C586" t="str">
        <f t="shared" si="9"/>
        <v>Young Adults</v>
      </c>
      <c r="D586" t="s">
        <v>28</v>
      </c>
      <c r="E586">
        <v>8.3000000000000007</v>
      </c>
      <c r="G586" t="s">
        <v>76</v>
      </c>
      <c r="H586" t="s">
        <v>126</v>
      </c>
      <c r="I586" t="s">
        <v>31</v>
      </c>
      <c r="J586">
        <v>3.8</v>
      </c>
      <c r="L586" t="s">
        <v>41</v>
      </c>
      <c r="M586" t="s">
        <v>45</v>
      </c>
      <c r="N586" t="s">
        <v>51</v>
      </c>
      <c r="O586">
        <v>1.36</v>
      </c>
      <c r="P586">
        <v>4</v>
      </c>
      <c r="Q586" t="s">
        <v>63</v>
      </c>
      <c r="R586" t="s">
        <v>36</v>
      </c>
      <c r="S586" t="b">
        <v>1</v>
      </c>
      <c r="T586" t="b">
        <v>1</v>
      </c>
      <c r="U586" t="b">
        <v>1</v>
      </c>
      <c r="V586" t="b">
        <v>0</v>
      </c>
      <c r="W586" t="b">
        <v>0</v>
      </c>
      <c r="X586">
        <v>2.8</v>
      </c>
      <c r="Y586">
        <v>7.9</v>
      </c>
      <c r="Z586">
        <v>5</v>
      </c>
      <c r="AA586">
        <v>4.9000000000000004</v>
      </c>
      <c r="AB586" s="3">
        <v>76.849999999999994</v>
      </c>
      <c r="AC586" s="3"/>
      <c r="AD586">
        <v>7</v>
      </c>
      <c r="AE586" t="s">
        <v>37</v>
      </c>
      <c r="AF586" s="4"/>
    </row>
    <row r="587" spans="1:32" x14ac:dyDescent="0.3">
      <c r="A587" t="s">
        <v>678</v>
      </c>
      <c r="B587">
        <v>16</v>
      </c>
      <c r="C587" t="str">
        <f t="shared" si="9"/>
        <v>Teenager</v>
      </c>
      <c r="D587" t="s">
        <v>28</v>
      </c>
      <c r="E587">
        <v>1</v>
      </c>
      <c r="G587" t="s">
        <v>54</v>
      </c>
      <c r="H587" t="s">
        <v>55</v>
      </c>
      <c r="I587" t="s">
        <v>50</v>
      </c>
      <c r="J587">
        <v>7.4</v>
      </c>
      <c r="L587" t="s">
        <v>43</v>
      </c>
      <c r="M587" t="s">
        <v>45</v>
      </c>
      <c r="N587" t="s">
        <v>84</v>
      </c>
      <c r="O587">
        <v>2.61</v>
      </c>
      <c r="Q587" t="s">
        <v>121</v>
      </c>
      <c r="R587" t="s">
        <v>42</v>
      </c>
      <c r="S587" t="b">
        <v>0</v>
      </c>
      <c r="T587" t="b">
        <v>0</v>
      </c>
      <c r="U587" t="b">
        <v>0</v>
      </c>
      <c r="V587" t="b">
        <v>0</v>
      </c>
      <c r="W587" t="b">
        <v>0</v>
      </c>
      <c r="X587">
        <v>0.2</v>
      </c>
      <c r="Y587">
        <v>7.6</v>
      </c>
      <c r="Z587">
        <v>1</v>
      </c>
      <c r="AA587">
        <v>13.7</v>
      </c>
      <c r="AB587" s="3">
        <v>4.9000000000000004</v>
      </c>
      <c r="AC587" s="3"/>
      <c r="AD587">
        <v>6</v>
      </c>
      <c r="AE587" t="s">
        <v>46</v>
      </c>
      <c r="AF587" s="4"/>
    </row>
    <row r="588" spans="1:32" x14ac:dyDescent="0.3">
      <c r="A588" t="s">
        <v>679</v>
      </c>
      <c r="B588">
        <v>19</v>
      </c>
      <c r="C588" t="str">
        <f t="shared" si="9"/>
        <v>Teenager</v>
      </c>
      <c r="D588" t="s">
        <v>53</v>
      </c>
      <c r="E588">
        <v>8.4</v>
      </c>
      <c r="G588" t="s">
        <v>54</v>
      </c>
      <c r="H588" t="s">
        <v>55</v>
      </c>
      <c r="I588" t="s">
        <v>31</v>
      </c>
      <c r="J588">
        <v>3.8</v>
      </c>
      <c r="L588" t="s">
        <v>51</v>
      </c>
      <c r="M588" t="s">
        <v>33</v>
      </c>
      <c r="N588" t="s">
        <v>51</v>
      </c>
      <c r="O588">
        <v>1.69</v>
      </c>
      <c r="P588">
        <v>7</v>
      </c>
      <c r="Q588" t="s">
        <v>80</v>
      </c>
      <c r="R588" t="s">
        <v>45</v>
      </c>
      <c r="S588" t="b">
        <v>0</v>
      </c>
      <c r="T588" t="b">
        <v>1</v>
      </c>
      <c r="U588" t="b">
        <v>0</v>
      </c>
      <c r="V588" t="b">
        <v>1</v>
      </c>
      <c r="W588" t="b">
        <v>1</v>
      </c>
      <c r="X588">
        <v>1.9</v>
      </c>
      <c r="Y588">
        <v>5.4</v>
      </c>
      <c r="Z588">
        <v>6</v>
      </c>
      <c r="AA588">
        <v>2.6</v>
      </c>
      <c r="AB588" s="3">
        <v>94.45</v>
      </c>
      <c r="AC588" s="3"/>
      <c r="AD588">
        <v>9</v>
      </c>
      <c r="AE588" t="s">
        <v>64</v>
      </c>
      <c r="AF588" s="4"/>
    </row>
    <row r="589" spans="1:32" x14ac:dyDescent="0.3">
      <c r="A589" t="s">
        <v>680</v>
      </c>
      <c r="B589">
        <v>16</v>
      </c>
      <c r="C589" t="str">
        <f t="shared" si="9"/>
        <v>Teenager</v>
      </c>
      <c r="D589" t="s">
        <v>28</v>
      </c>
      <c r="E589">
        <v>6.9</v>
      </c>
      <c r="G589" t="s">
        <v>76</v>
      </c>
      <c r="H589" t="s">
        <v>126</v>
      </c>
      <c r="I589" t="s">
        <v>50</v>
      </c>
      <c r="J589">
        <v>4.7</v>
      </c>
      <c r="L589" t="s">
        <v>51</v>
      </c>
      <c r="M589" t="s">
        <v>74</v>
      </c>
      <c r="N589" t="s">
        <v>34</v>
      </c>
      <c r="O589">
        <v>2.13</v>
      </c>
      <c r="Q589" t="s">
        <v>63</v>
      </c>
      <c r="R589" t="s">
        <v>57</v>
      </c>
      <c r="S589" t="b">
        <v>0</v>
      </c>
      <c r="T589" t="b">
        <v>0</v>
      </c>
      <c r="U589" t="b">
        <v>0</v>
      </c>
      <c r="V589" t="b">
        <v>0</v>
      </c>
      <c r="W589" t="b">
        <v>1</v>
      </c>
      <c r="X589">
        <v>0.2</v>
      </c>
      <c r="Y589">
        <v>8.1999999999999993</v>
      </c>
      <c r="Z589">
        <v>4</v>
      </c>
      <c r="AA589">
        <v>8.4</v>
      </c>
      <c r="AB589" s="3">
        <v>11.92</v>
      </c>
      <c r="AC589" s="3"/>
      <c r="AD589">
        <v>2</v>
      </c>
      <c r="AE589" t="s">
        <v>46</v>
      </c>
      <c r="AF589" s="4"/>
    </row>
    <row r="590" spans="1:32" x14ac:dyDescent="0.3">
      <c r="A590" t="s">
        <v>681</v>
      </c>
      <c r="B590">
        <v>24</v>
      </c>
      <c r="C590" t="str">
        <f t="shared" si="9"/>
        <v>Young Adults</v>
      </c>
      <c r="D590" t="s">
        <v>53</v>
      </c>
      <c r="E590">
        <v>8.4</v>
      </c>
      <c r="G590" t="s">
        <v>60</v>
      </c>
      <c r="H590" t="s">
        <v>200</v>
      </c>
      <c r="I590" t="s">
        <v>71</v>
      </c>
      <c r="J590">
        <v>5.2</v>
      </c>
      <c r="L590" t="s">
        <v>32</v>
      </c>
      <c r="M590" t="s">
        <v>42</v>
      </c>
      <c r="N590" t="s">
        <v>51</v>
      </c>
      <c r="P590">
        <v>4</v>
      </c>
      <c r="Q590" t="s">
        <v>44</v>
      </c>
      <c r="R590" t="s">
        <v>42</v>
      </c>
      <c r="S590" t="b">
        <v>1</v>
      </c>
      <c r="T590" t="b">
        <v>1</v>
      </c>
      <c r="U590" t="b">
        <v>0</v>
      </c>
      <c r="V590" t="b">
        <v>0</v>
      </c>
      <c r="W590" t="b">
        <v>1</v>
      </c>
      <c r="X590">
        <v>0.7</v>
      </c>
      <c r="Y590">
        <v>5.5</v>
      </c>
      <c r="Z590">
        <v>5</v>
      </c>
      <c r="AA590">
        <v>4.5</v>
      </c>
      <c r="AB590" s="3">
        <v>144.35</v>
      </c>
      <c r="AC590" s="3"/>
      <c r="AD590">
        <v>14</v>
      </c>
      <c r="AE590" t="s">
        <v>58</v>
      </c>
      <c r="AF590" s="4"/>
    </row>
    <row r="591" spans="1:32" x14ac:dyDescent="0.3">
      <c r="A591" t="s">
        <v>682</v>
      </c>
      <c r="B591">
        <v>22</v>
      </c>
      <c r="C591" t="str">
        <f t="shared" si="9"/>
        <v>Young Adults</v>
      </c>
      <c r="D591" t="s">
        <v>28</v>
      </c>
      <c r="E591">
        <v>1.7</v>
      </c>
      <c r="G591" t="s">
        <v>76</v>
      </c>
      <c r="H591" t="s">
        <v>126</v>
      </c>
      <c r="I591" t="s">
        <v>86</v>
      </c>
      <c r="J591">
        <v>7.1</v>
      </c>
      <c r="L591" t="s">
        <v>43</v>
      </c>
      <c r="M591" t="s">
        <v>33</v>
      </c>
      <c r="N591" t="s">
        <v>62</v>
      </c>
      <c r="O591">
        <v>1.77</v>
      </c>
      <c r="P591">
        <v>7</v>
      </c>
      <c r="Q591" t="s">
        <v>66</v>
      </c>
      <c r="R591" t="s">
        <v>42</v>
      </c>
      <c r="S591" t="b">
        <v>0</v>
      </c>
      <c r="T591" t="b">
        <v>0</v>
      </c>
      <c r="U591" t="b">
        <v>0</v>
      </c>
      <c r="V591" t="b">
        <v>0</v>
      </c>
      <c r="W591" t="b">
        <v>0</v>
      </c>
      <c r="X591">
        <v>0.1</v>
      </c>
      <c r="Y591">
        <v>7.6</v>
      </c>
      <c r="Z591">
        <v>1</v>
      </c>
      <c r="AA591">
        <v>11.1</v>
      </c>
      <c r="AB591" s="3">
        <v>42.67</v>
      </c>
      <c r="AC591" s="3"/>
      <c r="AD591">
        <v>11</v>
      </c>
      <c r="AE591" t="s">
        <v>46</v>
      </c>
      <c r="AF591" s="4"/>
    </row>
    <row r="592" spans="1:32" x14ac:dyDescent="0.3">
      <c r="A592" t="s">
        <v>683</v>
      </c>
      <c r="B592">
        <v>18</v>
      </c>
      <c r="C592" t="str">
        <f t="shared" si="9"/>
        <v>Teenager</v>
      </c>
      <c r="D592" t="s">
        <v>53</v>
      </c>
      <c r="E592">
        <v>6.3</v>
      </c>
      <c r="G592" t="s">
        <v>76</v>
      </c>
      <c r="H592" t="s">
        <v>110</v>
      </c>
      <c r="I592" t="s">
        <v>31</v>
      </c>
      <c r="J592">
        <v>5.2</v>
      </c>
      <c r="L592" t="s">
        <v>41</v>
      </c>
      <c r="M592" t="s">
        <v>42</v>
      </c>
      <c r="N592" t="s">
        <v>43</v>
      </c>
      <c r="O592">
        <v>1.96</v>
      </c>
      <c r="Q592" t="s">
        <v>121</v>
      </c>
      <c r="R592" t="s">
        <v>57</v>
      </c>
      <c r="S592" t="b">
        <v>0</v>
      </c>
      <c r="T592" t="b">
        <v>1</v>
      </c>
      <c r="U592" t="b">
        <v>0</v>
      </c>
      <c r="V592" t="b">
        <v>1</v>
      </c>
      <c r="W592" t="b">
        <v>1</v>
      </c>
      <c r="X592">
        <v>1.8</v>
      </c>
      <c r="Y592">
        <v>6.5</v>
      </c>
      <c r="Z592">
        <v>3</v>
      </c>
      <c r="AA592">
        <v>7.4</v>
      </c>
      <c r="AB592" s="3">
        <v>29.37</v>
      </c>
      <c r="AC592" s="3"/>
      <c r="AD592">
        <v>3</v>
      </c>
      <c r="AE592" t="s">
        <v>64</v>
      </c>
      <c r="AF592" s="4"/>
    </row>
    <row r="593" spans="1:32" x14ac:dyDescent="0.3">
      <c r="A593" t="s">
        <v>684</v>
      </c>
      <c r="B593">
        <v>20</v>
      </c>
      <c r="C593" t="str">
        <f t="shared" si="9"/>
        <v>Young Adults</v>
      </c>
      <c r="D593" t="s">
        <v>28</v>
      </c>
      <c r="E593">
        <v>5.8</v>
      </c>
      <c r="G593" t="s">
        <v>54</v>
      </c>
      <c r="H593" t="s">
        <v>89</v>
      </c>
      <c r="I593" t="s">
        <v>50</v>
      </c>
      <c r="J593">
        <v>5.4</v>
      </c>
      <c r="L593" t="s">
        <v>43</v>
      </c>
      <c r="M593" t="s">
        <v>36</v>
      </c>
      <c r="N593" t="s">
        <v>34</v>
      </c>
      <c r="O593">
        <v>1.5</v>
      </c>
      <c r="P593">
        <v>3</v>
      </c>
      <c r="Q593" t="s">
        <v>69</v>
      </c>
      <c r="R593" t="s">
        <v>33</v>
      </c>
      <c r="S593" t="b">
        <v>0</v>
      </c>
      <c r="T593" t="b">
        <v>0</v>
      </c>
      <c r="U593" t="b">
        <v>0</v>
      </c>
      <c r="V593" t="b">
        <v>1</v>
      </c>
      <c r="W593" t="b">
        <v>0</v>
      </c>
      <c r="X593">
        <v>0.2</v>
      </c>
      <c r="Y593">
        <v>5.0999999999999996</v>
      </c>
      <c r="Z593">
        <v>4</v>
      </c>
      <c r="AA593">
        <v>8.3000000000000007</v>
      </c>
      <c r="AB593" s="3">
        <v>125.21</v>
      </c>
      <c r="AC593" s="3"/>
      <c r="AD593">
        <v>4</v>
      </c>
      <c r="AE593" t="s">
        <v>46</v>
      </c>
      <c r="AF593" s="4"/>
    </row>
    <row r="594" spans="1:32" x14ac:dyDescent="0.3">
      <c r="A594" t="s">
        <v>685</v>
      </c>
      <c r="B594">
        <v>17</v>
      </c>
      <c r="C594" t="str">
        <f t="shared" si="9"/>
        <v>Teenager</v>
      </c>
      <c r="D594" t="s">
        <v>53</v>
      </c>
      <c r="E594">
        <v>1.5</v>
      </c>
      <c r="G594" t="s">
        <v>76</v>
      </c>
      <c r="H594" t="s">
        <v>126</v>
      </c>
      <c r="I594" t="s">
        <v>31</v>
      </c>
      <c r="J594">
        <v>9</v>
      </c>
      <c r="L594" t="s">
        <v>43</v>
      </c>
      <c r="M594" t="s">
        <v>74</v>
      </c>
      <c r="N594" t="s">
        <v>43</v>
      </c>
      <c r="O594">
        <v>3.35</v>
      </c>
      <c r="Q594" t="s">
        <v>80</v>
      </c>
      <c r="R594" t="s">
        <v>33</v>
      </c>
      <c r="S594" t="b">
        <v>0</v>
      </c>
      <c r="T594" t="b">
        <v>0</v>
      </c>
      <c r="U594" t="b">
        <v>0</v>
      </c>
      <c r="V594" t="b">
        <v>0</v>
      </c>
      <c r="W594" t="b">
        <v>0</v>
      </c>
      <c r="X594">
        <v>0.3</v>
      </c>
      <c r="Y594">
        <v>8</v>
      </c>
      <c r="Z594">
        <v>1</v>
      </c>
      <c r="AA594">
        <v>12.2</v>
      </c>
      <c r="AB594" s="3">
        <v>4.91</v>
      </c>
      <c r="AC594" s="3"/>
      <c r="AD594">
        <v>2</v>
      </c>
      <c r="AE594" t="s">
        <v>46</v>
      </c>
      <c r="AF594" s="4"/>
    </row>
    <row r="595" spans="1:32" x14ac:dyDescent="0.3">
      <c r="A595" t="s">
        <v>686</v>
      </c>
      <c r="B595">
        <v>21</v>
      </c>
      <c r="C595" t="str">
        <f t="shared" si="9"/>
        <v>Young Adults</v>
      </c>
      <c r="D595" t="s">
        <v>28</v>
      </c>
      <c r="E595">
        <v>8.6</v>
      </c>
      <c r="G595" t="s">
        <v>82</v>
      </c>
      <c r="H595" t="s">
        <v>83</v>
      </c>
      <c r="I595" t="s">
        <v>31</v>
      </c>
      <c r="J595">
        <v>5</v>
      </c>
      <c r="L595" t="s">
        <v>41</v>
      </c>
      <c r="M595" t="s">
        <v>33</v>
      </c>
      <c r="N595" t="s">
        <v>34</v>
      </c>
      <c r="O595">
        <v>2.71</v>
      </c>
      <c r="P595">
        <v>3</v>
      </c>
      <c r="Q595" t="s">
        <v>35</v>
      </c>
      <c r="R595" t="s">
        <v>57</v>
      </c>
      <c r="S595" t="b">
        <v>1</v>
      </c>
      <c r="T595" t="b">
        <v>0</v>
      </c>
      <c r="U595" t="b">
        <v>1</v>
      </c>
      <c r="V595" t="b">
        <v>1</v>
      </c>
      <c r="W595" t="b">
        <v>1</v>
      </c>
      <c r="X595">
        <v>4</v>
      </c>
      <c r="Y595">
        <v>6</v>
      </c>
      <c r="Z595">
        <v>5</v>
      </c>
      <c r="AA595">
        <v>1.6</v>
      </c>
      <c r="AB595" s="3">
        <v>314.32</v>
      </c>
      <c r="AC595" s="3"/>
      <c r="AD595">
        <v>1</v>
      </c>
      <c r="AE595" t="s">
        <v>37</v>
      </c>
      <c r="AF595" s="4"/>
    </row>
    <row r="596" spans="1:32" x14ac:dyDescent="0.3">
      <c r="A596" t="s">
        <v>687</v>
      </c>
      <c r="B596">
        <v>21</v>
      </c>
      <c r="C596" t="str">
        <f t="shared" si="9"/>
        <v>Young Adults</v>
      </c>
      <c r="D596" t="s">
        <v>53</v>
      </c>
      <c r="E596">
        <v>6.5</v>
      </c>
      <c r="G596" t="s">
        <v>76</v>
      </c>
      <c r="H596" t="s">
        <v>110</v>
      </c>
      <c r="I596" t="s">
        <v>50</v>
      </c>
      <c r="J596">
        <v>6.9</v>
      </c>
      <c r="L596" t="s">
        <v>41</v>
      </c>
      <c r="M596" t="s">
        <v>36</v>
      </c>
      <c r="N596" t="s">
        <v>34</v>
      </c>
      <c r="O596">
        <v>1.4</v>
      </c>
      <c r="P596">
        <v>9</v>
      </c>
      <c r="Q596" t="s">
        <v>44</v>
      </c>
      <c r="R596" t="s">
        <v>45</v>
      </c>
      <c r="S596" t="b">
        <v>0</v>
      </c>
      <c r="T596" t="b">
        <v>1</v>
      </c>
      <c r="U596" t="b">
        <v>0</v>
      </c>
      <c r="V596" t="b">
        <v>1</v>
      </c>
      <c r="W596" t="b">
        <v>1</v>
      </c>
      <c r="X596">
        <v>1.3</v>
      </c>
      <c r="Y596">
        <v>5.9</v>
      </c>
      <c r="Z596">
        <v>3</v>
      </c>
      <c r="AA596">
        <v>9.9</v>
      </c>
      <c r="AB596" s="3">
        <v>119.21</v>
      </c>
      <c r="AC596" s="3"/>
      <c r="AD596">
        <v>2</v>
      </c>
      <c r="AE596" t="s">
        <v>64</v>
      </c>
      <c r="AF596" s="4"/>
    </row>
    <row r="597" spans="1:32" x14ac:dyDescent="0.3">
      <c r="A597" t="s">
        <v>688</v>
      </c>
      <c r="B597">
        <v>27</v>
      </c>
      <c r="C597" t="str">
        <f t="shared" si="9"/>
        <v>Young Adults</v>
      </c>
      <c r="D597" t="s">
        <v>53</v>
      </c>
      <c r="E597">
        <v>3.9</v>
      </c>
      <c r="G597" t="s">
        <v>39</v>
      </c>
      <c r="H597" t="s">
        <v>120</v>
      </c>
      <c r="I597" t="s">
        <v>50</v>
      </c>
      <c r="J597">
        <v>5.6</v>
      </c>
      <c r="L597" t="s">
        <v>41</v>
      </c>
      <c r="M597" t="s">
        <v>42</v>
      </c>
      <c r="N597" t="s">
        <v>34</v>
      </c>
      <c r="P597">
        <v>2</v>
      </c>
      <c r="Q597" t="s">
        <v>35</v>
      </c>
      <c r="R597" t="s">
        <v>36</v>
      </c>
      <c r="S597" t="b">
        <v>0</v>
      </c>
      <c r="T597" t="b">
        <v>0</v>
      </c>
      <c r="U597" t="b">
        <v>0</v>
      </c>
      <c r="V597" t="b">
        <v>0</v>
      </c>
      <c r="W597" t="b">
        <v>0</v>
      </c>
      <c r="X597">
        <v>1.1000000000000001</v>
      </c>
      <c r="Y597">
        <v>8.8000000000000007</v>
      </c>
      <c r="Z597">
        <v>2</v>
      </c>
      <c r="AA597">
        <v>10.7</v>
      </c>
      <c r="AB597" s="3">
        <v>37.270000000000003</v>
      </c>
      <c r="AC597" s="3"/>
      <c r="AD597">
        <v>15</v>
      </c>
      <c r="AE597" t="s">
        <v>46</v>
      </c>
      <c r="AF597" s="4"/>
    </row>
    <row r="598" spans="1:32" x14ac:dyDescent="0.3">
      <c r="A598" t="s">
        <v>689</v>
      </c>
      <c r="B598">
        <v>22</v>
      </c>
      <c r="C598" t="str">
        <f t="shared" si="9"/>
        <v>Young Adults</v>
      </c>
      <c r="D598" t="s">
        <v>28</v>
      </c>
      <c r="E598">
        <v>6</v>
      </c>
      <c r="G598" t="s">
        <v>29</v>
      </c>
      <c r="H598" t="s">
        <v>104</v>
      </c>
      <c r="I598" t="s">
        <v>31</v>
      </c>
      <c r="J598">
        <v>7</v>
      </c>
      <c r="L598" t="s">
        <v>41</v>
      </c>
      <c r="M598" t="s">
        <v>36</v>
      </c>
      <c r="N598" t="s">
        <v>62</v>
      </c>
      <c r="O598">
        <v>3.21</v>
      </c>
      <c r="P598">
        <v>7</v>
      </c>
      <c r="Q598" t="s">
        <v>105</v>
      </c>
      <c r="R598" t="s">
        <v>57</v>
      </c>
      <c r="S598" t="b">
        <v>0</v>
      </c>
      <c r="T598" t="b">
        <v>1</v>
      </c>
      <c r="U598" t="b">
        <v>0</v>
      </c>
      <c r="V598" t="b">
        <v>1</v>
      </c>
      <c r="W598" t="b">
        <v>0</v>
      </c>
      <c r="X598">
        <v>3.1</v>
      </c>
      <c r="Y598">
        <v>8.3000000000000007</v>
      </c>
      <c r="Z598">
        <v>4</v>
      </c>
      <c r="AA598">
        <v>8</v>
      </c>
      <c r="AB598" s="3">
        <v>114.69</v>
      </c>
      <c r="AC598" s="3"/>
      <c r="AD598">
        <v>3</v>
      </c>
      <c r="AE598" t="s">
        <v>64</v>
      </c>
      <c r="AF598" s="4"/>
    </row>
    <row r="599" spans="1:32" x14ac:dyDescent="0.3">
      <c r="A599" t="s">
        <v>690</v>
      </c>
      <c r="B599">
        <v>16</v>
      </c>
      <c r="C599" t="str">
        <f t="shared" si="9"/>
        <v>Teenager</v>
      </c>
      <c r="D599" t="s">
        <v>53</v>
      </c>
      <c r="E599">
        <v>9.3000000000000007</v>
      </c>
      <c r="G599" t="s">
        <v>82</v>
      </c>
      <c r="H599" t="s">
        <v>167</v>
      </c>
      <c r="I599" t="s">
        <v>50</v>
      </c>
      <c r="J599">
        <v>4.7</v>
      </c>
      <c r="L599" t="s">
        <v>51</v>
      </c>
      <c r="M599" t="s">
        <v>45</v>
      </c>
      <c r="N599" t="s">
        <v>34</v>
      </c>
      <c r="O599">
        <v>3.22</v>
      </c>
      <c r="Q599" t="s">
        <v>66</v>
      </c>
      <c r="R599" t="s">
        <v>57</v>
      </c>
      <c r="S599" t="b">
        <v>0</v>
      </c>
      <c r="T599" t="b">
        <v>1</v>
      </c>
      <c r="U599" t="b">
        <v>1</v>
      </c>
      <c r="V599" t="b">
        <v>1</v>
      </c>
      <c r="W599" t="b">
        <v>0</v>
      </c>
      <c r="X599">
        <v>3</v>
      </c>
      <c r="Y599">
        <v>6.9</v>
      </c>
      <c r="Z599">
        <v>5</v>
      </c>
      <c r="AA599">
        <v>6.7</v>
      </c>
      <c r="AB599" s="3">
        <v>69.400000000000006</v>
      </c>
      <c r="AC599" s="3"/>
      <c r="AD599">
        <v>6</v>
      </c>
      <c r="AE599" t="s">
        <v>37</v>
      </c>
      <c r="AF599" s="4"/>
    </row>
    <row r="600" spans="1:32" x14ac:dyDescent="0.3">
      <c r="A600" t="s">
        <v>691</v>
      </c>
      <c r="B600">
        <v>19</v>
      </c>
      <c r="C600" t="str">
        <f t="shared" si="9"/>
        <v>Teenager</v>
      </c>
      <c r="D600" t="s">
        <v>28</v>
      </c>
      <c r="E600">
        <v>7.5</v>
      </c>
      <c r="G600" t="s">
        <v>54</v>
      </c>
      <c r="H600" t="s">
        <v>98</v>
      </c>
      <c r="I600" t="s">
        <v>71</v>
      </c>
      <c r="J600">
        <v>3.2</v>
      </c>
      <c r="L600" t="s">
        <v>51</v>
      </c>
      <c r="M600" t="s">
        <v>33</v>
      </c>
      <c r="N600" t="s">
        <v>129</v>
      </c>
      <c r="O600">
        <v>1.89</v>
      </c>
      <c r="P600">
        <v>1</v>
      </c>
      <c r="Q600" t="s">
        <v>105</v>
      </c>
      <c r="R600" t="s">
        <v>42</v>
      </c>
      <c r="S600" t="b">
        <v>1</v>
      </c>
      <c r="T600" t="b">
        <v>1</v>
      </c>
      <c r="U600" t="b">
        <v>1</v>
      </c>
      <c r="V600" t="b">
        <v>1</v>
      </c>
      <c r="W600" t="b">
        <v>1</v>
      </c>
      <c r="X600">
        <v>0.9</v>
      </c>
      <c r="Y600">
        <v>6.9</v>
      </c>
      <c r="Z600">
        <v>7</v>
      </c>
      <c r="AA600">
        <v>6</v>
      </c>
      <c r="AB600" s="3">
        <v>128.77000000000001</v>
      </c>
      <c r="AC600" s="3"/>
      <c r="AD600">
        <v>4</v>
      </c>
      <c r="AE600" t="s">
        <v>37</v>
      </c>
      <c r="AF600" s="4"/>
    </row>
    <row r="601" spans="1:32" x14ac:dyDescent="0.3">
      <c r="A601" t="s">
        <v>692</v>
      </c>
      <c r="B601">
        <v>21</v>
      </c>
      <c r="C601" t="str">
        <f t="shared" si="9"/>
        <v>Young Adults</v>
      </c>
      <c r="D601" t="s">
        <v>53</v>
      </c>
      <c r="E601">
        <v>5.8</v>
      </c>
      <c r="G601" t="s">
        <v>60</v>
      </c>
      <c r="H601" t="s">
        <v>200</v>
      </c>
      <c r="I601" t="s">
        <v>86</v>
      </c>
      <c r="J601">
        <v>5.3</v>
      </c>
      <c r="L601" t="s">
        <v>41</v>
      </c>
      <c r="M601" t="s">
        <v>45</v>
      </c>
      <c r="N601" t="s">
        <v>62</v>
      </c>
      <c r="O601">
        <v>3.36</v>
      </c>
      <c r="P601">
        <v>3</v>
      </c>
      <c r="Q601" t="s">
        <v>69</v>
      </c>
      <c r="R601" t="s">
        <v>36</v>
      </c>
      <c r="S601" t="b">
        <v>0</v>
      </c>
      <c r="T601" t="b">
        <v>0</v>
      </c>
      <c r="U601" t="b">
        <v>0</v>
      </c>
      <c r="V601" t="b">
        <v>0</v>
      </c>
      <c r="W601" t="b">
        <v>1</v>
      </c>
      <c r="X601">
        <v>0.8</v>
      </c>
      <c r="Y601">
        <v>6.9</v>
      </c>
      <c r="Z601">
        <v>4</v>
      </c>
      <c r="AA601">
        <v>7.4</v>
      </c>
      <c r="AB601" s="3">
        <v>88.08</v>
      </c>
      <c r="AC601" s="3"/>
      <c r="AD601">
        <v>7</v>
      </c>
      <c r="AE601" t="s">
        <v>46</v>
      </c>
      <c r="AF601" s="4"/>
    </row>
    <row r="602" spans="1:32" x14ac:dyDescent="0.3">
      <c r="A602" t="s">
        <v>693</v>
      </c>
      <c r="B602">
        <v>20</v>
      </c>
      <c r="C602" t="str">
        <f t="shared" si="9"/>
        <v>Young Adults</v>
      </c>
      <c r="D602" t="s">
        <v>28</v>
      </c>
      <c r="E602">
        <v>1.1000000000000001</v>
      </c>
      <c r="G602" t="s">
        <v>54</v>
      </c>
      <c r="H602" t="s">
        <v>89</v>
      </c>
      <c r="I602" t="s">
        <v>31</v>
      </c>
      <c r="J602">
        <v>8.4</v>
      </c>
      <c r="L602" t="s">
        <v>51</v>
      </c>
      <c r="M602" t="s">
        <v>42</v>
      </c>
      <c r="N602" t="s">
        <v>84</v>
      </c>
      <c r="O602">
        <v>2.65</v>
      </c>
      <c r="P602">
        <v>10</v>
      </c>
      <c r="Q602" t="s">
        <v>66</v>
      </c>
      <c r="R602" t="s">
        <v>42</v>
      </c>
      <c r="S602" t="b">
        <v>0</v>
      </c>
      <c r="T602" t="b">
        <v>0</v>
      </c>
      <c r="U602" t="b">
        <v>0</v>
      </c>
      <c r="V602" t="b">
        <v>0</v>
      </c>
      <c r="W602" t="b">
        <v>0</v>
      </c>
      <c r="X602">
        <v>0.2</v>
      </c>
      <c r="Y602">
        <v>9.4</v>
      </c>
      <c r="Z602">
        <v>1</v>
      </c>
      <c r="AA602">
        <v>15.4</v>
      </c>
      <c r="AB602" s="3">
        <v>44.51</v>
      </c>
      <c r="AC602" s="3"/>
      <c r="AD602">
        <v>7</v>
      </c>
      <c r="AE602" t="s">
        <v>46</v>
      </c>
      <c r="AF602" s="4"/>
    </row>
    <row r="603" spans="1:32" x14ac:dyDescent="0.3">
      <c r="A603" t="s">
        <v>694</v>
      </c>
      <c r="B603">
        <v>16</v>
      </c>
      <c r="C603" t="str">
        <f t="shared" si="9"/>
        <v>Teenager</v>
      </c>
      <c r="D603" t="s">
        <v>28</v>
      </c>
      <c r="E603">
        <v>4.2</v>
      </c>
      <c r="G603" t="s">
        <v>82</v>
      </c>
      <c r="H603" t="s">
        <v>167</v>
      </c>
      <c r="I603" t="s">
        <v>71</v>
      </c>
      <c r="J603">
        <v>5.8</v>
      </c>
      <c r="L603" t="s">
        <v>43</v>
      </c>
      <c r="M603" t="s">
        <v>74</v>
      </c>
      <c r="N603" t="s">
        <v>34</v>
      </c>
      <c r="O603">
        <v>2.21</v>
      </c>
      <c r="Q603" t="s">
        <v>105</v>
      </c>
      <c r="R603" t="s">
        <v>57</v>
      </c>
      <c r="S603" t="b">
        <v>0</v>
      </c>
      <c r="T603" t="b">
        <v>0</v>
      </c>
      <c r="U603" t="b">
        <v>0</v>
      </c>
      <c r="V603" t="b">
        <v>0</v>
      </c>
      <c r="W603" t="b">
        <v>0</v>
      </c>
      <c r="X603">
        <v>1.3</v>
      </c>
      <c r="Y603">
        <v>6.6</v>
      </c>
      <c r="Z603">
        <v>2</v>
      </c>
      <c r="AA603">
        <v>12</v>
      </c>
      <c r="AB603" s="3">
        <v>34.04</v>
      </c>
      <c r="AC603" s="3"/>
      <c r="AD603">
        <v>2</v>
      </c>
      <c r="AE603" t="s">
        <v>46</v>
      </c>
      <c r="AF603" s="4"/>
    </row>
    <row r="604" spans="1:32" x14ac:dyDescent="0.3">
      <c r="A604" t="s">
        <v>695</v>
      </c>
      <c r="B604">
        <v>14</v>
      </c>
      <c r="C604" t="str">
        <f t="shared" si="9"/>
        <v>Teenager</v>
      </c>
      <c r="D604" t="s">
        <v>53</v>
      </c>
      <c r="E604">
        <v>7.4</v>
      </c>
      <c r="G604" t="s">
        <v>82</v>
      </c>
      <c r="H604" t="s">
        <v>167</v>
      </c>
      <c r="I604" t="s">
        <v>86</v>
      </c>
      <c r="J604">
        <v>3.4</v>
      </c>
      <c r="L604" t="s">
        <v>32</v>
      </c>
      <c r="M604" t="s">
        <v>74</v>
      </c>
      <c r="N604" t="s">
        <v>34</v>
      </c>
      <c r="O604">
        <v>2.1800000000000002</v>
      </c>
      <c r="Q604" t="s">
        <v>56</v>
      </c>
      <c r="R604" t="s">
        <v>45</v>
      </c>
      <c r="S604" t="b">
        <v>0</v>
      </c>
      <c r="T604" t="b">
        <v>1</v>
      </c>
      <c r="U604" t="b">
        <v>0</v>
      </c>
      <c r="V604" t="b">
        <v>1</v>
      </c>
      <c r="W604" t="b">
        <v>1</v>
      </c>
      <c r="X604">
        <v>0</v>
      </c>
      <c r="Y604">
        <v>7.1</v>
      </c>
      <c r="Z604">
        <v>4</v>
      </c>
      <c r="AA604">
        <v>8.6999999999999993</v>
      </c>
      <c r="AB604" s="3">
        <v>87.18</v>
      </c>
      <c r="AC604" s="3"/>
      <c r="AD604">
        <v>3</v>
      </c>
      <c r="AE604" t="s">
        <v>64</v>
      </c>
      <c r="AF604" s="4"/>
    </row>
    <row r="605" spans="1:32" x14ac:dyDescent="0.3">
      <c r="A605" t="s">
        <v>696</v>
      </c>
      <c r="B605">
        <v>21</v>
      </c>
      <c r="C605" t="str">
        <f t="shared" si="9"/>
        <v>Young Adults</v>
      </c>
      <c r="D605" t="s">
        <v>28</v>
      </c>
      <c r="E605">
        <v>4.8</v>
      </c>
      <c r="G605" t="s">
        <v>29</v>
      </c>
      <c r="H605" t="s">
        <v>104</v>
      </c>
      <c r="I605" t="s">
        <v>31</v>
      </c>
      <c r="J605">
        <v>6.9</v>
      </c>
      <c r="L605" t="s">
        <v>41</v>
      </c>
      <c r="M605" t="s">
        <v>45</v>
      </c>
      <c r="N605" t="s">
        <v>34</v>
      </c>
      <c r="O605">
        <v>2.2799999999999998</v>
      </c>
      <c r="P605">
        <v>5</v>
      </c>
      <c r="Q605" t="s">
        <v>69</v>
      </c>
      <c r="R605" t="s">
        <v>57</v>
      </c>
      <c r="S605" t="b">
        <v>0</v>
      </c>
      <c r="T605" t="b">
        <v>0</v>
      </c>
      <c r="U605" t="b">
        <v>0</v>
      </c>
      <c r="V605" t="b">
        <v>1</v>
      </c>
      <c r="W605" t="b">
        <v>0</v>
      </c>
      <c r="X605">
        <v>1</v>
      </c>
      <c r="Y605">
        <v>6.4</v>
      </c>
      <c r="Z605">
        <v>4</v>
      </c>
      <c r="AA605">
        <v>6.4</v>
      </c>
      <c r="AB605" s="3">
        <v>29.12</v>
      </c>
      <c r="AC605" s="3"/>
      <c r="AD605">
        <v>10</v>
      </c>
      <c r="AE605" t="s">
        <v>46</v>
      </c>
      <c r="AF605" s="4"/>
    </row>
    <row r="606" spans="1:32" x14ac:dyDescent="0.3">
      <c r="A606" t="s">
        <v>697</v>
      </c>
      <c r="B606">
        <v>19</v>
      </c>
      <c r="C606" t="str">
        <f t="shared" si="9"/>
        <v>Teenager</v>
      </c>
      <c r="D606" t="s">
        <v>28</v>
      </c>
      <c r="E606">
        <v>7.4</v>
      </c>
      <c r="G606" t="s">
        <v>39</v>
      </c>
      <c r="H606" t="s">
        <v>93</v>
      </c>
      <c r="I606" t="s">
        <v>86</v>
      </c>
      <c r="J606">
        <v>5.8</v>
      </c>
      <c r="L606" t="s">
        <v>32</v>
      </c>
      <c r="M606" t="s">
        <v>36</v>
      </c>
      <c r="N606" t="s">
        <v>43</v>
      </c>
      <c r="O606">
        <v>3.54</v>
      </c>
      <c r="P606">
        <v>5</v>
      </c>
      <c r="Q606" t="s">
        <v>80</v>
      </c>
      <c r="R606" t="s">
        <v>42</v>
      </c>
      <c r="S606" t="b">
        <v>1</v>
      </c>
      <c r="T606" t="b">
        <v>0</v>
      </c>
      <c r="U606" t="b">
        <v>0</v>
      </c>
      <c r="V606" t="b">
        <v>1</v>
      </c>
      <c r="W606" t="b">
        <v>1</v>
      </c>
      <c r="X606">
        <v>3.2</v>
      </c>
      <c r="Y606">
        <v>7.1</v>
      </c>
      <c r="Z606">
        <v>5</v>
      </c>
      <c r="AA606">
        <v>6.6</v>
      </c>
      <c r="AB606" s="3">
        <v>130.69</v>
      </c>
      <c r="AC606" s="3"/>
      <c r="AD606">
        <v>6</v>
      </c>
      <c r="AE606" t="s">
        <v>64</v>
      </c>
      <c r="AF606" s="4"/>
    </row>
    <row r="607" spans="1:32" x14ac:dyDescent="0.3">
      <c r="A607" t="s">
        <v>698</v>
      </c>
      <c r="B607">
        <v>22</v>
      </c>
      <c r="C607" t="str">
        <f t="shared" si="9"/>
        <v>Young Adults</v>
      </c>
      <c r="D607" t="s">
        <v>53</v>
      </c>
      <c r="E607">
        <v>11.4</v>
      </c>
      <c r="G607" t="s">
        <v>60</v>
      </c>
      <c r="H607" t="s">
        <v>96</v>
      </c>
      <c r="I607" t="s">
        <v>50</v>
      </c>
      <c r="J607">
        <v>4.3</v>
      </c>
      <c r="L607" t="s">
        <v>51</v>
      </c>
      <c r="M607" t="s">
        <v>36</v>
      </c>
      <c r="N607" t="s">
        <v>51</v>
      </c>
      <c r="O607">
        <v>1.95</v>
      </c>
      <c r="P607">
        <v>5</v>
      </c>
      <c r="Q607" t="s">
        <v>80</v>
      </c>
      <c r="R607" t="s">
        <v>57</v>
      </c>
      <c r="S607" t="b">
        <v>1</v>
      </c>
      <c r="T607" t="b">
        <v>1</v>
      </c>
      <c r="U607" t="b">
        <v>0</v>
      </c>
      <c r="V607" t="b">
        <v>0</v>
      </c>
      <c r="W607" t="b">
        <v>1</v>
      </c>
      <c r="X607">
        <v>2.1</v>
      </c>
      <c r="Y607">
        <v>4.5</v>
      </c>
      <c r="Z607">
        <v>6</v>
      </c>
      <c r="AA607">
        <v>3.7</v>
      </c>
      <c r="AB607" s="3">
        <v>90.88</v>
      </c>
      <c r="AC607" s="3"/>
      <c r="AD607">
        <v>11</v>
      </c>
      <c r="AE607" t="s">
        <v>37</v>
      </c>
      <c r="AF607" s="4"/>
    </row>
    <row r="608" spans="1:32" x14ac:dyDescent="0.3">
      <c r="A608" t="s">
        <v>699</v>
      </c>
      <c r="B608">
        <v>15</v>
      </c>
      <c r="C608" t="str">
        <f t="shared" si="9"/>
        <v>Teenager</v>
      </c>
      <c r="D608" t="s">
        <v>28</v>
      </c>
      <c r="E608">
        <v>13.2</v>
      </c>
      <c r="G608" t="s">
        <v>54</v>
      </c>
      <c r="H608" t="s">
        <v>98</v>
      </c>
      <c r="I608" t="s">
        <v>50</v>
      </c>
      <c r="J608">
        <v>4.2</v>
      </c>
      <c r="L608" t="s">
        <v>78</v>
      </c>
      <c r="M608" t="s">
        <v>42</v>
      </c>
      <c r="N608" t="s">
        <v>51</v>
      </c>
      <c r="O608">
        <v>3.63</v>
      </c>
      <c r="Q608" t="s">
        <v>44</v>
      </c>
      <c r="R608" t="s">
        <v>42</v>
      </c>
      <c r="S608" t="b">
        <v>1</v>
      </c>
      <c r="T608" t="b">
        <v>0</v>
      </c>
      <c r="U608" t="b">
        <v>0</v>
      </c>
      <c r="V608" t="b">
        <v>0</v>
      </c>
      <c r="W608" t="b">
        <v>0</v>
      </c>
      <c r="X608">
        <v>6.5</v>
      </c>
      <c r="Y608">
        <v>5.5</v>
      </c>
      <c r="Z608">
        <v>8</v>
      </c>
      <c r="AA608">
        <v>0</v>
      </c>
      <c r="AB608" s="3">
        <v>475.36</v>
      </c>
      <c r="AC608" s="3"/>
      <c r="AD608">
        <v>2</v>
      </c>
      <c r="AE608" t="s">
        <v>58</v>
      </c>
      <c r="AF608" s="4"/>
    </row>
    <row r="609" spans="1:32" x14ac:dyDescent="0.3">
      <c r="A609" t="s">
        <v>700</v>
      </c>
      <c r="B609">
        <v>16</v>
      </c>
      <c r="C609" t="str">
        <f t="shared" si="9"/>
        <v>Teenager</v>
      </c>
      <c r="D609" t="s">
        <v>28</v>
      </c>
      <c r="E609">
        <v>4.5999999999999996</v>
      </c>
      <c r="G609" t="s">
        <v>76</v>
      </c>
      <c r="H609" t="s">
        <v>110</v>
      </c>
      <c r="I609" t="s">
        <v>71</v>
      </c>
      <c r="J609">
        <v>6.5</v>
      </c>
      <c r="L609" t="s">
        <v>41</v>
      </c>
      <c r="M609" t="s">
        <v>74</v>
      </c>
      <c r="N609" t="s">
        <v>43</v>
      </c>
      <c r="O609">
        <v>1.25</v>
      </c>
      <c r="Q609" t="s">
        <v>69</v>
      </c>
      <c r="R609" t="s">
        <v>57</v>
      </c>
      <c r="S609" t="b">
        <v>0</v>
      </c>
      <c r="T609" t="b">
        <v>0</v>
      </c>
      <c r="U609" t="b">
        <v>0</v>
      </c>
      <c r="V609" t="b">
        <v>1</v>
      </c>
      <c r="W609" t="b">
        <v>0</v>
      </c>
      <c r="X609">
        <v>0.8</v>
      </c>
      <c r="Y609">
        <v>6.5</v>
      </c>
      <c r="Z609">
        <v>5</v>
      </c>
      <c r="AA609">
        <v>6</v>
      </c>
      <c r="AB609" s="3">
        <v>70.11</v>
      </c>
      <c r="AC609" s="3"/>
      <c r="AD609">
        <v>5</v>
      </c>
      <c r="AE609" t="s">
        <v>46</v>
      </c>
      <c r="AF609" s="4"/>
    </row>
    <row r="610" spans="1:32" x14ac:dyDescent="0.3">
      <c r="A610" t="s">
        <v>701</v>
      </c>
      <c r="B610">
        <v>17</v>
      </c>
      <c r="C610" t="str">
        <f t="shared" si="9"/>
        <v>Teenager</v>
      </c>
      <c r="D610" t="s">
        <v>28</v>
      </c>
      <c r="E610">
        <v>8.6999999999999993</v>
      </c>
      <c r="G610" t="s">
        <v>60</v>
      </c>
      <c r="H610" t="s">
        <v>102</v>
      </c>
      <c r="I610" t="s">
        <v>71</v>
      </c>
      <c r="J610">
        <v>4.7</v>
      </c>
      <c r="L610" t="s">
        <v>51</v>
      </c>
      <c r="M610" t="s">
        <v>45</v>
      </c>
      <c r="N610" t="s">
        <v>62</v>
      </c>
      <c r="O610">
        <v>3.48</v>
      </c>
      <c r="Q610" t="s">
        <v>121</v>
      </c>
      <c r="R610" t="s">
        <v>36</v>
      </c>
      <c r="S610" t="b">
        <v>0</v>
      </c>
      <c r="T610" t="b">
        <v>0</v>
      </c>
      <c r="U610" t="b">
        <v>0</v>
      </c>
      <c r="V610" t="b">
        <v>1</v>
      </c>
      <c r="W610" t="b">
        <v>0</v>
      </c>
      <c r="X610">
        <v>1.9</v>
      </c>
      <c r="Y610">
        <v>6.6</v>
      </c>
      <c r="Z610">
        <v>6</v>
      </c>
      <c r="AA610">
        <v>1.8</v>
      </c>
      <c r="AB610" s="3">
        <v>119.98</v>
      </c>
      <c r="AC610" s="3"/>
      <c r="AD610">
        <v>3</v>
      </c>
      <c r="AE610" t="s">
        <v>64</v>
      </c>
      <c r="AF610" s="4"/>
    </row>
    <row r="611" spans="1:32" x14ac:dyDescent="0.3">
      <c r="A611" t="s">
        <v>702</v>
      </c>
      <c r="B611">
        <v>26</v>
      </c>
      <c r="C611" t="str">
        <f t="shared" si="9"/>
        <v>Young Adults</v>
      </c>
      <c r="D611" t="s">
        <v>53</v>
      </c>
      <c r="E611">
        <v>4.8</v>
      </c>
      <c r="G611" t="s">
        <v>60</v>
      </c>
      <c r="H611" t="s">
        <v>61</v>
      </c>
      <c r="I611" t="s">
        <v>50</v>
      </c>
      <c r="J611">
        <v>6.7</v>
      </c>
      <c r="L611" t="s">
        <v>43</v>
      </c>
      <c r="M611" t="s">
        <v>33</v>
      </c>
      <c r="N611" t="s">
        <v>34</v>
      </c>
      <c r="P611">
        <v>2</v>
      </c>
      <c r="Q611" t="s">
        <v>35</v>
      </c>
      <c r="R611" t="s">
        <v>42</v>
      </c>
      <c r="S611" t="b">
        <v>0</v>
      </c>
      <c r="T611" t="b">
        <v>0</v>
      </c>
      <c r="U611" t="b">
        <v>0</v>
      </c>
      <c r="V611" t="b">
        <v>1</v>
      </c>
      <c r="W611" t="b">
        <v>0</v>
      </c>
      <c r="X611">
        <v>2.7</v>
      </c>
      <c r="Y611">
        <v>8.1</v>
      </c>
      <c r="Z611">
        <v>3</v>
      </c>
      <c r="AA611">
        <v>9.3000000000000007</v>
      </c>
      <c r="AB611" s="3">
        <v>75.94</v>
      </c>
      <c r="AC611" s="3"/>
      <c r="AD611">
        <v>13</v>
      </c>
      <c r="AE611" t="s">
        <v>46</v>
      </c>
      <c r="AF611" s="4"/>
    </row>
    <row r="612" spans="1:32" x14ac:dyDescent="0.3">
      <c r="A612" t="s">
        <v>703</v>
      </c>
      <c r="B612">
        <v>20</v>
      </c>
      <c r="C612" t="str">
        <f t="shared" si="9"/>
        <v>Young Adults</v>
      </c>
      <c r="D612" t="s">
        <v>28</v>
      </c>
      <c r="E612">
        <v>6.4</v>
      </c>
      <c r="G612" t="s">
        <v>48</v>
      </c>
      <c r="H612" t="s">
        <v>68</v>
      </c>
      <c r="I612" t="s">
        <v>71</v>
      </c>
      <c r="J612">
        <v>5.4</v>
      </c>
      <c r="L612" t="s">
        <v>51</v>
      </c>
      <c r="M612" t="s">
        <v>36</v>
      </c>
      <c r="N612" t="s">
        <v>62</v>
      </c>
      <c r="O612">
        <v>1.28</v>
      </c>
      <c r="P612">
        <v>6</v>
      </c>
      <c r="Q612" t="s">
        <v>66</v>
      </c>
      <c r="R612" t="s">
        <v>36</v>
      </c>
      <c r="S612" t="b">
        <v>0</v>
      </c>
      <c r="T612" t="b">
        <v>0</v>
      </c>
      <c r="U612" t="b">
        <v>0</v>
      </c>
      <c r="V612" t="b">
        <v>1</v>
      </c>
      <c r="W612" t="b">
        <v>1</v>
      </c>
      <c r="X612">
        <v>3.9</v>
      </c>
      <c r="Y612">
        <v>5.9</v>
      </c>
      <c r="Z612">
        <v>2</v>
      </c>
      <c r="AA612">
        <v>7.2</v>
      </c>
      <c r="AB612" s="3">
        <v>80.75</v>
      </c>
      <c r="AC612" s="3"/>
      <c r="AD612">
        <v>6</v>
      </c>
      <c r="AE612" t="s">
        <v>46</v>
      </c>
      <c r="AF612" s="4"/>
    </row>
    <row r="613" spans="1:32" x14ac:dyDescent="0.3">
      <c r="A613" t="s">
        <v>704</v>
      </c>
      <c r="B613">
        <v>20</v>
      </c>
      <c r="C613" t="str">
        <f t="shared" si="9"/>
        <v>Young Adults</v>
      </c>
      <c r="D613" t="s">
        <v>28</v>
      </c>
      <c r="E613">
        <v>5.4</v>
      </c>
      <c r="G613" t="s">
        <v>76</v>
      </c>
      <c r="H613" t="s">
        <v>77</v>
      </c>
      <c r="I613" t="s">
        <v>86</v>
      </c>
      <c r="J613">
        <v>6</v>
      </c>
      <c r="L613" t="s">
        <v>51</v>
      </c>
      <c r="M613" t="s">
        <v>74</v>
      </c>
      <c r="N613" t="s">
        <v>84</v>
      </c>
      <c r="O613">
        <v>2.81</v>
      </c>
      <c r="P613">
        <v>6</v>
      </c>
      <c r="Q613" t="s">
        <v>66</v>
      </c>
      <c r="R613" t="s">
        <v>33</v>
      </c>
      <c r="S613" t="b">
        <v>0</v>
      </c>
      <c r="T613" t="b">
        <v>0</v>
      </c>
      <c r="U613" t="b">
        <v>0</v>
      </c>
      <c r="V613" t="b">
        <v>1</v>
      </c>
      <c r="W613" t="b">
        <v>0</v>
      </c>
      <c r="X613">
        <v>1.1000000000000001</v>
      </c>
      <c r="Y613">
        <v>6.7</v>
      </c>
      <c r="Z613">
        <v>3</v>
      </c>
      <c r="AA613">
        <v>10.199999999999999</v>
      </c>
      <c r="AB613" s="3">
        <v>98.4</v>
      </c>
      <c r="AC613" s="3"/>
      <c r="AD613">
        <v>4</v>
      </c>
      <c r="AE613" t="s">
        <v>46</v>
      </c>
      <c r="AF613" s="4"/>
    </row>
    <row r="614" spans="1:32" x14ac:dyDescent="0.3">
      <c r="A614" t="s">
        <v>705</v>
      </c>
      <c r="B614">
        <v>19</v>
      </c>
      <c r="C614" t="str">
        <f t="shared" si="9"/>
        <v>Teenager</v>
      </c>
      <c r="D614" t="s">
        <v>28</v>
      </c>
      <c r="E614">
        <v>2.6</v>
      </c>
      <c r="G614" t="s">
        <v>60</v>
      </c>
      <c r="H614" t="s">
        <v>102</v>
      </c>
      <c r="I614" t="s">
        <v>86</v>
      </c>
      <c r="J614">
        <v>8.6</v>
      </c>
      <c r="L614" t="s">
        <v>41</v>
      </c>
      <c r="M614" t="s">
        <v>74</v>
      </c>
      <c r="N614" t="s">
        <v>51</v>
      </c>
      <c r="O614">
        <v>2.48</v>
      </c>
      <c r="P614">
        <v>1</v>
      </c>
      <c r="Q614" t="s">
        <v>35</v>
      </c>
      <c r="R614" t="s">
        <v>57</v>
      </c>
      <c r="S614" t="b">
        <v>0</v>
      </c>
      <c r="T614" t="b">
        <v>0</v>
      </c>
      <c r="U614" t="b">
        <v>0</v>
      </c>
      <c r="V614" t="b">
        <v>0</v>
      </c>
      <c r="W614" t="b">
        <v>0</v>
      </c>
      <c r="X614">
        <v>0.9</v>
      </c>
      <c r="Y614">
        <v>8.1999999999999993</v>
      </c>
      <c r="Z614">
        <v>2</v>
      </c>
      <c r="AA614">
        <v>11.2</v>
      </c>
      <c r="AB614" s="3">
        <v>19.48</v>
      </c>
      <c r="AC614" s="3"/>
      <c r="AD614">
        <v>7</v>
      </c>
      <c r="AE614" t="s">
        <v>46</v>
      </c>
      <c r="AF614" s="4"/>
    </row>
    <row r="615" spans="1:32" x14ac:dyDescent="0.3">
      <c r="A615" t="s">
        <v>706</v>
      </c>
      <c r="B615">
        <v>17</v>
      </c>
      <c r="C615" t="str">
        <f t="shared" si="9"/>
        <v>Teenager</v>
      </c>
      <c r="D615" t="s">
        <v>28</v>
      </c>
      <c r="E615">
        <v>1.3</v>
      </c>
      <c r="G615" t="s">
        <v>39</v>
      </c>
      <c r="H615" t="s">
        <v>120</v>
      </c>
      <c r="I615" t="s">
        <v>31</v>
      </c>
      <c r="J615">
        <v>8.4</v>
      </c>
      <c r="L615" t="s">
        <v>43</v>
      </c>
      <c r="M615" t="s">
        <v>42</v>
      </c>
      <c r="N615" t="s">
        <v>62</v>
      </c>
      <c r="O615">
        <v>3.15</v>
      </c>
      <c r="Q615" t="s">
        <v>66</v>
      </c>
      <c r="R615" t="s">
        <v>36</v>
      </c>
      <c r="S615" t="b">
        <v>0</v>
      </c>
      <c r="T615" t="b">
        <v>0</v>
      </c>
      <c r="U615" t="b">
        <v>0</v>
      </c>
      <c r="V615" t="b">
        <v>0</v>
      </c>
      <c r="W615" t="b">
        <v>0</v>
      </c>
      <c r="X615">
        <v>0.2</v>
      </c>
      <c r="Y615">
        <v>11.1</v>
      </c>
      <c r="Z615">
        <v>1</v>
      </c>
      <c r="AA615">
        <v>16.100000000000001</v>
      </c>
      <c r="AB615" s="3">
        <v>1.18</v>
      </c>
      <c r="AC615" s="3"/>
      <c r="AD615">
        <v>5</v>
      </c>
      <c r="AE615" t="s">
        <v>46</v>
      </c>
      <c r="AF615" s="4"/>
    </row>
    <row r="616" spans="1:32" x14ac:dyDescent="0.3">
      <c r="A616" t="s">
        <v>707</v>
      </c>
      <c r="B616">
        <v>18</v>
      </c>
      <c r="C616" t="str">
        <f t="shared" si="9"/>
        <v>Teenager</v>
      </c>
      <c r="D616" t="s">
        <v>53</v>
      </c>
      <c r="E616">
        <v>3.7</v>
      </c>
      <c r="G616" t="s">
        <v>48</v>
      </c>
      <c r="H616" t="s">
        <v>214</v>
      </c>
      <c r="I616" t="s">
        <v>50</v>
      </c>
      <c r="J616">
        <v>5</v>
      </c>
      <c r="L616" t="s">
        <v>51</v>
      </c>
      <c r="M616" t="s">
        <v>45</v>
      </c>
      <c r="N616" t="s">
        <v>34</v>
      </c>
      <c r="O616">
        <v>3.55</v>
      </c>
      <c r="Q616" t="s">
        <v>69</v>
      </c>
      <c r="R616" t="s">
        <v>33</v>
      </c>
      <c r="S616" t="b">
        <v>0</v>
      </c>
      <c r="T616" t="b">
        <v>0</v>
      </c>
      <c r="U616" t="b">
        <v>0</v>
      </c>
      <c r="V616" t="b">
        <v>0</v>
      </c>
      <c r="W616" t="b">
        <v>0</v>
      </c>
      <c r="X616">
        <v>2</v>
      </c>
      <c r="Y616">
        <v>9.4</v>
      </c>
      <c r="Z616">
        <v>2</v>
      </c>
      <c r="AA616">
        <v>11.5</v>
      </c>
      <c r="AB616" s="3">
        <v>46.28</v>
      </c>
      <c r="AC616" s="3"/>
      <c r="AD616">
        <v>6</v>
      </c>
      <c r="AE616" t="s">
        <v>46</v>
      </c>
      <c r="AF616" s="4"/>
    </row>
    <row r="617" spans="1:32" x14ac:dyDescent="0.3">
      <c r="A617" t="s">
        <v>708</v>
      </c>
      <c r="B617">
        <v>18</v>
      </c>
      <c r="C617" t="str">
        <f t="shared" si="9"/>
        <v>Teenager</v>
      </c>
      <c r="D617" t="s">
        <v>53</v>
      </c>
      <c r="E617">
        <v>4.7</v>
      </c>
      <c r="G617" t="s">
        <v>60</v>
      </c>
      <c r="H617" t="s">
        <v>96</v>
      </c>
      <c r="I617" t="s">
        <v>86</v>
      </c>
      <c r="J617">
        <v>6</v>
      </c>
      <c r="L617" t="s">
        <v>43</v>
      </c>
      <c r="M617" t="s">
        <v>74</v>
      </c>
      <c r="N617" t="s">
        <v>62</v>
      </c>
      <c r="O617">
        <v>2.82</v>
      </c>
      <c r="Q617" t="s">
        <v>80</v>
      </c>
      <c r="R617" t="s">
        <v>45</v>
      </c>
      <c r="S617" t="b">
        <v>0</v>
      </c>
      <c r="T617" t="b">
        <v>0</v>
      </c>
      <c r="U617" t="b">
        <v>0</v>
      </c>
      <c r="V617" t="b">
        <v>1</v>
      </c>
      <c r="W617" t="b">
        <v>0</v>
      </c>
      <c r="X617">
        <v>0.1</v>
      </c>
      <c r="Y617">
        <v>6.6</v>
      </c>
      <c r="Z617">
        <v>2</v>
      </c>
      <c r="AA617">
        <v>6.6</v>
      </c>
      <c r="AB617" s="3">
        <v>127.9</v>
      </c>
      <c r="AC617" s="3"/>
      <c r="AD617">
        <v>4</v>
      </c>
      <c r="AE617" t="s">
        <v>46</v>
      </c>
      <c r="AF617" s="4"/>
    </row>
    <row r="618" spans="1:32" x14ac:dyDescent="0.3">
      <c r="A618" t="s">
        <v>709</v>
      </c>
      <c r="B618">
        <v>24</v>
      </c>
      <c r="C618" t="str">
        <f t="shared" si="9"/>
        <v>Young Adults</v>
      </c>
      <c r="D618" t="s">
        <v>28</v>
      </c>
      <c r="E618">
        <v>8.4</v>
      </c>
      <c r="G618" t="s">
        <v>76</v>
      </c>
      <c r="H618" t="s">
        <v>77</v>
      </c>
      <c r="I618" t="s">
        <v>50</v>
      </c>
      <c r="J618">
        <v>4.2</v>
      </c>
      <c r="L618" t="s">
        <v>78</v>
      </c>
      <c r="M618" t="s">
        <v>45</v>
      </c>
      <c r="N618" t="s">
        <v>129</v>
      </c>
      <c r="P618">
        <v>8</v>
      </c>
      <c r="Q618" t="s">
        <v>35</v>
      </c>
      <c r="R618" t="s">
        <v>36</v>
      </c>
      <c r="S618" t="b">
        <v>0</v>
      </c>
      <c r="T618" t="b">
        <v>0</v>
      </c>
      <c r="U618" t="b">
        <v>1</v>
      </c>
      <c r="V618" t="b">
        <v>1</v>
      </c>
      <c r="W618" t="b">
        <v>1</v>
      </c>
      <c r="X618">
        <v>1.8</v>
      </c>
      <c r="Y618">
        <v>5.5</v>
      </c>
      <c r="Z618">
        <v>4</v>
      </c>
      <c r="AA618">
        <v>7.8</v>
      </c>
      <c r="AB618" s="3">
        <v>111.33</v>
      </c>
      <c r="AC618" s="3"/>
      <c r="AD618">
        <v>7</v>
      </c>
      <c r="AE618" t="s">
        <v>64</v>
      </c>
      <c r="AF618" s="4"/>
    </row>
    <row r="619" spans="1:32" x14ac:dyDescent="0.3">
      <c r="A619" t="s">
        <v>710</v>
      </c>
      <c r="B619">
        <v>30</v>
      </c>
      <c r="C619" t="str">
        <f t="shared" si="9"/>
        <v>Young Adults</v>
      </c>
      <c r="D619" t="s">
        <v>28</v>
      </c>
      <c r="E619">
        <v>7.2</v>
      </c>
      <c r="G619" t="s">
        <v>39</v>
      </c>
      <c r="H619" t="s">
        <v>120</v>
      </c>
      <c r="I619" t="s">
        <v>86</v>
      </c>
      <c r="J619">
        <v>4</v>
      </c>
      <c r="L619" t="s">
        <v>51</v>
      </c>
      <c r="M619" t="s">
        <v>33</v>
      </c>
      <c r="N619" t="s">
        <v>34</v>
      </c>
      <c r="P619">
        <v>3</v>
      </c>
      <c r="Q619" t="s">
        <v>44</v>
      </c>
      <c r="R619" t="s">
        <v>33</v>
      </c>
      <c r="S619" t="b">
        <v>1</v>
      </c>
      <c r="T619" t="b">
        <v>1</v>
      </c>
      <c r="U619" t="b">
        <v>0</v>
      </c>
      <c r="V619" t="b">
        <v>0</v>
      </c>
      <c r="W619" t="b">
        <v>1</v>
      </c>
      <c r="X619">
        <v>1.8</v>
      </c>
      <c r="Y619">
        <v>6.3</v>
      </c>
      <c r="Z619">
        <v>5</v>
      </c>
      <c r="AA619">
        <v>6.3</v>
      </c>
      <c r="AB619" s="3">
        <v>74.44</v>
      </c>
      <c r="AC619" s="3"/>
      <c r="AD619">
        <v>12</v>
      </c>
      <c r="AE619" t="s">
        <v>58</v>
      </c>
      <c r="AF619" s="4"/>
    </row>
    <row r="620" spans="1:32" x14ac:dyDescent="0.3">
      <c r="A620" t="s">
        <v>711</v>
      </c>
      <c r="B620">
        <v>21</v>
      </c>
      <c r="C620" t="str">
        <f t="shared" si="9"/>
        <v>Young Adults</v>
      </c>
      <c r="D620" t="s">
        <v>28</v>
      </c>
      <c r="E620">
        <v>6.4</v>
      </c>
      <c r="G620" t="s">
        <v>29</v>
      </c>
      <c r="H620" t="s">
        <v>118</v>
      </c>
      <c r="I620" t="s">
        <v>50</v>
      </c>
      <c r="J620">
        <v>5.6</v>
      </c>
      <c r="L620" t="s">
        <v>43</v>
      </c>
      <c r="M620" t="s">
        <v>36</v>
      </c>
      <c r="N620" t="s">
        <v>84</v>
      </c>
      <c r="O620">
        <v>2.4300000000000002</v>
      </c>
      <c r="P620">
        <v>5</v>
      </c>
      <c r="Q620" t="s">
        <v>80</v>
      </c>
      <c r="R620" t="s">
        <v>45</v>
      </c>
      <c r="S620" t="b">
        <v>0</v>
      </c>
      <c r="T620" t="b">
        <v>1</v>
      </c>
      <c r="U620" t="b">
        <v>0</v>
      </c>
      <c r="V620" t="b">
        <v>1</v>
      </c>
      <c r="W620" t="b">
        <v>1</v>
      </c>
      <c r="X620">
        <v>1.2</v>
      </c>
      <c r="Y620">
        <v>7.6</v>
      </c>
      <c r="Z620">
        <v>4</v>
      </c>
      <c r="AA620">
        <v>8.9</v>
      </c>
      <c r="AB620" s="3">
        <v>112.63</v>
      </c>
      <c r="AC620" s="3"/>
      <c r="AD620">
        <v>4</v>
      </c>
      <c r="AE620" t="s">
        <v>64</v>
      </c>
      <c r="AF620" s="4"/>
    </row>
    <row r="621" spans="1:32" x14ac:dyDescent="0.3">
      <c r="A621" t="s">
        <v>712</v>
      </c>
      <c r="B621">
        <v>15</v>
      </c>
      <c r="C621" t="str">
        <f t="shared" si="9"/>
        <v>Teenager</v>
      </c>
      <c r="D621" t="s">
        <v>28</v>
      </c>
      <c r="E621">
        <v>2.6</v>
      </c>
      <c r="G621" t="s">
        <v>29</v>
      </c>
      <c r="H621" t="s">
        <v>73</v>
      </c>
      <c r="I621" t="s">
        <v>50</v>
      </c>
      <c r="J621">
        <v>7.8</v>
      </c>
      <c r="L621" t="s">
        <v>43</v>
      </c>
      <c r="M621" t="s">
        <v>74</v>
      </c>
      <c r="N621" t="s">
        <v>43</v>
      </c>
      <c r="O621">
        <v>2.19</v>
      </c>
      <c r="Q621" t="s">
        <v>66</v>
      </c>
      <c r="R621" t="s">
        <v>42</v>
      </c>
      <c r="S621" t="b">
        <v>0</v>
      </c>
      <c r="T621" t="b">
        <v>0</v>
      </c>
      <c r="U621" t="b">
        <v>0</v>
      </c>
      <c r="V621" t="b">
        <v>0</v>
      </c>
      <c r="W621" t="b">
        <v>0</v>
      </c>
      <c r="X621">
        <v>0.7</v>
      </c>
      <c r="Y621">
        <v>6.6</v>
      </c>
      <c r="Z621">
        <v>1</v>
      </c>
      <c r="AA621">
        <v>9.6999999999999993</v>
      </c>
      <c r="AB621" s="3">
        <v>32.909999999999997</v>
      </c>
      <c r="AC621" s="3"/>
      <c r="AD621">
        <v>3</v>
      </c>
      <c r="AE621" t="s">
        <v>46</v>
      </c>
      <c r="AF621" s="4"/>
    </row>
    <row r="622" spans="1:32" x14ac:dyDescent="0.3">
      <c r="A622" t="s">
        <v>713</v>
      </c>
      <c r="B622">
        <v>27</v>
      </c>
      <c r="C622" t="str">
        <f t="shared" si="9"/>
        <v>Young Adults</v>
      </c>
      <c r="D622" t="s">
        <v>28</v>
      </c>
      <c r="E622">
        <v>3.4</v>
      </c>
      <c r="G622" t="s">
        <v>48</v>
      </c>
      <c r="H622" t="s">
        <v>214</v>
      </c>
      <c r="I622" t="s">
        <v>50</v>
      </c>
      <c r="J622">
        <v>8.4</v>
      </c>
      <c r="L622" t="s">
        <v>43</v>
      </c>
      <c r="M622" t="s">
        <v>36</v>
      </c>
      <c r="N622" t="s">
        <v>84</v>
      </c>
      <c r="P622">
        <v>2</v>
      </c>
      <c r="Q622" t="s">
        <v>66</v>
      </c>
      <c r="R622" t="s">
        <v>33</v>
      </c>
      <c r="S622" t="b">
        <v>0</v>
      </c>
      <c r="T622" t="b">
        <v>0</v>
      </c>
      <c r="U622" t="b">
        <v>0</v>
      </c>
      <c r="V622" t="b">
        <v>0</v>
      </c>
      <c r="W622" t="b">
        <v>0</v>
      </c>
      <c r="X622">
        <v>1.1000000000000001</v>
      </c>
      <c r="Y622">
        <v>8.5</v>
      </c>
      <c r="Z622">
        <v>1</v>
      </c>
      <c r="AA622">
        <v>12.2</v>
      </c>
      <c r="AB622" s="3">
        <v>29.73</v>
      </c>
      <c r="AC622" s="3"/>
      <c r="AD622">
        <v>12</v>
      </c>
      <c r="AE622" t="s">
        <v>46</v>
      </c>
      <c r="AF622" s="4"/>
    </row>
    <row r="623" spans="1:32" x14ac:dyDescent="0.3">
      <c r="A623" t="s">
        <v>714</v>
      </c>
      <c r="B623">
        <v>15</v>
      </c>
      <c r="C623" t="str">
        <f t="shared" si="9"/>
        <v>Teenager</v>
      </c>
      <c r="D623" t="s">
        <v>53</v>
      </c>
      <c r="E623">
        <v>7</v>
      </c>
      <c r="G623" t="s">
        <v>29</v>
      </c>
      <c r="H623" t="s">
        <v>30</v>
      </c>
      <c r="I623" t="s">
        <v>50</v>
      </c>
      <c r="J623">
        <v>4.7</v>
      </c>
      <c r="L623" t="s">
        <v>51</v>
      </c>
      <c r="M623" t="s">
        <v>45</v>
      </c>
      <c r="N623" t="s">
        <v>51</v>
      </c>
      <c r="O623">
        <v>3.52</v>
      </c>
      <c r="Q623" t="s">
        <v>35</v>
      </c>
      <c r="R623" t="s">
        <v>57</v>
      </c>
      <c r="S623" t="b">
        <v>0</v>
      </c>
      <c r="T623" t="b">
        <v>0</v>
      </c>
      <c r="U623" t="b">
        <v>0</v>
      </c>
      <c r="V623" t="b">
        <v>1</v>
      </c>
      <c r="W623" t="b">
        <v>0</v>
      </c>
      <c r="X623">
        <v>0.8</v>
      </c>
      <c r="Y623">
        <v>5.9</v>
      </c>
      <c r="Z623">
        <v>6</v>
      </c>
      <c r="AA623">
        <v>7.6</v>
      </c>
      <c r="AB623" s="3">
        <v>54.93</v>
      </c>
      <c r="AC623" s="3"/>
      <c r="AD623">
        <v>5</v>
      </c>
      <c r="AE623" t="s">
        <v>46</v>
      </c>
      <c r="AF623" s="4"/>
    </row>
    <row r="624" spans="1:32" x14ac:dyDescent="0.3">
      <c r="A624" t="s">
        <v>715</v>
      </c>
      <c r="B624">
        <v>27</v>
      </c>
      <c r="C624" t="str">
        <f t="shared" si="9"/>
        <v>Young Adults</v>
      </c>
      <c r="D624" t="s">
        <v>53</v>
      </c>
      <c r="E624">
        <v>1.6</v>
      </c>
      <c r="G624" t="s">
        <v>48</v>
      </c>
      <c r="H624" t="s">
        <v>68</v>
      </c>
      <c r="I624" t="s">
        <v>50</v>
      </c>
      <c r="J624">
        <v>7.5</v>
      </c>
      <c r="L624" t="s">
        <v>41</v>
      </c>
      <c r="M624" t="s">
        <v>36</v>
      </c>
      <c r="N624" t="s">
        <v>62</v>
      </c>
      <c r="P624">
        <v>9</v>
      </c>
      <c r="Q624" t="s">
        <v>66</v>
      </c>
      <c r="R624" t="s">
        <v>36</v>
      </c>
      <c r="S624" t="b">
        <v>0</v>
      </c>
      <c r="T624" t="b">
        <v>0</v>
      </c>
      <c r="U624" t="b">
        <v>0</v>
      </c>
      <c r="V624" t="b">
        <v>0</v>
      </c>
      <c r="W624" t="b">
        <v>0</v>
      </c>
      <c r="X624">
        <v>0.2</v>
      </c>
      <c r="Y624">
        <v>9</v>
      </c>
      <c r="Z624">
        <v>2</v>
      </c>
      <c r="AA624">
        <v>15.5</v>
      </c>
      <c r="AB624" s="3">
        <v>24.49</v>
      </c>
      <c r="AC624" s="3"/>
      <c r="AD624">
        <v>11</v>
      </c>
      <c r="AE624" t="s">
        <v>46</v>
      </c>
      <c r="AF624" s="4"/>
    </row>
    <row r="625" spans="1:32" x14ac:dyDescent="0.3">
      <c r="A625" t="s">
        <v>716</v>
      </c>
      <c r="B625">
        <v>19</v>
      </c>
      <c r="C625" t="str">
        <f t="shared" si="9"/>
        <v>Teenager</v>
      </c>
      <c r="D625" t="s">
        <v>28</v>
      </c>
      <c r="E625">
        <v>7.7</v>
      </c>
      <c r="G625" t="s">
        <v>39</v>
      </c>
      <c r="H625" t="s">
        <v>40</v>
      </c>
      <c r="I625" t="s">
        <v>50</v>
      </c>
      <c r="J625">
        <v>3.5</v>
      </c>
      <c r="L625" t="s">
        <v>32</v>
      </c>
      <c r="M625" t="s">
        <v>33</v>
      </c>
      <c r="N625" t="s">
        <v>62</v>
      </c>
      <c r="O625">
        <v>1.1000000000000001</v>
      </c>
      <c r="P625">
        <v>6</v>
      </c>
      <c r="Q625" t="s">
        <v>44</v>
      </c>
      <c r="R625" t="s">
        <v>45</v>
      </c>
      <c r="S625" t="b">
        <v>0</v>
      </c>
      <c r="T625" t="b">
        <v>1</v>
      </c>
      <c r="U625" t="b">
        <v>0</v>
      </c>
      <c r="V625" t="b">
        <v>1</v>
      </c>
      <c r="W625" t="b">
        <v>0</v>
      </c>
      <c r="X625">
        <v>3.6</v>
      </c>
      <c r="Y625">
        <v>7.8</v>
      </c>
      <c r="Z625">
        <v>6</v>
      </c>
      <c r="AA625">
        <v>6</v>
      </c>
      <c r="AB625" s="3">
        <v>33.950000000000003</v>
      </c>
      <c r="AC625" s="3"/>
      <c r="AD625">
        <v>6</v>
      </c>
      <c r="AE625" t="s">
        <v>64</v>
      </c>
      <c r="AF625" s="4"/>
    </row>
    <row r="626" spans="1:32" x14ac:dyDescent="0.3">
      <c r="A626" t="s">
        <v>717</v>
      </c>
      <c r="B626">
        <v>20</v>
      </c>
      <c r="C626" t="str">
        <f t="shared" si="9"/>
        <v>Young Adults</v>
      </c>
      <c r="D626" t="s">
        <v>28</v>
      </c>
      <c r="E626">
        <v>4.8</v>
      </c>
      <c r="G626" t="s">
        <v>39</v>
      </c>
      <c r="H626" t="s">
        <v>40</v>
      </c>
      <c r="I626" t="s">
        <v>86</v>
      </c>
      <c r="J626">
        <v>5.5</v>
      </c>
      <c r="L626" t="s">
        <v>51</v>
      </c>
      <c r="M626" t="s">
        <v>74</v>
      </c>
      <c r="N626" t="s">
        <v>62</v>
      </c>
      <c r="O626">
        <v>2.5</v>
      </c>
      <c r="P626">
        <v>2</v>
      </c>
      <c r="Q626" t="s">
        <v>105</v>
      </c>
      <c r="R626" t="s">
        <v>33</v>
      </c>
      <c r="S626" t="b">
        <v>0</v>
      </c>
      <c r="T626" t="b">
        <v>0</v>
      </c>
      <c r="U626" t="b">
        <v>0</v>
      </c>
      <c r="V626" t="b">
        <v>1</v>
      </c>
      <c r="W626" t="b">
        <v>0</v>
      </c>
      <c r="X626">
        <v>0.8</v>
      </c>
      <c r="Y626">
        <v>8.8000000000000007</v>
      </c>
      <c r="Z626">
        <v>4</v>
      </c>
      <c r="AA626">
        <v>6.8</v>
      </c>
      <c r="AB626" s="3">
        <v>94.88</v>
      </c>
      <c r="AC626" s="3"/>
      <c r="AD626">
        <v>2</v>
      </c>
      <c r="AE626" t="s">
        <v>46</v>
      </c>
      <c r="AF626" s="4"/>
    </row>
    <row r="627" spans="1:32" x14ac:dyDescent="0.3">
      <c r="A627" t="s">
        <v>718</v>
      </c>
      <c r="B627">
        <v>35</v>
      </c>
      <c r="C627" t="str">
        <f t="shared" si="9"/>
        <v>Old Adults</v>
      </c>
      <c r="D627" t="s">
        <v>28</v>
      </c>
      <c r="E627">
        <v>6.9</v>
      </c>
      <c r="G627" t="s">
        <v>82</v>
      </c>
      <c r="H627" t="s">
        <v>83</v>
      </c>
      <c r="I627" t="s">
        <v>86</v>
      </c>
      <c r="J627">
        <v>5.2</v>
      </c>
      <c r="L627" t="s">
        <v>32</v>
      </c>
      <c r="M627" t="s">
        <v>45</v>
      </c>
      <c r="N627" t="s">
        <v>129</v>
      </c>
      <c r="P627">
        <v>8</v>
      </c>
      <c r="Q627" t="s">
        <v>66</v>
      </c>
      <c r="R627" t="s">
        <v>36</v>
      </c>
      <c r="S627" t="b">
        <v>1</v>
      </c>
      <c r="T627" t="b">
        <v>1</v>
      </c>
      <c r="U627" t="b">
        <v>0</v>
      </c>
      <c r="V627" t="b">
        <v>1</v>
      </c>
      <c r="W627" t="b">
        <v>0</v>
      </c>
      <c r="X627">
        <v>2.2999999999999998</v>
      </c>
      <c r="Y627">
        <v>7.8</v>
      </c>
      <c r="Z627">
        <v>5</v>
      </c>
      <c r="AA627">
        <v>5.7</v>
      </c>
      <c r="AB627" s="3">
        <v>105.61</v>
      </c>
      <c r="AC627" s="3"/>
      <c r="AD627">
        <v>7</v>
      </c>
      <c r="AE627" t="s">
        <v>58</v>
      </c>
      <c r="AF627" s="4"/>
    </row>
    <row r="628" spans="1:32" x14ac:dyDescent="0.3">
      <c r="A628" t="s">
        <v>719</v>
      </c>
      <c r="B628">
        <v>22</v>
      </c>
      <c r="C628" t="str">
        <f t="shared" si="9"/>
        <v>Young Adults</v>
      </c>
      <c r="D628" t="s">
        <v>53</v>
      </c>
      <c r="E628">
        <v>4.8</v>
      </c>
      <c r="G628" t="s">
        <v>82</v>
      </c>
      <c r="H628" t="s">
        <v>134</v>
      </c>
      <c r="I628" t="s">
        <v>50</v>
      </c>
      <c r="J628">
        <v>6</v>
      </c>
      <c r="L628" t="s">
        <v>41</v>
      </c>
      <c r="M628" t="s">
        <v>42</v>
      </c>
      <c r="N628" t="s">
        <v>43</v>
      </c>
      <c r="O628">
        <v>1.74</v>
      </c>
      <c r="P628">
        <v>8</v>
      </c>
      <c r="Q628" t="s">
        <v>44</v>
      </c>
      <c r="R628" t="s">
        <v>45</v>
      </c>
      <c r="S628" t="b">
        <v>0</v>
      </c>
      <c r="T628" t="b">
        <v>0</v>
      </c>
      <c r="U628" t="b">
        <v>0</v>
      </c>
      <c r="V628" t="b">
        <v>1</v>
      </c>
      <c r="W628" t="b">
        <v>0</v>
      </c>
      <c r="X628">
        <v>0.9</v>
      </c>
      <c r="Y628">
        <v>7.5</v>
      </c>
      <c r="Z628">
        <v>4</v>
      </c>
      <c r="AA628">
        <v>7.9</v>
      </c>
      <c r="AB628" s="3">
        <v>19.11</v>
      </c>
      <c r="AC628" s="3"/>
      <c r="AD628">
        <v>12</v>
      </c>
      <c r="AE628" t="s">
        <v>46</v>
      </c>
      <c r="AF628" s="4"/>
    </row>
    <row r="629" spans="1:32" x14ac:dyDescent="0.3">
      <c r="A629" t="s">
        <v>720</v>
      </c>
      <c r="B629">
        <v>16</v>
      </c>
      <c r="C629" t="str">
        <f t="shared" si="9"/>
        <v>Teenager</v>
      </c>
      <c r="D629" t="s">
        <v>28</v>
      </c>
      <c r="E629">
        <v>4.5</v>
      </c>
      <c r="G629" t="s">
        <v>76</v>
      </c>
      <c r="H629" t="s">
        <v>77</v>
      </c>
      <c r="I629" t="s">
        <v>31</v>
      </c>
      <c r="J629">
        <v>5.6</v>
      </c>
      <c r="L629" t="s">
        <v>51</v>
      </c>
      <c r="M629" t="s">
        <v>33</v>
      </c>
      <c r="N629" t="s">
        <v>34</v>
      </c>
      <c r="O629">
        <v>2.23</v>
      </c>
      <c r="Q629" t="s">
        <v>35</v>
      </c>
      <c r="R629" t="s">
        <v>45</v>
      </c>
      <c r="S629" t="b">
        <v>0</v>
      </c>
      <c r="T629" t="b">
        <v>0</v>
      </c>
      <c r="U629" t="b">
        <v>0</v>
      </c>
      <c r="V629" t="b">
        <v>0</v>
      </c>
      <c r="W629" t="b">
        <v>0</v>
      </c>
      <c r="X629">
        <v>2</v>
      </c>
      <c r="Y629">
        <v>7</v>
      </c>
      <c r="Z629">
        <v>3</v>
      </c>
      <c r="AA629">
        <v>8.9</v>
      </c>
      <c r="AB629" s="3">
        <v>77.900000000000006</v>
      </c>
      <c r="AC629" s="3"/>
      <c r="AD629">
        <v>2</v>
      </c>
      <c r="AE629" t="s">
        <v>46</v>
      </c>
      <c r="AF629" s="4"/>
    </row>
    <row r="630" spans="1:32" x14ac:dyDescent="0.3">
      <c r="A630" t="s">
        <v>721</v>
      </c>
      <c r="B630">
        <v>21</v>
      </c>
      <c r="C630" t="str">
        <f t="shared" si="9"/>
        <v>Young Adults</v>
      </c>
      <c r="D630" t="s">
        <v>53</v>
      </c>
      <c r="E630">
        <v>3.6</v>
      </c>
      <c r="G630" t="s">
        <v>48</v>
      </c>
      <c r="H630" t="s">
        <v>214</v>
      </c>
      <c r="I630" t="s">
        <v>86</v>
      </c>
      <c r="J630">
        <v>5.4</v>
      </c>
      <c r="L630" t="s">
        <v>43</v>
      </c>
      <c r="M630" t="s">
        <v>45</v>
      </c>
      <c r="N630" t="s">
        <v>43</v>
      </c>
      <c r="O630">
        <v>3.09</v>
      </c>
      <c r="P630">
        <v>3</v>
      </c>
      <c r="Q630" t="s">
        <v>56</v>
      </c>
      <c r="R630" t="s">
        <v>36</v>
      </c>
      <c r="S630" t="b">
        <v>0</v>
      </c>
      <c r="T630" t="b">
        <v>0</v>
      </c>
      <c r="U630" t="b">
        <v>0</v>
      </c>
      <c r="V630" t="b">
        <v>0</v>
      </c>
      <c r="W630" t="b">
        <v>0</v>
      </c>
      <c r="X630">
        <v>1.9</v>
      </c>
      <c r="Y630">
        <v>6.1</v>
      </c>
      <c r="Z630">
        <v>3</v>
      </c>
      <c r="AA630">
        <v>8</v>
      </c>
      <c r="AB630" s="3">
        <v>40.97</v>
      </c>
      <c r="AC630" s="3"/>
      <c r="AD630">
        <v>11</v>
      </c>
      <c r="AE630" t="s">
        <v>46</v>
      </c>
      <c r="AF630" s="4"/>
    </row>
    <row r="631" spans="1:32" x14ac:dyDescent="0.3">
      <c r="A631" t="s">
        <v>722</v>
      </c>
      <c r="B631">
        <v>27</v>
      </c>
      <c r="C631" t="str">
        <f t="shared" si="9"/>
        <v>Young Adults</v>
      </c>
      <c r="D631" t="s">
        <v>53</v>
      </c>
      <c r="E631">
        <v>12</v>
      </c>
      <c r="G631" t="s">
        <v>60</v>
      </c>
      <c r="H631" t="s">
        <v>61</v>
      </c>
      <c r="I631" t="s">
        <v>71</v>
      </c>
      <c r="J631">
        <v>5.2</v>
      </c>
      <c r="L631" t="s">
        <v>32</v>
      </c>
      <c r="M631" t="s">
        <v>74</v>
      </c>
      <c r="N631" t="s">
        <v>62</v>
      </c>
      <c r="P631">
        <v>4</v>
      </c>
      <c r="Q631" t="s">
        <v>80</v>
      </c>
      <c r="R631" t="s">
        <v>33</v>
      </c>
      <c r="S631" t="b">
        <v>1</v>
      </c>
      <c r="T631" t="b">
        <v>0</v>
      </c>
      <c r="U631" t="b">
        <v>1</v>
      </c>
      <c r="V631" t="b">
        <v>1</v>
      </c>
      <c r="W631" t="b">
        <v>1</v>
      </c>
      <c r="X631">
        <v>3.2</v>
      </c>
      <c r="Y631">
        <v>4.9000000000000004</v>
      </c>
      <c r="Z631">
        <v>9</v>
      </c>
      <c r="AA631">
        <v>0</v>
      </c>
      <c r="AB631" s="3">
        <v>348.26</v>
      </c>
      <c r="AC631" s="3"/>
      <c r="AD631">
        <v>16</v>
      </c>
      <c r="AE631" t="s">
        <v>37</v>
      </c>
      <c r="AF631" s="4"/>
    </row>
    <row r="632" spans="1:32" x14ac:dyDescent="0.3">
      <c r="A632" t="s">
        <v>723</v>
      </c>
      <c r="B632">
        <v>16</v>
      </c>
      <c r="C632" t="str">
        <f t="shared" si="9"/>
        <v>Teenager</v>
      </c>
      <c r="D632" t="s">
        <v>53</v>
      </c>
      <c r="E632">
        <v>5.4</v>
      </c>
      <c r="G632" t="s">
        <v>48</v>
      </c>
      <c r="H632" t="s">
        <v>49</v>
      </c>
      <c r="I632" t="s">
        <v>71</v>
      </c>
      <c r="J632">
        <v>5.8</v>
      </c>
      <c r="L632" t="s">
        <v>51</v>
      </c>
      <c r="M632" t="s">
        <v>74</v>
      </c>
      <c r="N632" t="s">
        <v>51</v>
      </c>
      <c r="O632">
        <v>2.81</v>
      </c>
      <c r="Q632" t="s">
        <v>44</v>
      </c>
      <c r="R632" t="s">
        <v>57</v>
      </c>
      <c r="S632" t="b">
        <v>0</v>
      </c>
      <c r="T632" t="b">
        <v>0</v>
      </c>
      <c r="U632" t="b">
        <v>0</v>
      </c>
      <c r="V632" t="b">
        <v>0</v>
      </c>
      <c r="W632" t="b">
        <v>0</v>
      </c>
      <c r="X632">
        <v>0.4</v>
      </c>
      <c r="Y632">
        <v>8.3000000000000007</v>
      </c>
      <c r="Z632">
        <v>2</v>
      </c>
      <c r="AA632">
        <v>6</v>
      </c>
      <c r="AB632" s="3">
        <v>34.869999999999997</v>
      </c>
      <c r="AC632" s="3"/>
      <c r="AD632">
        <v>4</v>
      </c>
      <c r="AE632" t="s">
        <v>46</v>
      </c>
      <c r="AF632" s="4"/>
    </row>
    <row r="633" spans="1:32" x14ac:dyDescent="0.3">
      <c r="A633" t="s">
        <v>724</v>
      </c>
      <c r="B633">
        <v>23</v>
      </c>
      <c r="C633" t="str">
        <f t="shared" si="9"/>
        <v>Young Adults</v>
      </c>
      <c r="D633" t="s">
        <v>28</v>
      </c>
      <c r="E633">
        <v>7</v>
      </c>
      <c r="G633" t="s">
        <v>29</v>
      </c>
      <c r="H633" t="s">
        <v>30</v>
      </c>
      <c r="I633" t="s">
        <v>31</v>
      </c>
      <c r="J633">
        <v>3.8</v>
      </c>
      <c r="L633" t="s">
        <v>51</v>
      </c>
      <c r="M633" t="s">
        <v>36</v>
      </c>
      <c r="N633" t="s">
        <v>62</v>
      </c>
      <c r="P633">
        <v>9</v>
      </c>
      <c r="Q633" t="s">
        <v>105</v>
      </c>
      <c r="R633" t="s">
        <v>45</v>
      </c>
      <c r="S633" t="b">
        <v>1</v>
      </c>
      <c r="T633" t="b">
        <v>1</v>
      </c>
      <c r="U633" t="b">
        <v>0</v>
      </c>
      <c r="V633" t="b">
        <v>1</v>
      </c>
      <c r="W633" t="b">
        <v>0</v>
      </c>
      <c r="X633">
        <v>6.2</v>
      </c>
      <c r="Y633">
        <v>4.8</v>
      </c>
      <c r="Z633">
        <v>5</v>
      </c>
      <c r="AA633">
        <v>9.5</v>
      </c>
      <c r="AB633" s="3">
        <v>128.77000000000001</v>
      </c>
      <c r="AC633" s="3"/>
      <c r="AD633">
        <v>5</v>
      </c>
      <c r="AE633" t="s">
        <v>58</v>
      </c>
      <c r="AF633" s="4"/>
    </row>
    <row r="634" spans="1:32" x14ac:dyDescent="0.3">
      <c r="A634" t="s">
        <v>725</v>
      </c>
      <c r="B634">
        <v>25</v>
      </c>
      <c r="C634" t="str">
        <f t="shared" si="9"/>
        <v>Young Adults</v>
      </c>
      <c r="D634" t="s">
        <v>28</v>
      </c>
      <c r="E634">
        <v>6.2</v>
      </c>
      <c r="G634" t="s">
        <v>82</v>
      </c>
      <c r="H634" t="s">
        <v>134</v>
      </c>
      <c r="I634" t="s">
        <v>71</v>
      </c>
      <c r="J634">
        <v>5.9</v>
      </c>
      <c r="L634" t="s">
        <v>41</v>
      </c>
      <c r="M634" t="s">
        <v>45</v>
      </c>
      <c r="N634" t="s">
        <v>34</v>
      </c>
      <c r="P634">
        <v>8</v>
      </c>
      <c r="Q634" t="s">
        <v>80</v>
      </c>
      <c r="R634" t="s">
        <v>57</v>
      </c>
      <c r="S634" t="b">
        <v>0</v>
      </c>
      <c r="T634" t="b">
        <v>1</v>
      </c>
      <c r="U634" t="b">
        <v>0</v>
      </c>
      <c r="V634" t="b">
        <v>0</v>
      </c>
      <c r="W634" t="b">
        <v>1</v>
      </c>
      <c r="X634">
        <v>0</v>
      </c>
      <c r="Y634">
        <v>8</v>
      </c>
      <c r="Z634">
        <v>6</v>
      </c>
      <c r="AA634">
        <v>10.199999999999999</v>
      </c>
      <c r="AB634" s="3">
        <v>30.42</v>
      </c>
      <c r="AC634" s="3"/>
      <c r="AD634">
        <v>4</v>
      </c>
      <c r="AE634" t="s">
        <v>64</v>
      </c>
      <c r="AF634" s="4"/>
    </row>
    <row r="635" spans="1:32" x14ac:dyDescent="0.3">
      <c r="A635" t="s">
        <v>726</v>
      </c>
      <c r="B635">
        <v>24</v>
      </c>
      <c r="C635" t="str">
        <f t="shared" si="9"/>
        <v>Young Adults</v>
      </c>
      <c r="D635" t="s">
        <v>28</v>
      </c>
      <c r="E635">
        <v>5.7</v>
      </c>
      <c r="G635" t="s">
        <v>76</v>
      </c>
      <c r="H635" t="s">
        <v>126</v>
      </c>
      <c r="I635" t="s">
        <v>86</v>
      </c>
      <c r="J635">
        <v>5.7</v>
      </c>
      <c r="L635" t="s">
        <v>51</v>
      </c>
      <c r="M635" t="s">
        <v>33</v>
      </c>
      <c r="N635" t="s">
        <v>43</v>
      </c>
      <c r="P635">
        <v>1</v>
      </c>
      <c r="Q635" t="s">
        <v>35</v>
      </c>
      <c r="R635" t="s">
        <v>42</v>
      </c>
      <c r="S635" t="b">
        <v>0</v>
      </c>
      <c r="T635" t="b">
        <v>1</v>
      </c>
      <c r="U635" t="b">
        <v>0</v>
      </c>
      <c r="V635" t="b">
        <v>1</v>
      </c>
      <c r="W635" t="b">
        <v>0</v>
      </c>
      <c r="X635">
        <v>0.1</v>
      </c>
      <c r="Y635">
        <v>6.5</v>
      </c>
      <c r="Z635">
        <v>3</v>
      </c>
      <c r="AA635">
        <v>8.6</v>
      </c>
      <c r="AB635" s="3">
        <v>76.37</v>
      </c>
      <c r="AC635" s="3"/>
      <c r="AD635">
        <v>5</v>
      </c>
      <c r="AE635" t="s">
        <v>64</v>
      </c>
      <c r="AF635" s="4"/>
    </row>
    <row r="636" spans="1:32" x14ac:dyDescent="0.3">
      <c r="A636" t="s">
        <v>727</v>
      </c>
      <c r="B636">
        <v>16</v>
      </c>
      <c r="C636" t="str">
        <f t="shared" si="9"/>
        <v>Teenager</v>
      </c>
      <c r="D636" t="s">
        <v>53</v>
      </c>
      <c r="E636">
        <v>6.2</v>
      </c>
      <c r="G636" t="s">
        <v>39</v>
      </c>
      <c r="H636" t="s">
        <v>120</v>
      </c>
      <c r="I636" t="s">
        <v>50</v>
      </c>
      <c r="J636">
        <v>5.8</v>
      </c>
      <c r="L636" t="s">
        <v>51</v>
      </c>
      <c r="M636" t="s">
        <v>33</v>
      </c>
      <c r="N636" t="s">
        <v>43</v>
      </c>
      <c r="O636">
        <v>3.53</v>
      </c>
      <c r="Q636" t="s">
        <v>80</v>
      </c>
      <c r="R636" t="s">
        <v>42</v>
      </c>
      <c r="S636" t="b">
        <v>0</v>
      </c>
      <c r="T636" t="b">
        <v>1</v>
      </c>
      <c r="U636" t="b">
        <v>0</v>
      </c>
      <c r="V636" t="b">
        <v>0</v>
      </c>
      <c r="W636" t="b">
        <v>1</v>
      </c>
      <c r="X636">
        <v>1.2</v>
      </c>
      <c r="Y636">
        <v>5.4</v>
      </c>
      <c r="Z636">
        <v>4</v>
      </c>
      <c r="AA636">
        <v>8.6999999999999993</v>
      </c>
      <c r="AB636" s="3">
        <v>57.17</v>
      </c>
      <c r="AC636" s="3"/>
      <c r="AD636">
        <v>2</v>
      </c>
      <c r="AE636" t="s">
        <v>64</v>
      </c>
      <c r="AF636" s="4"/>
    </row>
    <row r="637" spans="1:32" x14ac:dyDescent="0.3">
      <c r="A637" t="s">
        <v>728</v>
      </c>
      <c r="B637">
        <v>19</v>
      </c>
      <c r="C637" t="str">
        <f t="shared" si="9"/>
        <v>Teenager</v>
      </c>
      <c r="D637" t="s">
        <v>28</v>
      </c>
      <c r="E637">
        <v>9.6</v>
      </c>
      <c r="G637" t="s">
        <v>54</v>
      </c>
      <c r="H637" t="s">
        <v>89</v>
      </c>
      <c r="I637" t="s">
        <v>71</v>
      </c>
      <c r="J637">
        <v>3.6</v>
      </c>
      <c r="L637" t="s">
        <v>51</v>
      </c>
      <c r="M637" t="s">
        <v>33</v>
      </c>
      <c r="N637" t="s">
        <v>43</v>
      </c>
      <c r="O637">
        <v>2.57</v>
      </c>
      <c r="P637">
        <v>8</v>
      </c>
      <c r="Q637" t="s">
        <v>80</v>
      </c>
      <c r="R637" t="s">
        <v>33</v>
      </c>
      <c r="S637" t="b">
        <v>0</v>
      </c>
      <c r="T637" t="b">
        <v>1</v>
      </c>
      <c r="U637" t="b">
        <v>0</v>
      </c>
      <c r="V637" t="b">
        <v>0</v>
      </c>
      <c r="W637" t="b">
        <v>1</v>
      </c>
      <c r="X637">
        <v>4.7</v>
      </c>
      <c r="Y637">
        <v>7</v>
      </c>
      <c r="Z637">
        <v>7</v>
      </c>
      <c r="AA637">
        <v>0.5</v>
      </c>
      <c r="AB637" s="3">
        <v>451.73</v>
      </c>
      <c r="AC637" s="3"/>
      <c r="AD637">
        <v>8</v>
      </c>
      <c r="AE637" t="s">
        <v>58</v>
      </c>
      <c r="AF637" s="4"/>
    </row>
    <row r="638" spans="1:32" x14ac:dyDescent="0.3">
      <c r="A638" t="s">
        <v>729</v>
      </c>
      <c r="B638">
        <v>19</v>
      </c>
      <c r="C638" t="str">
        <f t="shared" si="9"/>
        <v>Teenager</v>
      </c>
      <c r="D638" t="s">
        <v>28</v>
      </c>
      <c r="E638">
        <v>11.1</v>
      </c>
      <c r="G638" t="s">
        <v>76</v>
      </c>
      <c r="H638" t="s">
        <v>126</v>
      </c>
      <c r="I638" t="s">
        <v>50</v>
      </c>
      <c r="J638">
        <v>5.9</v>
      </c>
      <c r="L638" t="s">
        <v>41</v>
      </c>
      <c r="M638" t="s">
        <v>42</v>
      </c>
      <c r="N638" t="s">
        <v>84</v>
      </c>
      <c r="O638">
        <v>1.58</v>
      </c>
      <c r="P638">
        <v>9</v>
      </c>
      <c r="Q638" t="s">
        <v>63</v>
      </c>
      <c r="R638" t="s">
        <v>33</v>
      </c>
      <c r="S638" t="b">
        <v>0</v>
      </c>
      <c r="T638" t="b">
        <v>1</v>
      </c>
      <c r="U638" t="b">
        <v>0</v>
      </c>
      <c r="V638" t="b">
        <v>0</v>
      </c>
      <c r="W638" t="b">
        <v>1</v>
      </c>
      <c r="X638">
        <v>5.3</v>
      </c>
      <c r="Y638">
        <v>3.8</v>
      </c>
      <c r="Z638">
        <v>8</v>
      </c>
      <c r="AA638">
        <v>0.8</v>
      </c>
      <c r="AB638" s="3">
        <v>80.87</v>
      </c>
      <c r="AC638" s="3"/>
      <c r="AD638">
        <v>8</v>
      </c>
      <c r="AE638" t="s">
        <v>58</v>
      </c>
      <c r="AF638" s="4"/>
    </row>
    <row r="639" spans="1:32" x14ac:dyDescent="0.3">
      <c r="A639" t="s">
        <v>730</v>
      </c>
      <c r="B639">
        <v>24</v>
      </c>
      <c r="C639" t="str">
        <f t="shared" si="9"/>
        <v>Young Adults</v>
      </c>
      <c r="D639" t="s">
        <v>28</v>
      </c>
      <c r="E639">
        <v>7.8</v>
      </c>
      <c r="G639" t="s">
        <v>29</v>
      </c>
      <c r="H639" t="s">
        <v>30</v>
      </c>
      <c r="I639" t="s">
        <v>71</v>
      </c>
      <c r="J639">
        <v>5.9</v>
      </c>
      <c r="L639" t="s">
        <v>78</v>
      </c>
      <c r="M639" t="s">
        <v>45</v>
      </c>
      <c r="N639" t="s">
        <v>51</v>
      </c>
      <c r="P639">
        <v>6</v>
      </c>
      <c r="Q639" t="s">
        <v>63</v>
      </c>
      <c r="R639" t="s">
        <v>57</v>
      </c>
      <c r="S639" t="b">
        <v>0</v>
      </c>
      <c r="T639" t="b">
        <v>1</v>
      </c>
      <c r="U639" t="b">
        <v>1</v>
      </c>
      <c r="V639" t="b">
        <v>1</v>
      </c>
      <c r="W639" t="b">
        <v>1</v>
      </c>
      <c r="X639">
        <v>0</v>
      </c>
      <c r="Y639">
        <v>7</v>
      </c>
      <c r="Z639">
        <v>3</v>
      </c>
      <c r="AA639">
        <v>8</v>
      </c>
      <c r="AB639" s="3">
        <v>143.11000000000001</v>
      </c>
      <c r="AC639" s="3"/>
      <c r="AD639">
        <v>10</v>
      </c>
      <c r="AE639" t="s">
        <v>58</v>
      </c>
      <c r="AF639" s="4"/>
    </row>
    <row r="640" spans="1:32" x14ac:dyDescent="0.3">
      <c r="A640" t="s">
        <v>731</v>
      </c>
      <c r="B640">
        <v>20</v>
      </c>
      <c r="C640" t="str">
        <f t="shared" si="9"/>
        <v>Young Adults</v>
      </c>
      <c r="D640" t="s">
        <v>28</v>
      </c>
      <c r="E640">
        <v>6</v>
      </c>
      <c r="G640" t="s">
        <v>60</v>
      </c>
      <c r="H640" t="s">
        <v>102</v>
      </c>
      <c r="I640" t="s">
        <v>71</v>
      </c>
      <c r="J640">
        <v>5.5</v>
      </c>
      <c r="L640" t="s">
        <v>43</v>
      </c>
      <c r="M640" t="s">
        <v>45</v>
      </c>
      <c r="N640" t="s">
        <v>129</v>
      </c>
      <c r="O640">
        <v>3.88</v>
      </c>
      <c r="P640">
        <v>8</v>
      </c>
      <c r="Q640" t="s">
        <v>80</v>
      </c>
      <c r="R640" t="s">
        <v>36</v>
      </c>
      <c r="S640" t="b">
        <v>0</v>
      </c>
      <c r="T640" t="b">
        <v>1</v>
      </c>
      <c r="U640" t="b">
        <v>0</v>
      </c>
      <c r="V640" t="b">
        <v>1</v>
      </c>
      <c r="W640" t="b">
        <v>1</v>
      </c>
      <c r="X640">
        <v>0.2</v>
      </c>
      <c r="Y640">
        <v>6</v>
      </c>
      <c r="Z640">
        <v>6</v>
      </c>
      <c r="AA640">
        <v>10.7</v>
      </c>
      <c r="AB640" s="3">
        <v>33.26</v>
      </c>
      <c r="AC640" s="3"/>
      <c r="AD640">
        <v>4</v>
      </c>
      <c r="AE640" t="s">
        <v>64</v>
      </c>
      <c r="AF640" s="4"/>
    </row>
    <row r="641" spans="1:32" x14ac:dyDescent="0.3">
      <c r="A641" t="s">
        <v>732</v>
      </c>
      <c r="B641">
        <v>14</v>
      </c>
      <c r="C641" t="str">
        <f t="shared" si="9"/>
        <v>Teenager</v>
      </c>
      <c r="D641" t="s">
        <v>53</v>
      </c>
      <c r="E641">
        <v>3.1</v>
      </c>
      <c r="G641" t="s">
        <v>39</v>
      </c>
      <c r="H641" t="s">
        <v>40</v>
      </c>
      <c r="I641" t="s">
        <v>86</v>
      </c>
      <c r="J641">
        <v>7</v>
      </c>
      <c r="L641" t="s">
        <v>43</v>
      </c>
      <c r="M641" t="s">
        <v>45</v>
      </c>
      <c r="N641" t="s">
        <v>84</v>
      </c>
      <c r="O641">
        <v>2.8</v>
      </c>
      <c r="Q641" t="s">
        <v>66</v>
      </c>
      <c r="R641" t="s">
        <v>57</v>
      </c>
      <c r="S641" t="b">
        <v>0</v>
      </c>
      <c r="T641" t="b">
        <v>0</v>
      </c>
      <c r="U641" t="b">
        <v>0</v>
      </c>
      <c r="V641" t="b">
        <v>0</v>
      </c>
      <c r="W641" t="b">
        <v>0</v>
      </c>
      <c r="X641">
        <v>1.5</v>
      </c>
      <c r="Y641">
        <v>8.4</v>
      </c>
      <c r="Z641">
        <v>1</v>
      </c>
      <c r="AA641">
        <v>13.4</v>
      </c>
      <c r="AB641" s="3">
        <v>37.549999999999997</v>
      </c>
      <c r="AC641" s="3"/>
      <c r="AD641">
        <v>1</v>
      </c>
      <c r="AE641" t="s">
        <v>46</v>
      </c>
      <c r="AF641" s="4"/>
    </row>
    <row r="642" spans="1:32" x14ac:dyDescent="0.3">
      <c r="A642" t="s">
        <v>733</v>
      </c>
      <c r="B642">
        <v>25</v>
      </c>
      <c r="C642" t="str">
        <f t="shared" si="9"/>
        <v>Young Adults</v>
      </c>
      <c r="D642" t="s">
        <v>53</v>
      </c>
      <c r="E642">
        <v>7.2</v>
      </c>
      <c r="G642" t="s">
        <v>82</v>
      </c>
      <c r="H642" t="s">
        <v>167</v>
      </c>
      <c r="I642" t="s">
        <v>71</v>
      </c>
      <c r="J642">
        <v>4.4000000000000004</v>
      </c>
      <c r="L642" t="s">
        <v>41</v>
      </c>
      <c r="M642" t="s">
        <v>74</v>
      </c>
      <c r="N642" t="s">
        <v>34</v>
      </c>
      <c r="P642">
        <v>1</v>
      </c>
      <c r="Q642" t="s">
        <v>44</v>
      </c>
      <c r="R642" t="s">
        <v>36</v>
      </c>
      <c r="S642" t="b">
        <v>1</v>
      </c>
      <c r="T642" t="b">
        <v>1</v>
      </c>
      <c r="U642" t="b">
        <v>0</v>
      </c>
      <c r="V642" t="b">
        <v>1</v>
      </c>
      <c r="W642" t="b">
        <v>0</v>
      </c>
      <c r="X642">
        <v>1.4</v>
      </c>
      <c r="Y642">
        <v>7.3</v>
      </c>
      <c r="Z642">
        <v>4</v>
      </c>
      <c r="AA642">
        <v>6.8</v>
      </c>
      <c r="AB642" s="3">
        <v>135.46</v>
      </c>
      <c r="AC642" s="3"/>
      <c r="AD642">
        <v>5</v>
      </c>
      <c r="AE642" t="s">
        <v>58</v>
      </c>
      <c r="AF642" s="4"/>
    </row>
    <row r="643" spans="1:32" x14ac:dyDescent="0.3">
      <c r="A643" t="s">
        <v>734</v>
      </c>
      <c r="B643">
        <v>22</v>
      </c>
      <c r="C643" t="str">
        <f t="shared" ref="C643:C706" si="10">IF(B643&lt;=19,"Teenager",IF(B643&lt;=30,"Young Adults",IF(B643&gt;30,"Old Adults")))</f>
        <v>Young Adults</v>
      </c>
      <c r="D643" t="s">
        <v>28</v>
      </c>
      <c r="E643">
        <v>6.9</v>
      </c>
      <c r="G643" t="s">
        <v>29</v>
      </c>
      <c r="H643" t="s">
        <v>73</v>
      </c>
      <c r="I643" t="s">
        <v>86</v>
      </c>
      <c r="J643">
        <v>6</v>
      </c>
      <c r="L643" t="s">
        <v>41</v>
      </c>
      <c r="M643" t="s">
        <v>42</v>
      </c>
      <c r="N643" t="s">
        <v>34</v>
      </c>
      <c r="O643">
        <v>3.05</v>
      </c>
      <c r="P643">
        <v>8</v>
      </c>
      <c r="Q643" t="s">
        <v>69</v>
      </c>
      <c r="R643" t="s">
        <v>33</v>
      </c>
      <c r="S643" t="b">
        <v>1</v>
      </c>
      <c r="T643" t="b">
        <v>0</v>
      </c>
      <c r="U643" t="b">
        <v>0</v>
      </c>
      <c r="V643" t="b">
        <v>1</v>
      </c>
      <c r="W643" t="b">
        <v>1</v>
      </c>
      <c r="X643">
        <v>0.2</v>
      </c>
      <c r="Y643">
        <v>7.7</v>
      </c>
      <c r="Z643">
        <v>4</v>
      </c>
      <c r="AA643">
        <v>5</v>
      </c>
      <c r="AB643" s="3">
        <v>140.63999999999999</v>
      </c>
      <c r="AC643" s="3"/>
      <c r="AD643">
        <v>11</v>
      </c>
      <c r="AE643" t="s">
        <v>64</v>
      </c>
      <c r="AF643" s="4"/>
    </row>
    <row r="644" spans="1:32" x14ac:dyDescent="0.3">
      <c r="A644" t="s">
        <v>735</v>
      </c>
      <c r="B644">
        <v>22</v>
      </c>
      <c r="C644" t="str">
        <f t="shared" si="10"/>
        <v>Young Adults</v>
      </c>
      <c r="D644" t="s">
        <v>28</v>
      </c>
      <c r="E644">
        <v>2.5</v>
      </c>
      <c r="G644" t="s">
        <v>48</v>
      </c>
      <c r="H644" t="s">
        <v>128</v>
      </c>
      <c r="I644" t="s">
        <v>86</v>
      </c>
      <c r="J644">
        <v>8.1</v>
      </c>
      <c r="L644" t="s">
        <v>41</v>
      </c>
      <c r="M644" t="s">
        <v>74</v>
      </c>
      <c r="N644" t="s">
        <v>34</v>
      </c>
      <c r="O644">
        <v>3.54</v>
      </c>
      <c r="P644">
        <v>2</v>
      </c>
      <c r="Q644" t="s">
        <v>66</v>
      </c>
      <c r="R644" t="s">
        <v>36</v>
      </c>
      <c r="S644" t="b">
        <v>0</v>
      </c>
      <c r="T644" t="b">
        <v>0</v>
      </c>
      <c r="U644" t="b">
        <v>0</v>
      </c>
      <c r="V644" t="b">
        <v>0</v>
      </c>
      <c r="W644" t="b">
        <v>0</v>
      </c>
      <c r="X644">
        <v>0</v>
      </c>
      <c r="Y644">
        <v>8.6999999999999993</v>
      </c>
      <c r="Z644">
        <v>3</v>
      </c>
      <c r="AA644">
        <v>10.5</v>
      </c>
      <c r="AB644" s="3">
        <v>28.41</v>
      </c>
      <c r="AC644" s="3"/>
      <c r="AD644">
        <v>3</v>
      </c>
      <c r="AE644" t="s">
        <v>46</v>
      </c>
      <c r="AF644" s="4"/>
    </row>
    <row r="645" spans="1:32" x14ac:dyDescent="0.3">
      <c r="A645" t="s">
        <v>736</v>
      </c>
      <c r="B645">
        <v>28</v>
      </c>
      <c r="C645" t="str">
        <f t="shared" si="10"/>
        <v>Young Adults</v>
      </c>
      <c r="D645" t="s">
        <v>53</v>
      </c>
      <c r="E645">
        <v>5.9</v>
      </c>
      <c r="G645" t="s">
        <v>54</v>
      </c>
      <c r="H645" t="s">
        <v>55</v>
      </c>
      <c r="I645" t="s">
        <v>86</v>
      </c>
      <c r="J645">
        <v>6.6</v>
      </c>
      <c r="L645" t="s">
        <v>43</v>
      </c>
      <c r="M645" t="s">
        <v>42</v>
      </c>
      <c r="N645" t="s">
        <v>84</v>
      </c>
      <c r="P645">
        <v>3</v>
      </c>
      <c r="Q645" t="s">
        <v>35</v>
      </c>
      <c r="R645" t="s">
        <v>42</v>
      </c>
      <c r="S645" t="b">
        <v>0</v>
      </c>
      <c r="T645" t="b">
        <v>1</v>
      </c>
      <c r="U645" t="b">
        <v>0</v>
      </c>
      <c r="V645" t="b">
        <v>1</v>
      </c>
      <c r="W645" t="b">
        <v>0</v>
      </c>
      <c r="X645">
        <v>0</v>
      </c>
      <c r="Y645">
        <v>5.6</v>
      </c>
      <c r="Z645">
        <v>3</v>
      </c>
      <c r="AA645">
        <v>10.3</v>
      </c>
      <c r="AB645" s="3">
        <v>97.31</v>
      </c>
      <c r="AC645" s="3"/>
      <c r="AD645">
        <v>5</v>
      </c>
      <c r="AE645" t="s">
        <v>64</v>
      </c>
      <c r="AF645" s="4"/>
    </row>
    <row r="646" spans="1:32" x14ac:dyDescent="0.3">
      <c r="A646" t="s">
        <v>737</v>
      </c>
      <c r="B646">
        <v>26</v>
      </c>
      <c r="C646" t="str">
        <f t="shared" si="10"/>
        <v>Young Adults</v>
      </c>
      <c r="D646" t="s">
        <v>28</v>
      </c>
      <c r="E646">
        <v>5.9</v>
      </c>
      <c r="G646" t="s">
        <v>54</v>
      </c>
      <c r="H646" t="s">
        <v>55</v>
      </c>
      <c r="I646" t="s">
        <v>31</v>
      </c>
      <c r="J646">
        <v>6.3</v>
      </c>
      <c r="L646" t="s">
        <v>41</v>
      </c>
      <c r="M646" t="s">
        <v>36</v>
      </c>
      <c r="N646" t="s">
        <v>43</v>
      </c>
      <c r="P646">
        <v>6</v>
      </c>
      <c r="Q646" t="s">
        <v>80</v>
      </c>
      <c r="R646" t="s">
        <v>42</v>
      </c>
      <c r="S646" t="b">
        <v>0</v>
      </c>
      <c r="T646" t="b">
        <v>0</v>
      </c>
      <c r="U646" t="b">
        <v>0</v>
      </c>
      <c r="V646" t="b">
        <v>0</v>
      </c>
      <c r="W646" t="b">
        <v>0</v>
      </c>
      <c r="X646">
        <v>1.7</v>
      </c>
      <c r="Y646">
        <v>7.3</v>
      </c>
      <c r="Z646">
        <v>3</v>
      </c>
      <c r="AA646">
        <v>10.6</v>
      </c>
      <c r="AB646" s="3">
        <v>112.85</v>
      </c>
      <c r="AC646" s="3"/>
      <c r="AD646">
        <v>9</v>
      </c>
      <c r="AE646" t="s">
        <v>46</v>
      </c>
      <c r="AF646" s="4"/>
    </row>
    <row r="647" spans="1:32" x14ac:dyDescent="0.3">
      <c r="A647" t="s">
        <v>738</v>
      </c>
      <c r="B647">
        <v>19</v>
      </c>
      <c r="C647" t="str">
        <f t="shared" si="10"/>
        <v>Teenager</v>
      </c>
      <c r="D647" t="s">
        <v>28</v>
      </c>
      <c r="E647">
        <v>4.8</v>
      </c>
      <c r="G647" t="s">
        <v>82</v>
      </c>
      <c r="H647" t="s">
        <v>134</v>
      </c>
      <c r="I647" t="s">
        <v>50</v>
      </c>
      <c r="J647">
        <v>5.9</v>
      </c>
      <c r="L647" t="s">
        <v>51</v>
      </c>
      <c r="M647" t="s">
        <v>45</v>
      </c>
      <c r="N647" t="s">
        <v>43</v>
      </c>
      <c r="O647">
        <v>1.51</v>
      </c>
      <c r="P647">
        <v>9</v>
      </c>
      <c r="Q647" t="s">
        <v>66</v>
      </c>
      <c r="R647" t="s">
        <v>42</v>
      </c>
      <c r="S647" t="b">
        <v>0</v>
      </c>
      <c r="T647" t="b">
        <v>0</v>
      </c>
      <c r="U647" t="b">
        <v>0</v>
      </c>
      <c r="V647" t="b">
        <v>1</v>
      </c>
      <c r="W647" t="b">
        <v>0</v>
      </c>
      <c r="X647">
        <v>3.7</v>
      </c>
      <c r="Y647">
        <v>5.5</v>
      </c>
      <c r="Z647">
        <v>4</v>
      </c>
      <c r="AA647">
        <v>8.1999999999999993</v>
      </c>
      <c r="AB647" s="3">
        <v>115.72</v>
      </c>
      <c r="AC647" s="3"/>
      <c r="AD647">
        <v>7</v>
      </c>
      <c r="AE647" t="s">
        <v>46</v>
      </c>
      <c r="AF647" s="4"/>
    </row>
    <row r="648" spans="1:32" x14ac:dyDescent="0.3">
      <c r="A648" t="s">
        <v>739</v>
      </c>
      <c r="B648">
        <v>17</v>
      </c>
      <c r="C648" t="str">
        <f t="shared" si="10"/>
        <v>Teenager</v>
      </c>
      <c r="D648" t="s">
        <v>53</v>
      </c>
      <c r="E648">
        <v>4.5999999999999996</v>
      </c>
      <c r="G648" t="s">
        <v>39</v>
      </c>
      <c r="H648" t="s">
        <v>40</v>
      </c>
      <c r="I648" t="s">
        <v>50</v>
      </c>
      <c r="J648">
        <v>6</v>
      </c>
      <c r="L648" t="s">
        <v>41</v>
      </c>
      <c r="M648" t="s">
        <v>42</v>
      </c>
      <c r="N648" t="s">
        <v>62</v>
      </c>
      <c r="O648">
        <v>2.23</v>
      </c>
      <c r="Q648" t="s">
        <v>44</v>
      </c>
      <c r="R648" t="s">
        <v>42</v>
      </c>
      <c r="S648" t="b">
        <v>0</v>
      </c>
      <c r="T648" t="b">
        <v>0</v>
      </c>
      <c r="U648" t="b">
        <v>0</v>
      </c>
      <c r="V648" t="b">
        <v>1</v>
      </c>
      <c r="W648" t="b">
        <v>0</v>
      </c>
      <c r="X648">
        <v>1.3</v>
      </c>
      <c r="Y648">
        <v>8.1</v>
      </c>
      <c r="Z648">
        <v>4</v>
      </c>
      <c r="AA648">
        <v>10.5</v>
      </c>
      <c r="AB648" s="3">
        <v>20.94</v>
      </c>
      <c r="AC648" s="3"/>
      <c r="AD648">
        <v>6</v>
      </c>
      <c r="AE648" t="s">
        <v>46</v>
      </c>
      <c r="AF648" s="4"/>
    </row>
    <row r="649" spans="1:32" x14ac:dyDescent="0.3">
      <c r="A649" t="s">
        <v>740</v>
      </c>
      <c r="B649">
        <v>16</v>
      </c>
      <c r="C649" t="str">
        <f t="shared" si="10"/>
        <v>Teenager</v>
      </c>
      <c r="D649" t="s">
        <v>53</v>
      </c>
      <c r="E649">
        <v>5.2</v>
      </c>
      <c r="G649" t="s">
        <v>82</v>
      </c>
      <c r="H649" t="s">
        <v>83</v>
      </c>
      <c r="I649" t="s">
        <v>31</v>
      </c>
      <c r="J649">
        <v>6.3</v>
      </c>
      <c r="L649" t="s">
        <v>41</v>
      </c>
      <c r="M649" t="s">
        <v>45</v>
      </c>
      <c r="N649" t="s">
        <v>43</v>
      </c>
      <c r="O649">
        <v>2.2200000000000002</v>
      </c>
      <c r="Q649" t="s">
        <v>44</v>
      </c>
      <c r="R649" t="s">
        <v>33</v>
      </c>
      <c r="S649" t="b">
        <v>0</v>
      </c>
      <c r="T649" t="b">
        <v>0</v>
      </c>
      <c r="U649" t="b">
        <v>0</v>
      </c>
      <c r="V649" t="b">
        <v>1</v>
      </c>
      <c r="W649" t="b">
        <v>0</v>
      </c>
      <c r="X649">
        <v>3.2</v>
      </c>
      <c r="Y649">
        <v>8.9</v>
      </c>
      <c r="Z649">
        <v>2</v>
      </c>
      <c r="AA649">
        <v>9.1</v>
      </c>
      <c r="AB649" s="3">
        <v>10.52</v>
      </c>
      <c r="AC649" s="3"/>
      <c r="AD649">
        <v>5</v>
      </c>
      <c r="AE649" t="s">
        <v>46</v>
      </c>
      <c r="AF649" s="4"/>
    </row>
    <row r="650" spans="1:32" x14ac:dyDescent="0.3">
      <c r="A650" t="s">
        <v>741</v>
      </c>
      <c r="B650">
        <v>30</v>
      </c>
      <c r="C650" t="str">
        <f t="shared" si="10"/>
        <v>Young Adults</v>
      </c>
      <c r="D650" t="s">
        <v>53</v>
      </c>
      <c r="E650">
        <v>5.2</v>
      </c>
      <c r="G650" t="s">
        <v>76</v>
      </c>
      <c r="H650" t="s">
        <v>77</v>
      </c>
      <c r="I650" t="s">
        <v>31</v>
      </c>
      <c r="J650">
        <v>6.5</v>
      </c>
      <c r="L650" t="s">
        <v>43</v>
      </c>
      <c r="M650" t="s">
        <v>45</v>
      </c>
      <c r="N650" t="s">
        <v>43</v>
      </c>
      <c r="P650">
        <v>9</v>
      </c>
      <c r="Q650" t="s">
        <v>44</v>
      </c>
      <c r="R650" t="s">
        <v>33</v>
      </c>
      <c r="S650" t="b">
        <v>0</v>
      </c>
      <c r="T650" t="b">
        <v>0</v>
      </c>
      <c r="U650" t="b">
        <v>0</v>
      </c>
      <c r="V650" t="b">
        <v>1</v>
      </c>
      <c r="W650" t="b">
        <v>0</v>
      </c>
      <c r="X650">
        <v>1.8</v>
      </c>
      <c r="Y650">
        <v>8.5</v>
      </c>
      <c r="Z650">
        <v>4</v>
      </c>
      <c r="AA650">
        <v>8.3000000000000007</v>
      </c>
      <c r="AB650" s="3">
        <v>126.54</v>
      </c>
      <c r="AC650" s="3"/>
      <c r="AD650">
        <v>18</v>
      </c>
      <c r="AE650" t="s">
        <v>46</v>
      </c>
      <c r="AF650" s="4"/>
    </row>
    <row r="651" spans="1:32" x14ac:dyDescent="0.3">
      <c r="A651" t="s">
        <v>742</v>
      </c>
      <c r="B651">
        <v>22</v>
      </c>
      <c r="C651" t="str">
        <f t="shared" si="10"/>
        <v>Young Adults</v>
      </c>
      <c r="D651" t="s">
        <v>28</v>
      </c>
      <c r="E651">
        <v>5.6</v>
      </c>
      <c r="G651" t="s">
        <v>76</v>
      </c>
      <c r="H651" t="s">
        <v>110</v>
      </c>
      <c r="I651" t="s">
        <v>86</v>
      </c>
      <c r="J651">
        <v>6.3</v>
      </c>
      <c r="L651" t="s">
        <v>51</v>
      </c>
      <c r="M651" t="s">
        <v>42</v>
      </c>
      <c r="N651" t="s">
        <v>62</v>
      </c>
      <c r="O651">
        <v>3.42</v>
      </c>
      <c r="P651">
        <v>2</v>
      </c>
      <c r="Q651" t="s">
        <v>35</v>
      </c>
      <c r="R651" t="s">
        <v>45</v>
      </c>
      <c r="S651" t="b">
        <v>0</v>
      </c>
      <c r="T651" t="b">
        <v>1</v>
      </c>
      <c r="U651" t="b">
        <v>0</v>
      </c>
      <c r="V651" t="b">
        <v>1</v>
      </c>
      <c r="W651" t="b">
        <v>0</v>
      </c>
      <c r="X651">
        <v>0.3</v>
      </c>
      <c r="Y651">
        <v>5.9</v>
      </c>
      <c r="Z651">
        <v>4</v>
      </c>
      <c r="AA651">
        <v>10.199999999999999</v>
      </c>
      <c r="AB651" s="3">
        <v>130</v>
      </c>
      <c r="AC651" s="3"/>
      <c r="AD651">
        <v>4</v>
      </c>
      <c r="AE651" t="s">
        <v>64</v>
      </c>
      <c r="AF651" s="4"/>
    </row>
    <row r="652" spans="1:32" x14ac:dyDescent="0.3">
      <c r="A652" t="s">
        <v>743</v>
      </c>
      <c r="B652">
        <v>16</v>
      </c>
      <c r="C652" t="str">
        <f t="shared" si="10"/>
        <v>Teenager</v>
      </c>
      <c r="D652" t="s">
        <v>53</v>
      </c>
      <c r="E652">
        <v>5</v>
      </c>
      <c r="G652" t="s">
        <v>76</v>
      </c>
      <c r="H652" t="s">
        <v>110</v>
      </c>
      <c r="I652" t="s">
        <v>71</v>
      </c>
      <c r="J652">
        <v>5.9</v>
      </c>
      <c r="L652" t="s">
        <v>51</v>
      </c>
      <c r="M652" t="s">
        <v>36</v>
      </c>
      <c r="N652" t="s">
        <v>51</v>
      </c>
      <c r="O652">
        <v>2.2599999999999998</v>
      </c>
      <c r="Q652" t="s">
        <v>66</v>
      </c>
      <c r="R652" t="s">
        <v>33</v>
      </c>
      <c r="S652" t="b">
        <v>0</v>
      </c>
      <c r="T652" t="b">
        <v>0</v>
      </c>
      <c r="U652" t="b">
        <v>0</v>
      </c>
      <c r="V652" t="b">
        <v>1</v>
      </c>
      <c r="W652" t="b">
        <v>0</v>
      </c>
      <c r="X652">
        <v>2.1</v>
      </c>
      <c r="Y652">
        <v>5.5</v>
      </c>
      <c r="Z652">
        <v>3</v>
      </c>
      <c r="AA652">
        <v>10.4</v>
      </c>
      <c r="AB652" s="3">
        <v>145.08000000000001</v>
      </c>
      <c r="AC652" s="3"/>
      <c r="AD652">
        <v>4</v>
      </c>
      <c r="AE652" t="s">
        <v>46</v>
      </c>
      <c r="AF652" s="4"/>
    </row>
    <row r="653" spans="1:32" x14ac:dyDescent="0.3">
      <c r="A653" t="s">
        <v>744</v>
      </c>
      <c r="B653">
        <v>21</v>
      </c>
      <c r="C653" t="str">
        <f t="shared" si="10"/>
        <v>Young Adults</v>
      </c>
      <c r="D653" t="s">
        <v>28</v>
      </c>
      <c r="E653">
        <v>7</v>
      </c>
      <c r="G653" t="s">
        <v>39</v>
      </c>
      <c r="H653" t="s">
        <v>93</v>
      </c>
      <c r="I653" t="s">
        <v>86</v>
      </c>
      <c r="J653">
        <v>4.8</v>
      </c>
      <c r="L653" t="s">
        <v>32</v>
      </c>
      <c r="M653" t="s">
        <v>45</v>
      </c>
      <c r="N653" t="s">
        <v>51</v>
      </c>
      <c r="O653">
        <v>3.57</v>
      </c>
      <c r="P653">
        <v>4</v>
      </c>
      <c r="Q653" t="s">
        <v>63</v>
      </c>
      <c r="R653" t="s">
        <v>42</v>
      </c>
      <c r="S653" t="b">
        <v>0</v>
      </c>
      <c r="T653" t="b">
        <v>1</v>
      </c>
      <c r="U653" t="b">
        <v>0</v>
      </c>
      <c r="V653" t="b">
        <v>1</v>
      </c>
      <c r="W653" t="b">
        <v>1</v>
      </c>
      <c r="X653">
        <v>1</v>
      </c>
      <c r="Y653">
        <v>8.1999999999999993</v>
      </c>
      <c r="Z653">
        <v>3</v>
      </c>
      <c r="AA653">
        <v>5.0999999999999996</v>
      </c>
      <c r="AB653" s="3">
        <v>142.25</v>
      </c>
      <c r="AC653" s="3"/>
      <c r="AD653">
        <v>3</v>
      </c>
      <c r="AE653" t="s">
        <v>64</v>
      </c>
      <c r="AF653" s="4"/>
    </row>
    <row r="654" spans="1:32" x14ac:dyDescent="0.3">
      <c r="A654" t="s">
        <v>745</v>
      </c>
      <c r="B654">
        <v>19</v>
      </c>
      <c r="C654" t="str">
        <f t="shared" si="10"/>
        <v>Teenager</v>
      </c>
      <c r="D654" t="s">
        <v>28</v>
      </c>
      <c r="E654">
        <v>1.7</v>
      </c>
      <c r="G654" t="s">
        <v>54</v>
      </c>
      <c r="H654" t="s">
        <v>98</v>
      </c>
      <c r="I654" t="s">
        <v>71</v>
      </c>
      <c r="J654">
        <v>8.6999999999999993</v>
      </c>
      <c r="L654" t="s">
        <v>43</v>
      </c>
      <c r="M654" t="s">
        <v>45</v>
      </c>
      <c r="N654" t="s">
        <v>84</v>
      </c>
      <c r="O654">
        <v>2.23</v>
      </c>
      <c r="P654">
        <v>10</v>
      </c>
      <c r="Q654" t="s">
        <v>105</v>
      </c>
      <c r="R654" t="s">
        <v>45</v>
      </c>
      <c r="S654" t="b">
        <v>0</v>
      </c>
      <c r="T654" t="b">
        <v>0</v>
      </c>
      <c r="U654" t="b">
        <v>0</v>
      </c>
      <c r="V654" t="b">
        <v>0</v>
      </c>
      <c r="W654" t="b">
        <v>0</v>
      </c>
      <c r="X654">
        <v>0.4</v>
      </c>
      <c r="Y654">
        <v>10.4</v>
      </c>
      <c r="Z654">
        <v>2</v>
      </c>
      <c r="AA654">
        <v>9.8000000000000007</v>
      </c>
      <c r="AB654" s="3">
        <v>36.799999999999997</v>
      </c>
      <c r="AC654" s="3"/>
      <c r="AD654">
        <v>2</v>
      </c>
      <c r="AE654" t="s">
        <v>46</v>
      </c>
      <c r="AF654" s="4"/>
    </row>
    <row r="655" spans="1:32" x14ac:dyDescent="0.3">
      <c r="A655" t="s">
        <v>746</v>
      </c>
      <c r="B655">
        <v>22</v>
      </c>
      <c r="C655" t="str">
        <f t="shared" si="10"/>
        <v>Young Adults</v>
      </c>
      <c r="D655" t="s">
        <v>53</v>
      </c>
      <c r="E655">
        <v>6.4</v>
      </c>
      <c r="G655" t="s">
        <v>60</v>
      </c>
      <c r="H655" t="s">
        <v>96</v>
      </c>
      <c r="I655" t="s">
        <v>50</v>
      </c>
      <c r="J655">
        <v>5.4</v>
      </c>
      <c r="L655" t="s">
        <v>51</v>
      </c>
      <c r="M655" t="s">
        <v>42</v>
      </c>
      <c r="N655" t="s">
        <v>62</v>
      </c>
      <c r="O655">
        <v>3.24</v>
      </c>
      <c r="P655">
        <v>4</v>
      </c>
      <c r="Q655" t="s">
        <v>44</v>
      </c>
      <c r="R655" t="s">
        <v>36</v>
      </c>
      <c r="S655" t="b">
        <v>0</v>
      </c>
      <c r="T655" t="b">
        <v>1</v>
      </c>
      <c r="U655" t="b">
        <v>0</v>
      </c>
      <c r="V655" t="b">
        <v>1</v>
      </c>
      <c r="W655" t="b">
        <v>0</v>
      </c>
      <c r="X655">
        <v>0.3</v>
      </c>
      <c r="Y655">
        <v>6.1</v>
      </c>
      <c r="Z655">
        <v>2</v>
      </c>
      <c r="AA655">
        <v>9.5</v>
      </c>
      <c r="AB655" s="3">
        <v>145.93</v>
      </c>
      <c r="AC655" s="3"/>
      <c r="AD655">
        <v>1</v>
      </c>
      <c r="AE655" t="s">
        <v>64</v>
      </c>
      <c r="AF655" s="4"/>
    </row>
    <row r="656" spans="1:32" x14ac:dyDescent="0.3">
      <c r="A656" t="s">
        <v>747</v>
      </c>
      <c r="B656">
        <v>20</v>
      </c>
      <c r="C656" t="str">
        <f t="shared" si="10"/>
        <v>Young Adults</v>
      </c>
      <c r="D656" t="s">
        <v>53</v>
      </c>
      <c r="E656">
        <v>3.3</v>
      </c>
      <c r="G656" t="s">
        <v>29</v>
      </c>
      <c r="H656" t="s">
        <v>118</v>
      </c>
      <c r="I656" t="s">
        <v>86</v>
      </c>
      <c r="J656">
        <v>8.3000000000000007</v>
      </c>
      <c r="L656" t="s">
        <v>43</v>
      </c>
      <c r="M656" t="s">
        <v>33</v>
      </c>
      <c r="N656" t="s">
        <v>84</v>
      </c>
      <c r="O656">
        <v>2.74</v>
      </c>
      <c r="P656">
        <v>3</v>
      </c>
      <c r="Q656" t="s">
        <v>66</v>
      </c>
      <c r="R656" t="s">
        <v>57</v>
      </c>
      <c r="S656" t="b">
        <v>0</v>
      </c>
      <c r="T656" t="b">
        <v>0</v>
      </c>
      <c r="U656" t="b">
        <v>0</v>
      </c>
      <c r="V656" t="b">
        <v>0</v>
      </c>
      <c r="W656" t="b">
        <v>0</v>
      </c>
      <c r="X656">
        <v>1.2</v>
      </c>
      <c r="Y656">
        <v>9.1</v>
      </c>
      <c r="Z656">
        <v>1</v>
      </c>
      <c r="AA656">
        <v>10.7</v>
      </c>
      <c r="AB656" s="3">
        <v>13.68</v>
      </c>
      <c r="AC656" s="3"/>
      <c r="AD656">
        <v>6</v>
      </c>
      <c r="AE656" t="s">
        <v>46</v>
      </c>
      <c r="AF656" s="4"/>
    </row>
    <row r="657" spans="1:32" x14ac:dyDescent="0.3">
      <c r="A657" t="s">
        <v>748</v>
      </c>
      <c r="B657">
        <v>16</v>
      </c>
      <c r="C657" t="str">
        <f t="shared" si="10"/>
        <v>Teenager</v>
      </c>
      <c r="D657" t="s">
        <v>53</v>
      </c>
      <c r="E657">
        <v>9.3000000000000007</v>
      </c>
      <c r="G657" t="s">
        <v>82</v>
      </c>
      <c r="H657" t="s">
        <v>83</v>
      </c>
      <c r="I657" t="s">
        <v>50</v>
      </c>
      <c r="J657">
        <v>3.1</v>
      </c>
      <c r="L657" t="s">
        <v>41</v>
      </c>
      <c r="M657" t="s">
        <v>74</v>
      </c>
      <c r="N657" t="s">
        <v>34</v>
      </c>
      <c r="O657">
        <v>1.82</v>
      </c>
      <c r="Q657" t="s">
        <v>44</v>
      </c>
      <c r="R657" t="s">
        <v>33</v>
      </c>
      <c r="S657" t="b">
        <v>0</v>
      </c>
      <c r="T657" t="b">
        <v>1</v>
      </c>
      <c r="U657" t="b">
        <v>1</v>
      </c>
      <c r="V657" t="b">
        <v>0</v>
      </c>
      <c r="W657" t="b">
        <v>1</v>
      </c>
      <c r="X657">
        <v>0.5</v>
      </c>
      <c r="Y657">
        <v>3.7</v>
      </c>
      <c r="Z657">
        <v>6</v>
      </c>
      <c r="AA657">
        <v>4.5</v>
      </c>
      <c r="AB657" s="3">
        <v>90.17</v>
      </c>
      <c r="AC657" s="3"/>
      <c r="AD657">
        <v>4</v>
      </c>
      <c r="AE657" t="s">
        <v>37</v>
      </c>
      <c r="AF657" s="4"/>
    </row>
    <row r="658" spans="1:32" x14ac:dyDescent="0.3">
      <c r="A658" t="s">
        <v>749</v>
      </c>
      <c r="B658">
        <v>20</v>
      </c>
      <c r="C658" t="str">
        <f t="shared" si="10"/>
        <v>Young Adults</v>
      </c>
      <c r="D658" t="s">
        <v>53</v>
      </c>
      <c r="E658">
        <v>6.3</v>
      </c>
      <c r="G658" t="s">
        <v>76</v>
      </c>
      <c r="H658" t="s">
        <v>77</v>
      </c>
      <c r="I658" t="s">
        <v>86</v>
      </c>
      <c r="J658">
        <v>6.2</v>
      </c>
      <c r="L658" t="s">
        <v>51</v>
      </c>
      <c r="M658" t="s">
        <v>42</v>
      </c>
      <c r="N658" t="s">
        <v>62</v>
      </c>
      <c r="O658">
        <v>2.54</v>
      </c>
      <c r="P658">
        <v>5</v>
      </c>
      <c r="Q658" t="s">
        <v>66</v>
      </c>
      <c r="R658" t="s">
        <v>42</v>
      </c>
      <c r="S658" t="b">
        <v>0</v>
      </c>
      <c r="T658" t="b">
        <v>0</v>
      </c>
      <c r="U658" t="b">
        <v>0</v>
      </c>
      <c r="V658" t="b">
        <v>0</v>
      </c>
      <c r="W658" t="b">
        <v>1</v>
      </c>
      <c r="X658">
        <v>3.1</v>
      </c>
      <c r="Y658">
        <v>8.5</v>
      </c>
      <c r="Z658">
        <v>6</v>
      </c>
      <c r="AA658">
        <v>9.5</v>
      </c>
      <c r="AB658" s="3">
        <v>80.72</v>
      </c>
      <c r="AC658" s="3"/>
      <c r="AD658">
        <v>6</v>
      </c>
      <c r="AE658" t="s">
        <v>46</v>
      </c>
      <c r="AF658" s="4"/>
    </row>
    <row r="659" spans="1:32" x14ac:dyDescent="0.3">
      <c r="A659" t="s">
        <v>750</v>
      </c>
      <c r="B659">
        <v>24</v>
      </c>
      <c r="C659" t="str">
        <f t="shared" si="10"/>
        <v>Young Adults</v>
      </c>
      <c r="D659" t="s">
        <v>28</v>
      </c>
      <c r="E659">
        <v>13.4</v>
      </c>
      <c r="G659" t="s">
        <v>76</v>
      </c>
      <c r="H659" t="s">
        <v>77</v>
      </c>
      <c r="I659" t="s">
        <v>31</v>
      </c>
      <c r="J659">
        <v>3.9</v>
      </c>
      <c r="L659" t="s">
        <v>32</v>
      </c>
      <c r="M659" t="s">
        <v>36</v>
      </c>
      <c r="N659" t="s">
        <v>34</v>
      </c>
      <c r="P659">
        <v>3</v>
      </c>
      <c r="Q659" t="s">
        <v>105</v>
      </c>
      <c r="R659" t="s">
        <v>57</v>
      </c>
      <c r="S659" t="b">
        <v>0</v>
      </c>
      <c r="T659" t="b">
        <v>1</v>
      </c>
      <c r="U659" t="b">
        <v>0</v>
      </c>
      <c r="V659" t="b">
        <v>1</v>
      </c>
      <c r="W659" t="b">
        <v>0</v>
      </c>
      <c r="X659">
        <v>6.3</v>
      </c>
      <c r="Y659">
        <v>5.2</v>
      </c>
      <c r="Z659">
        <v>9</v>
      </c>
      <c r="AA659">
        <v>1.6</v>
      </c>
      <c r="AB659" s="3">
        <v>64.52</v>
      </c>
      <c r="AC659" s="3"/>
      <c r="AD659">
        <v>14</v>
      </c>
      <c r="AE659" t="s">
        <v>58</v>
      </c>
      <c r="AF659" s="4"/>
    </row>
    <row r="660" spans="1:32" x14ac:dyDescent="0.3">
      <c r="A660" t="s">
        <v>751</v>
      </c>
      <c r="B660">
        <v>18</v>
      </c>
      <c r="C660" t="str">
        <f t="shared" si="10"/>
        <v>Teenager</v>
      </c>
      <c r="D660" t="s">
        <v>28</v>
      </c>
      <c r="E660">
        <v>6.6</v>
      </c>
      <c r="G660" t="s">
        <v>60</v>
      </c>
      <c r="H660" t="s">
        <v>61</v>
      </c>
      <c r="I660" t="s">
        <v>86</v>
      </c>
      <c r="J660">
        <v>5.4</v>
      </c>
      <c r="L660" t="s">
        <v>78</v>
      </c>
      <c r="M660" t="s">
        <v>45</v>
      </c>
      <c r="N660" t="s">
        <v>51</v>
      </c>
      <c r="O660">
        <v>2.34</v>
      </c>
      <c r="Q660" t="s">
        <v>80</v>
      </c>
      <c r="R660" t="s">
        <v>45</v>
      </c>
      <c r="S660" t="b">
        <v>0</v>
      </c>
      <c r="T660" t="b">
        <v>0</v>
      </c>
      <c r="U660" t="b">
        <v>0</v>
      </c>
      <c r="V660" t="b">
        <v>1</v>
      </c>
      <c r="W660" t="b">
        <v>1</v>
      </c>
      <c r="X660">
        <v>0.8</v>
      </c>
      <c r="Y660">
        <v>5.6</v>
      </c>
      <c r="Z660">
        <v>5</v>
      </c>
      <c r="AA660">
        <v>7</v>
      </c>
      <c r="AB660" s="3">
        <v>80.91</v>
      </c>
      <c r="AC660" s="3"/>
      <c r="AD660">
        <v>4</v>
      </c>
      <c r="AE660" t="s">
        <v>46</v>
      </c>
      <c r="AF660" s="4"/>
    </row>
    <row r="661" spans="1:32" x14ac:dyDescent="0.3">
      <c r="A661" t="s">
        <v>752</v>
      </c>
      <c r="B661">
        <v>20</v>
      </c>
      <c r="C661" t="str">
        <f t="shared" si="10"/>
        <v>Young Adults</v>
      </c>
      <c r="D661" t="s">
        <v>53</v>
      </c>
      <c r="E661">
        <v>5.3</v>
      </c>
      <c r="G661" t="s">
        <v>76</v>
      </c>
      <c r="H661" t="s">
        <v>110</v>
      </c>
      <c r="I661" t="s">
        <v>71</v>
      </c>
      <c r="J661">
        <v>6.8</v>
      </c>
      <c r="L661" t="s">
        <v>41</v>
      </c>
      <c r="M661" t="s">
        <v>36</v>
      </c>
      <c r="N661" t="s">
        <v>51</v>
      </c>
      <c r="O661">
        <v>3.93</v>
      </c>
      <c r="P661">
        <v>2</v>
      </c>
      <c r="Q661" t="s">
        <v>44</v>
      </c>
      <c r="R661" t="s">
        <v>57</v>
      </c>
      <c r="S661" t="b">
        <v>0</v>
      </c>
      <c r="T661" t="b">
        <v>0</v>
      </c>
      <c r="U661" t="b">
        <v>0</v>
      </c>
      <c r="V661" t="b">
        <v>1</v>
      </c>
      <c r="W661" t="b">
        <v>0</v>
      </c>
      <c r="X661">
        <v>0.4</v>
      </c>
      <c r="Y661">
        <v>9</v>
      </c>
      <c r="Z661">
        <v>2</v>
      </c>
      <c r="AA661">
        <v>7.1</v>
      </c>
      <c r="AB661" s="3">
        <v>128.13</v>
      </c>
      <c r="AC661" s="3"/>
      <c r="AD661">
        <v>8</v>
      </c>
      <c r="AE661" t="s">
        <v>46</v>
      </c>
      <c r="AF661" s="4"/>
    </row>
    <row r="662" spans="1:32" x14ac:dyDescent="0.3">
      <c r="A662" t="s">
        <v>753</v>
      </c>
      <c r="B662">
        <v>16</v>
      </c>
      <c r="C662" t="str">
        <f t="shared" si="10"/>
        <v>Teenager</v>
      </c>
      <c r="D662" t="s">
        <v>28</v>
      </c>
      <c r="E662">
        <v>7.4</v>
      </c>
      <c r="G662" t="s">
        <v>54</v>
      </c>
      <c r="H662" t="s">
        <v>89</v>
      </c>
      <c r="I662" t="s">
        <v>71</v>
      </c>
      <c r="J662">
        <v>5.2</v>
      </c>
      <c r="L662" t="s">
        <v>41</v>
      </c>
      <c r="M662" t="s">
        <v>33</v>
      </c>
      <c r="N662" t="s">
        <v>34</v>
      </c>
      <c r="O662">
        <v>3.68</v>
      </c>
      <c r="Q662" t="s">
        <v>44</v>
      </c>
      <c r="R662" t="s">
        <v>45</v>
      </c>
      <c r="S662" t="b">
        <v>1</v>
      </c>
      <c r="T662" t="b">
        <v>1</v>
      </c>
      <c r="U662" t="b">
        <v>0</v>
      </c>
      <c r="V662" t="b">
        <v>1</v>
      </c>
      <c r="W662" t="b">
        <v>1</v>
      </c>
      <c r="X662">
        <v>2.1</v>
      </c>
      <c r="Y662">
        <v>5.8</v>
      </c>
      <c r="Z662">
        <v>3</v>
      </c>
      <c r="AA662">
        <v>8.6999999999999993</v>
      </c>
      <c r="AB662" s="3">
        <v>67.44</v>
      </c>
      <c r="AC662" s="3"/>
      <c r="AD662">
        <v>4</v>
      </c>
      <c r="AE662" t="s">
        <v>58</v>
      </c>
      <c r="AF662" s="4"/>
    </row>
    <row r="663" spans="1:32" x14ac:dyDescent="0.3">
      <c r="A663" t="s">
        <v>754</v>
      </c>
      <c r="B663">
        <v>22</v>
      </c>
      <c r="C663" t="str">
        <f t="shared" si="10"/>
        <v>Young Adults</v>
      </c>
      <c r="D663" t="s">
        <v>53</v>
      </c>
      <c r="E663">
        <v>1.8</v>
      </c>
      <c r="G663" t="s">
        <v>82</v>
      </c>
      <c r="H663" t="s">
        <v>134</v>
      </c>
      <c r="I663" t="s">
        <v>50</v>
      </c>
      <c r="J663">
        <v>8</v>
      </c>
      <c r="L663" t="s">
        <v>43</v>
      </c>
      <c r="M663" t="s">
        <v>42</v>
      </c>
      <c r="N663" t="s">
        <v>84</v>
      </c>
      <c r="O663">
        <v>3.17</v>
      </c>
      <c r="P663">
        <v>10</v>
      </c>
      <c r="Q663" t="s">
        <v>80</v>
      </c>
      <c r="R663" t="s">
        <v>45</v>
      </c>
      <c r="S663" t="b">
        <v>0</v>
      </c>
      <c r="T663" t="b">
        <v>0</v>
      </c>
      <c r="U663" t="b">
        <v>0</v>
      </c>
      <c r="V663" t="b">
        <v>0</v>
      </c>
      <c r="W663" t="b">
        <v>0</v>
      </c>
      <c r="X663">
        <v>0.2</v>
      </c>
      <c r="Y663">
        <v>8.9</v>
      </c>
      <c r="Z663">
        <v>2</v>
      </c>
      <c r="AA663">
        <v>14.2</v>
      </c>
      <c r="AB663" s="3">
        <v>40.78</v>
      </c>
      <c r="AC663" s="3"/>
      <c r="AD663">
        <v>6</v>
      </c>
      <c r="AE663" t="s">
        <v>46</v>
      </c>
      <c r="AF663" s="4"/>
    </row>
    <row r="664" spans="1:32" x14ac:dyDescent="0.3">
      <c r="A664" t="s">
        <v>755</v>
      </c>
      <c r="B664">
        <v>20</v>
      </c>
      <c r="C664" t="str">
        <f t="shared" si="10"/>
        <v>Young Adults</v>
      </c>
      <c r="D664" t="s">
        <v>28</v>
      </c>
      <c r="E664">
        <v>4.4000000000000004</v>
      </c>
      <c r="G664" t="s">
        <v>54</v>
      </c>
      <c r="H664" t="s">
        <v>89</v>
      </c>
      <c r="I664" t="s">
        <v>50</v>
      </c>
      <c r="J664">
        <v>6.3</v>
      </c>
      <c r="L664" t="s">
        <v>41</v>
      </c>
      <c r="M664" t="s">
        <v>42</v>
      </c>
      <c r="N664" t="s">
        <v>43</v>
      </c>
      <c r="O664">
        <v>1.51</v>
      </c>
      <c r="P664">
        <v>2</v>
      </c>
      <c r="Q664" t="s">
        <v>69</v>
      </c>
      <c r="R664" t="s">
        <v>57</v>
      </c>
      <c r="S664" t="b">
        <v>0</v>
      </c>
      <c r="T664" t="b">
        <v>0</v>
      </c>
      <c r="U664" t="b">
        <v>0</v>
      </c>
      <c r="V664" t="b">
        <v>0</v>
      </c>
      <c r="W664" t="b">
        <v>0</v>
      </c>
      <c r="X664">
        <v>0.3</v>
      </c>
      <c r="Y664">
        <v>7.6</v>
      </c>
      <c r="Z664">
        <v>4</v>
      </c>
      <c r="AA664">
        <v>8.6999999999999993</v>
      </c>
      <c r="AB664" s="3">
        <v>38.47</v>
      </c>
      <c r="AC664" s="3"/>
      <c r="AD664">
        <v>9</v>
      </c>
      <c r="AE664" t="s">
        <v>46</v>
      </c>
      <c r="AF664" s="4"/>
    </row>
    <row r="665" spans="1:32" x14ac:dyDescent="0.3">
      <c r="A665" t="s">
        <v>756</v>
      </c>
      <c r="B665">
        <v>16</v>
      </c>
      <c r="C665" t="str">
        <f t="shared" si="10"/>
        <v>Teenager</v>
      </c>
      <c r="D665" t="s">
        <v>28</v>
      </c>
      <c r="E665">
        <v>4.5</v>
      </c>
      <c r="G665" t="s">
        <v>48</v>
      </c>
      <c r="H665" t="s">
        <v>128</v>
      </c>
      <c r="I665" t="s">
        <v>71</v>
      </c>
      <c r="J665">
        <v>5.0999999999999996</v>
      </c>
      <c r="L665" t="s">
        <v>51</v>
      </c>
      <c r="M665" t="s">
        <v>36</v>
      </c>
      <c r="N665" t="s">
        <v>62</v>
      </c>
      <c r="O665">
        <v>3.45</v>
      </c>
      <c r="Q665" t="s">
        <v>105</v>
      </c>
      <c r="R665" t="s">
        <v>33</v>
      </c>
      <c r="S665" t="b">
        <v>0</v>
      </c>
      <c r="T665" t="b">
        <v>0</v>
      </c>
      <c r="U665" t="b">
        <v>0</v>
      </c>
      <c r="V665" t="b">
        <v>0</v>
      </c>
      <c r="W665" t="b">
        <v>0</v>
      </c>
      <c r="X665">
        <v>0.4</v>
      </c>
      <c r="Y665">
        <v>7</v>
      </c>
      <c r="Z665">
        <v>4</v>
      </c>
      <c r="AA665">
        <v>6.2</v>
      </c>
      <c r="AB665" s="3">
        <v>104.97</v>
      </c>
      <c r="AC665" s="3"/>
      <c r="AD665">
        <v>6</v>
      </c>
      <c r="AE665" t="s">
        <v>46</v>
      </c>
      <c r="AF665" s="4"/>
    </row>
    <row r="666" spans="1:32" x14ac:dyDescent="0.3">
      <c r="A666" t="s">
        <v>757</v>
      </c>
      <c r="B666">
        <v>33</v>
      </c>
      <c r="C666" t="str">
        <f t="shared" si="10"/>
        <v>Old Adults</v>
      </c>
      <c r="D666" t="s">
        <v>53</v>
      </c>
      <c r="E666">
        <v>3.7</v>
      </c>
      <c r="G666" t="s">
        <v>60</v>
      </c>
      <c r="H666" t="s">
        <v>200</v>
      </c>
      <c r="I666" t="s">
        <v>71</v>
      </c>
      <c r="J666">
        <v>6.5</v>
      </c>
      <c r="L666" t="s">
        <v>51</v>
      </c>
      <c r="M666" t="s">
        <v>36</v>
      </c>
      <c r="N666" t="s">
        <v>62</v>
      </c>
      <c r="P666">
        <v>10</v>
      </c>
      <c r="Q666" t="s">
        <v>105</v>
      </c>
      <c r="R666" t="s">
        <v>33</v>
      </c>
      <c r="S666" t="b">
        <v>0</v>
      </c>
      <c r="T666" t="b">
        <v>0</v>
      </c>
      <c r="U666" t="b">
        <v>0</v>
      </c>
      <c r="V666" t="b">
        <v>0</v>
      </c>
      <c r="W666" t="b">
        <v>0</v>
      </c>
      <c r="X666">
        <v>0.1</v>
      </c>
      <c r="Y666">
        <v>9.3000000000000007</v>
      </c>
      <c r="Z666">
        <v>3</v>
      </c>
      <c r="AA666">
        <v>11.5</v>
      </c>
      <c r="AB666" s="3">
        <v>23.14</v>
      </c>
      <c r="AC666" s="3"/>
      <c r="AD666">
        <v>14</v>
      </c>
      <c r="AE666" t="s">
        <v>46</v>
      </c>
      <c r="AF666" s="4"/>
    </row>
    <row r="667" spans="1:32" x14ac:dyDescent="0.3">
      <c r="A667" t="s">
        <v>758</v>
      </c>
      <c r="B667">
        <v>18</v>
      </c>
      <c r="C667" t="str">
        <f t="shared" si="10"/>
        <v>Teenager</v>
      </c>
      <c r="D667" t="s">
        <v>53</v>
      </c>
      <c r="E667">
        <v>1.5</v>
      </c>
      <c r="G667" t="s">
        <v>54</v>
      </c>
      <c r="H667" t="s">
        <v>89</v>
      </c>
      <c r="I667" t="s">
        <v>31</v>
      </c>
      <c r="J667">
        <v>7.1</v>
      </c>
      <c r="L667" t="s">
        <v>41</v>
      </c>
      <c r="M667" t="s">
        <v>42</v>
      </c>
      <c r="N667" t="s">
        <v>43</v>
      </c>
      <c r="O667">
        <v>1.91</v>
      </c>
      <c r="Q667" t="s">
        <v>56</v>
      </c>
      <c r="R667" t="s">
        <v>42</v>
      </c>
      <c r="S667" t="b">
        <v>0</v>
      </c>
      <c r="T667" t="b">
        <v>0</v>
      </c>
      <c r="U667" t="b">
        <v>0</v>
      </c>
      <c r="V667" t="b">
        <v>0</v>
      </c>
      <c r="W667" t="b">
        <v>0</v>
      </c>
      <c r="X667">
        <v>0.7</v>
      </c>
      <c r="Y667">
        <v>8.1</v>
      </c>
      <c r="Z667">
        <v>1</v>
      </c>
      <c r="AA667">
        <v>11.9</v>
      </c>
      <c r="AB667" s="3">
        <v>0.1</v>
      </c>
      <c r="AC667" s="3"/>
      <c r="AD667">
        <v>7</v>
      </c>
      <c r="AE667" t="s">
        <v>46</v>
      </c>
      <c r="AF667" s="4"/>
    </row>
    <row r="668" spans="1:32" x14ac:dyDescent="0.3">
      <c r="A668" t="s">
        <v>759</v>
      </c>
      <c r="B668">
        <v>19</v>
      </c>
      <c r="C668" t="str">
        <f t="shared" si="10"/>
        <v>Teenager</v>
      </c>
      <c r="D668" t="s">
        <v>28</v>
      </c>
      <c r="E668">
        <v>6.7</v>
      </c>
      <c r="G668" t="s">
        <v>60</v>
      </c>
      <c r="H668" t="s">
        <v>61</v>
      </c>
      <c r="I668" t="s">
        <v>86</v>
      </c>
      <c r="J668">
        <v>3.8</v>
      </c>
      <c r="L668" t="s">
        <v>32</v>
      </c>
      <c r="M668" t="s">
        <v>33</v>
      </c>
      <c r="N668" t="s">
        <v>34</v>
      </c>
      <c r="O668">
        <v>3.61</v>
      </c>
      <c r="P668">
        <v>5</v>
      </c>
      <c r="Q668" t="s">
        <v>56</v>
      </c>
      <c r="R668" t="s">
        <v>57</v>
      </c>
      <c r="S668" t="b">
        <v>1</v>
      </c>
      <c r="T668" t="b">
        <v>1</v>
      </c>
      <c r="U668" t="b">
        <v>0</v>
      </c>
      <c r="V668" t="b">
        <v>1</v>
      </c>
      <c r="W668" t="b">
        <v>0</v>
      </c>
      <c r="X668">
        <v>0.4</v>
      </c>
      <c r="Y668">
        <v>6.6</v>
      </c>
      <c r="Z668">
        <v>2</v>
      </c>
      <c r="AA668">
        <v>7.5</v>
      </c>
      <c r="AB668" s="3">
        <v>117.79</v>
      </c>
      <c r="AC668" s="3"/>
      <c r="AD668">
        <v>8</v>
      </c>
      <c r="AE668" t="s">
        <v>58</v>
      </c>
      <c r="AF668" s="4"/>
    </row>
    <row r="669" spans="1:32" x14ac:dyDescent="0.3">
      <c r="A669" t="s">
        <v>760</v>
      </c>
      <c r="B669">
        <v>15</v>
      </c>
      <c r="C669" t="str">
        <f t="shared" si="10"/>
        <v>Teenager</v>
      </c>
      <c r="D669" t="s">
        <v>28</v>
      </c>
      <c r="E669">
        <v>6.5</v>
      </c>
      <c r="G669" t="s">
        <v>76</v>
      </c>
      <c r="H669" t="s">
        <v>110</v>
      </c>
      <c r="I669" t="s">
        <v>86</v>
      </c>
      <c r="J669">
        <v>4.7</v>
      </c>
      <c r="L669" t="s">
        <v>32</v>
      </c>
      <c r="M669" t="s">
        <v>74</v>
      </c>
      <c r="N669" t="s">
        <v>43</v>
      </c>
      <c r="O669">
        <v>3.57</v>
      </c>
      <c r="Q669" t="s">
        <v>35</v>
      </c>
      <c r="R669" t="s">
        <v>33</v>
      </c>
      <c r="S669" t="b">
        <v>1</v>
      </c>
      <c r="T669" t="b">
        <v>0</v>
      </c>
      <c r="U669" t="b">
        <v>0</v>
      </c>
      <c r="V669" t="b">
        <v>1</v>
      </c>
      <c r="W669" t="b">
        <v>0</v>
      </c>
      <c r="X669">
        <v>4.2</v>
      </c>
      <c r="Y669">
        <v>5</v>
      </c>
      <c r="Z669">
        <v>2</v>
      </c>
      <c r="AA669">
        <v>6.9</v>
      </c>
      <c r="AB669" s="3">
        <v>109.59</v>
      </c>
      <c r="AC669" s="3"/>
      <c r="AD669">
        <v>1</v>
      </c>
      <c r="AE669" t="s">
        <v>64</v>
      </c>
      <c r="AF669" s="4"/>
    </row>
    <row r="670" spans="1:32" x14ac:dyDescent="0.3">
      <c r="A670" t="s">
        <v>761</v>
      </c>
      <c r="B670">
        <v>31</v>
      </c>
      <c r="C670" t="str">
        <f t="shared" si="10"/>
        <v>Old Adults</v>
      </c>
      <c r="D670" t="s">
        <v>28</v>
      </c>
      <c r="E670">
        <v>1.4</v>
      </c>
      <c r="G670" t="s">
        <v>54</v>
      </c>
      <c r="H670" t="s">
        <v>55</v>
      </c>
      <c r="I670" t="s">
        <v>71</v>
      </c>
      <c r="J670">
        <v>8.8000000000000007</v>
      </c>
      <c r="L670" t="s">
        <v>43</v>
      </c>
      <c r="M670" t="s">
        <v>74</v>
      </c>
      <c r="N670" t="s">
        <v>51</v>
      </c>
      <c r="P670">
        <v>1</v>
      </c>
      <c r="Q670" t="s">
        <v>44</v>
      </c>
      <c r="R670" t="s">
        <v>36</v>
      </c>
      <c r="S670" t="b">
        <v>0</v>
      </c>
      <c r="T670" t="b">
        <v>0</v>
      </c>
      <c r="U670" t="b">
        <v>0</v>
      </c>
      <c r="V670" t="b">
        <v>0</v>
      </c>
      <c r="W670" t="b">
        <v>0</v>
      </c>
      <c r="X670">
        <v>0.3</v>
      </c>
      <c r="Y670">
        <v>10.5</v>
      </c>
      <c r="Z670">
        <v>1</v>
      </c>
      <c r="AA670">
        <v>14.6</v>
      </c>
      <c r="AB670" s="3">
        <v>24.22</v>
      </c>
      <c r="AC670" s="3"/>
      <c r="AD670">
        <v>3</v>
      </c>
      <c r="AE670" t="s">
        <v>46</v>
      </c>
      <c r="AF670" s="4"/>
    </row>
    <row r="671" spans="1:32" x14ac:dyDescent="0.3">
      <c r="A671" t="s">
        <v>762</v>
      </c>
      <c r="B671">
        <v>14</v>
      </c>
      <c r="C671" t="str">
        <f t="shared" si="10"/>
        <v>Teenager</v>
      </c>
      <c r="D671" t="s">
        <v>28</v>
      </c>
      <c r="E671">
        <v>8.3000000000000007</v>
      </c>
      <c r="G671" t="s">
        <v>29</v>
      </c>
      <c r="H671" t="s">
        <v>73</v>
      </c>
      <c r="I671" t="s">
        <v>50</v>
      </c>
      <c r="J671">
        <v>6</v>
      </c>
      <c r="L671" t="s">
        <v>32</v>
      </c>
      <c r="M671" t="s">
        <v>74</v>
      </c>
      <c r="N671" t="s">
        <v>51</v>
      </c>
      <c r="O671">
        <v>1.19</v>
      </c>
      <c r="Q671" t="s">
        <v>80</v>
      </c>
      <c r="R671" t="s">
        <v>42</v>
      </c>
      <c r="S671" t="b">
        <v>1</v>
      </c>
      <c r="T671" t="b">
        <v>0</v>
      </c>
      <c r="U671" t="b">
        <v>0</v>
      </c>
      <c r="V671" t="b">
        <v>0</v>
      </c>
      <c r="W671" t="b">
        <v>0</v>
      </c>
      <c r="X671">
        <v>4.4000000000000004</v>
      </c>
      <c r="Y671">
        <v>5.5</v>
      </c>
      <c r="Z671">
        <v>6</v>
      </c>
      <c r="AA671">
        <v>8.1999999999999993</v>
      </c>
      <c r="AB671" s="3">
        <v>37.200000000000003</v>
      </c>
      <c r="AC671" s="3"/>
      <c r="AD671">
        <v>4</v>
      </c>
      <c r="AE671" t="s">
        <v>64</v>
      </c>
      <c r="AF671" s="4"/>
    </row>
    <row r="672" spans="1:32" x14ac:dyDescent="0.3">
      <c r="A672" t="s">
        <v>763</v>
      </c>
      <c r="B672">
        <v>24</v>
      </c>
      <c r="C672" t="str">
        <f t="shared" si="10"/>
        <v>Young Adults</v>
      </c>
      <c r="D672" t="s">
        <v>28</v>
      </c>
      <c r="E672">
        <v>9.3000000000000007</v>
      </c>
      <c r="G672" t="s">
        <v>82</v>
      </c>
      <c r="H672" t="s">
        <v>134</v>
      </c>
      <c r="I672" t="s">
        <v>50</v>
      </c>
      <c r="J672">
        <v>4</v>
      </c>
      <c r="L672" t="s">
        <v>41</v>
      </c>
      <c r="M672" t="s">
        <v>36</v>
      </c>
      <c r="N672" t="s">
        <v>51</v>
      </c>
      <c r="P672">
        <v>8</v>
      </c>
      <c r="Q672" t="s">
        <v>35</v>
      </c>
      <c r="R672" t="s">
        <v>57</v>
      </c>
      <c r="S672" t="b">
        <v>1</v>
      </c>
      <c r="T672" t="b">
        <v>1</v>
      </c>
      <c r="U672" t="b">
        <v>1</v>
      </c>
      <c r="V672" t="b">
        <v>1</v>
      </c>
      <c r="W672" t="b">
        <v>0</v>
      </c>
      <c r="X672">
        <v>4.3</v>
      </c>
      <c r="Y672">
        <v>6.6</v>
      </c>
      <c r="Z672">
        <v>6</v>
      </c>
      <c r="AA672">
        <v>3.2</v>
      </c>
      <c r="AB672" s="3">
        <v>170.31</v>
      </c>
      <c r="AC672" s="3"/>
      <c r="AD672">
        <v>12</v>
      </c>
      <c r="AE672" t="s">
        <v>37</v>
      </c>
      <c r="AF672" s="4"/>
    </row>
    <row r="673" spans="1:32" x14ac:dyDescent="0.3">
      <c r="A673" t="s">
        <v>764</v>
      </c>
      <c r="B673">
        <v>19</v>
      </c>
      <c r="C673" t="str">
        <f t="shared" si="10"/>
        <v>Teenager</v>
      </c>
      <c r="D673" t="s">
        <v>28</v>
      </c>
      <c r="E673">
        <v>4</v>
      </c>
      <c r="G673" t="s">
        <v>54</v>
      </c>
      <c r="H673" t="s">
        <v>55</v>
      </c>
      <c r="I673" t="s">
        <v>71</v>
      </c>
      <c r="J673">
        <v>6.9</v>
      </c>
      <c r="L673" t="s">
        <v>51</v>
      </c>
      <c r="M673" t="s">
        <v>74</v>
      </c>
      <c r="N673" t="s">
        <v>84</v>
      </c>
      <c r="O673">
        <v>3.33</v>
      </c>
      <c r="P673">
        <v>3</v>
      </c>
      <c r="Q673" t="s">
        <v>44</v>
      </c>
      <c r="R673" t="s">
        <v>57</v>
      </c>
      <c r="S673" t="b">
        <v>0</v>
      </c>
      <c r="T673" t="b">
        <v>0</v>
      </c>
      <c r="U673" t="b">
        <v>0</v>
      </c>
      <c r="V673" t="b">
        <v>0</v>
      </c>
      <c r="W673" t="b">
        <v>0</v>
      </c>
      <c r="X673">
        <v>1.1000000000000001</v>
      </c>
      <c r="Y673">
        <v>9.1</v>
      </c>
      <c r="Z673">
        <v>1</v>
      </c>
      <c r="AA673">
        <v>11.4</v>
      </c>
      <c r="AB673" s="3">
        <v>29.01</v>
      </c>
      <c r="AC673" s="3"/>
      <c r="AD673">
        <v>9</v>
      </c>
      <c r="AE673" t="s">
        <v>46</v>
      </c>
      <c r="AF673" s="4"/>
    </row>
    <row r="674" spans="1:32" x14ac:dyDescent="0.3">
      <c r="A674" t="s">
        <v>765</v>
      </c>
      <c r="B674">
        <v>15</v>
      </c>
      <c r="C674" t="str">
        <f t="shared" si="10"/>
        <v>Teenager</v>
      </c>
      <c r="D674" t="s">
        <v>28</v>
      </c>
      <c r="E674">
        <v>8</v>
      </c>
      <c r="G674" t="s">
        <v>76</v>
      </c>
      <c r="H674" t="s">
        <v>110</v>
      </c>
      <c r="I674" t="s">
        <v>50</v>
      </c>
      <c r="J674">
        <v>5.4</v>
      </c>
      <c r="L674" t="s">
        <v>32</v>
      </c>
      <c r="M674" t="s">
        <v>45</v>
      </c>
      <c r="N674" t="s">
        <v>51</v>
      </c>
      <c r="O674">
        <v>2.83</v>
      </c>
      <c r="Q674" t="s">
        <v>105</v>
      </c>
      <c r="R674" t="s">
        <v>42</v>
      </c>
      <c r="S674" t="b">
        <v>1</v>
      </c>
      <c r="T674" t="b">
        <v>0</v>
      </c>
      <c r="U674" t="b">
        <v>1</v>
      </c>
      <c r="V674" t="b">
        <v>1</v>
      </c>
      <c r="W674" t="b">
        <v>1</v>
      </c>
      <c r="X674">
        <v>4</v>
      </c>
      <c r="Y674">
        <v>6.3</v>
      </c>
      <c r="Z674">
        <v>5</v>
      </c>
      <c r="AA674">
        <v>7.3</v>
      </c>
      <c r="AB674" s="3">
        <v>80.45</v>
      </c>
      <c r="AC674" s="3"/>
      <c r="AD674">
        <v>4</v>
      </c>
      <c r="AE674" t="s">
        <v>58</v>
      </c>
      <c r="AF674" s="4"/>
    </row>
    <row r="675" spans="1:32" x14ac:dyDescent="0.3">
      <c r="A675" t="s">
        <v>766</v>
      </c>
      <c r="B675">
        <v>26</v>
      </c>
      <c r="C675" t="str">
        <f t="shared" si="10"/>
        <v>Young Adults</v>
      </c>
      <c r="D675" t="s">
        <v>28</v>
      </c>
      <c r="E675">
        <v>6</v>
      </c>
      <c r="G675" t="s">
        <v>82</v>
      </c>
      <c r="H675" t="s">
        <v>167</v>
      </c>
      <c r="I675" t="s">
        <v>31</v>
      </c>
      <c r="J675">
        <v>6</v>
      </c>
      <c r="L675" t="s">
        <v>51</v>
      </c>
      <c r="M675" t="s">
        <v>74</v>
      </c>
      <c r="N675" t="s">
        <v>51</v>
      </c>
      <c r="P675">
        <v>7</v>
      </c>
      <c r="Q675" t="s">
        <v>35</v>
      </c>
      <c r="R675" t="s">
        <v>36</v>
      </c>
      <c r="S675" t="b">
        <v>0</v>
      </c>
      <c r="T675" t="b">
        <v>1</v>
      </c>
      <c r="U675" t="b">
        <v>0</v>
      </c>
      <c r="V675" t="b">
        <v>1</v>
      </c>
      <c r="W675" t="b">
        <v>1</v>
      </c>
      <c r="X675">
        <v>1.6</v>
      </c>
      <c r="Y675">
        <v>6.2</v>
      </c>
      <c r="Z675">
        <v>4</v>
      </c>
      <c r="AA675">
        <v>7.9</v>
      </c>
      <c r="AB675" s="3">
        <v>24.29</v>
      </c>
      <c r="AC675" s="3"/>
      <c r="AD675">
        <v>14</v>
      </c>
      <c r="AE675" t="s">
        <v>64</v>
      </c>
      <c r="AF675" s="4"/>
    </row>
    <row r="676" spans="1:32" x14ac:dyDescent="0.3">
      <c r="A676" t="s">
        <v>767</v>
      </c>
      <c r="B676">
        <v>33</v>
      </c>
      <c r="C676" t="str">
        <f t="shared" si="10"/>
        <v>Old Adults</v>
      </c>
      <c r="D676" t="s">
        <v>28</v>
      </c>
      <c r="E676">
        <v>4.2</v>
      </c>
      <c r="G676" t="s">
        <v>76</v>
      </c>
      <c r="H676" t="s">
        <v>110</v>
      </c>
      <c r="I676" t="s">
        <v>31</v>
      </c>
      <c r="J676">
        <v>5.9</v>
      </c>
      <c r="L676" t="s">
        <v>41</v>
      </c>
      <c r="M676" t="s">
        <v>33</v>
      </c>
      <c r="N676" t="s">
        <v>84</v>
      </c>
      <c r="P676">
        <v>7</v>
      </c>
      <c r="Q676" t="s">
        <v>66</v>
      </c>
      <c r="R676" t="s">
        <v>42</v>
      </c>
      <c r="S676" t="b">
        <v>0</v>
      </c>
      <c r="T676" t="b">
        <v>0</v>
      </c>
      <c r="U676" t="b">
        <v>0</v>
      </c>
      <c r="V676" t="b">
        <v>0</v>
      </c>
      <c r="W676" t="b">
        <v>0</v>
      </c>
      <c r="X676">
        <v>0</v>
      </c>
      <c r="Y676">
        <v>6.2</v>
      </c>
      <c r="Z676">
        <v>2</v>
      </c>
      <c r="AA676">
        <v>10.5</v>
      </c>
      <c r="AB676" s="3">
        <v>17.420000000000002</v>
      </c>
      <c r="AC676" s="3"/>
      <c r="AD676">
        <v>18</v>
      </c>
      <c r="AE676" t="s">
        <v>46</v>
      </c>
      <c r="AF676" s="4"/>
    </row>
    <row r="677" spans="1:32" x14ac:dyDescent="0.3">
      <c r="A677" t="s">
        <v>768</v>
      </c>
      <c r="B677">
        <v>14</v>
      </c>
      <c r="C677" t="str">
        <f t="shared" si="10"/>
        <v>Teenager</v>
      </c>
      <c r="D677" t="s">
        <v>28</v>
      </c>
      <c r="E677">
        <v>4</v>
      </c>
      <c r="G677" t="s">
        <v>29</v>
      </c>
      <c r="H677" t="s">
        <v>73</v>
      </c>
      <c r="I677" t="s">
        <v>86</v>
      </c>
      <c r="J677">
        <v>6.8</v>
      </c>
      <c r="L677" t="s">
        <v>51</v>
      </c>
      <c r="M677" t="s">
        <v>33</v>
      </c>
      <c r="N677" t="s">
        <v>43</v>
      </c>
      <c r="O677">
        <v>1.44</v>
      </c>
      <c r="Q677" t="s">
        <v>105</v>
      </c>
      <c r="R677" t="s">
        <v>33</v>
      </c>
      <c r="S677" t="b">
        <v>0</v>
      </c>
      <c r="T677" t="b">
        <v>0</v>
      </c>
      <c r="U677" t="b">
        <v>0</v>
      </c>
      <c r="V677" t="b">
        <v>0</v>
      </c>
      <c r="W677" t="b">
        <v>0</v>
      </c>
      <c r="X677">
        <v>1.5</v>
      </c>
      <c r="Y677">
        <v>7.8</v>
      </c>
      <c r="Z677">
        <v>2</v>
      </c>
      <c r="AA677">
        <v>9.6</v>
      </c>
      <c r="AB677" s="3">
        <v>15.49</v>
      </c>
      <c r="AC677" s="3"/>
      <c r="AD677">
        <v>3</v>
      </c>
      <c r="AE677" t="s">
        <v>46</v>
      </c>
      <c r="AF677" s="4"/>
    </row>
    <row r="678" spans="1:32" x14ac:dyDescent="0.3">
      <c r="A678" t="s">
        <v>769</v>
      </c>
      <c r="B678">
        <v>16</v>
      </c>
      <c r="C678" t="str">
        <f t="shared" si="10"/>
        <v>Teenager</v>
      </c>
      <c r="D678" t="s">
        <v>53</v>
      </c>
      <c r="E678">
        <v>6.5</v>
      </c>
      <c r="G678" t="s">
        <v>29</v>
      </c>
      <c r="H678" t="s">
        <v>118</v>
      </c>
      <c r="I678" t="s">
        <v>31</v>
      </c>
      <c r="J678">
        <v>5.6</v>
      </c>
      <c r="L678" t="s">
        <v>78</v>
      </c>
      <c r="M678" t="s">
        <v>74</v>
      </c>
      <c r="N678" t="s">
        <v>34</v>
      </c>
      <c r="O678">
        <v>1.86</v>
      </c>
      <c r="Q678" t="s">
        <v>69</v>
      </c>
      <c r="R678" t="s">
        <v>36</v>
      </c>
      <c r="S678" t="b">
        <v>1</v>
      </c>
      <c r="T678" t="b">
        <v>0</v>
      </c>
      <c r="U678" t="b">
        <v>0</v>
      </c>
      <c r="V678" t="b">
        <v>1</v>
      </c>
      <c r="W678" t="b">
        <v>1</v>
      </c>
      <c r="X678">
        <v>2.2999999999999998</v>
      </c>
      <c r="Y678">
        <v>7.1</v>
      </c>
      <c r="Z678">
        <v>4</v>
      </c>
      <c r="AA678">
        <v>5.9</v>
      </c>
      <c r="AB678" s="3">
        <v>83.36</v>
      </c>
      <c r="AC678" s="3"/>
      <c r="AD678">
        <v>2</v>
      </c>
      <c r="AE678" t="s">
        <v>64</v>
      </c>
      <c r="AF678" s="4"/>
    </row>
    <row r="679" spans="1:32" x14ac:dyDescent="0.3">
      <c r="A679" t="s">
        <v>770</v>
      </c>
      <c r="B679">
        <v>18</v>
      </c>
      <c r="C679" t="str">
        <f t="shared" si="10"/>
        <v>Teenager</v>
      </c>
      <c r="D679" t="s">
        <v>53</v>
      </c>
      <c r="E679">
        <v>8</v>
      </c>
      <c r="G679" t="s">
        <v>54</v>
      </c>
      <c r="H679" t="s">
        <v>98</v>
      </c>
      <c r="I679" t="s">
        <v>86</v>
      </c>
      <c r="J679">
        <v>3.2</v>
      </c>
      <c r="L679" t="s">
        <v>51</v>
      </c>
      <c r="M679" t="s">
        <v>45</v>
      </c>
      <c r="N679" t="s">
        <v>34</v>
      </c>
      <c r="O679">
        <v>3.11</v>
      </c>
      <c r="Q679" t="s">
        <v>56</v>
      </c>
      <c r="R679" t="s">
        <v>57</v>
      </c>
      <c r="S679" t="b">
        <v>1</v>
      </c>
      <c r="T679" t="b">
        <v>1</v>
      </c>
      <c r="U679" t="b">
        <v>0</v>
      </c>
      <c r="V679" t="b">
        <v>1</v>
      </c>
      <c r="W679" t="b">
        <v>0</v>
      </c>
      <c r="X679">
        <v>4.8</v>
      </c>
      <c r="Y679">
        <v>5.9</v>
      </c>
      <c r="Z679">
        <v>6</v>
      </c>
      <c r="AA679">
        <v>3.6</v>
      </c>
      <c r="AB679" s="3">
        <v>41.3</v>
      </c>
      <c r="AC679" s="3"/>
      <c r="AD679">
        <v>7</v>
      </c>
      <c r="AE679" t="s">
        <v>58</v>
      </c>
      <c r="AF679" s="4"/>
    </row>
    <row r="680" spans="1:32" x14ac:dyDescent="0.3">
      <c r="A680" t="s">
        <v>771</v>
      </c>
      <c r="B680">
        <v>18</v>
      </c>
      <c r="C680" t="str">
        <f t="shared" si="10"/>
        <v>Teenager</v>
      </c>
      <c r="D680" t="s">
        <v>28</v>
      </c>
      <c r="E680">
        <v>3.5</v>
      </c>
      <c r="G680" t="s">
        <v>82</v>
      </c>
      <c r="H680" t="s">
        <v>167</v>
      </c>
      <c r="I680" t="s">
        <v>86</v>
      </c>
      <c r="J680">
        <v>8.8000000000000007</v>
      </c>
      <c r="L680" t="s">
        <v>41</v>
      </c>
      <c r="M680" t="s">
        <v>33</v>
      </c>
      <c r="N680" t="s">
        <v>34</v>
      </c>
      <c r="O680">
        <v>2.0099999999999998</v>
      </c>
      <c r="Q680" t="s">
        <v>35</v>
      </c>
      <c r="R680" t="s">
        <v>57</v>
      </c>
      <c r="S680" t="b">
        <v>0</v>
      </c>
      <c r="T680" t="b">
        <v>0</v>
      </c>
      <c r="U680" t="b">
        <v>0</v>
      </c>
      <c r="V680" t="b">
        <v>0</v>
      </c>
      <c r="W680" t="b">
        <v>0</v>
      </c>
      <c r="X680">
        <v>0.4</v>
      </c>
      <c r="Y680">
        <v>7.5</v>
      </c>
      <c r="Z680">
        <v>1</v>
      </c>
      <c r="AA680">
        <v>11.2</v>
      </c>
      <c r="AB680" s="3">
        <v>24.33</v>
      </c>
      <c r="AC680" s="3"/>
      <c r="AD680">
        <v>5</v>
      </c>
      <c r="AE680" t="s">
        <v>46</v>
      </c>
      <c r="AF680" s="4"/>
    </row>
    <row r="681" spans="1:32" x14ac:dyDescent="0.3">
      <c r="A681" t="s">
        <v>772</v>
      </c>
      <c r="B681">
        <v>15</v>
      </c>
      <c r="C681" t="str">
        <f t="shared" si="10"/>
        <v>Teenager</v>
      </c>
      <c r="D681" t="s">
        <v>53</v>
      </c>
      <c r="E681">
        <v>6.4</v>
      </c>
      <c r="G681" t="s">
        <v>29</v>
      </c>
      <c r="H681" t="s">
        <v>30</v>
      </c>
      <c r="I681" t="s">
        <v>31</v>
      </c>
      <c r="J681">
        <v>5.7</v>
      </c>
      <c r="L681" t="s">
        <v>51</v>
      </c>
      <c r="M681" t="s">
        <v>45</v>
      </c>
      <c r="N681" t="s">
        <v>62</v>
      </c>
      <c r="O681">
        <v>1.46</v>
      </c>
      <c r="Q681" t="s">
        <v>80</v>
      </c>
      <c r="R681" t="s">
        <v>57</v>
      </c>
      <c r="S681" t="b">
        <v>0</v>
      </c>
      <c r="T681" t="b">
        <v>0</v>
      </c>
      <c r="U681" t="b">
        <v>0</v>
      </c>
      <c r="V681" t="b">
        <v>0</v>
      </c>
      <c r="W681" t="b">
        <v>1</v>
      </c>
      <c r="X681">
        <v>0.9</v>
      </c>
      <c r="Y681">
        <v>5.0999999999999996</v>
      </c>
      <c r="Z681">
        <v>5</v>
      </c>
      <c r="AA681">
        <v>5.5</v>
      </c>
      <c r="AB681" s="3">
        <v>84.7</v>
      </c>
      <c r="AC681" s="3"/>
      <c r="AD681">
        <v>2</v>
      </c>
      <c r="AE681" t="s">
        <v>46</v>
      </c>
      <c r="AF681" s="4"/>
    </row>
    <row r="682" spans="1:32" x14ac:dyDescent="0.3">
      <c r="A682" t="s">
        <v>773</v>
      </c>
      <c r="B682">
        <v>19</v>
      </c>
      <c r="C682" t="str">
        <f t="shared" si="10"/>
        <v>Teenager</v>
      </c>
      <c r="D682" t="s">
        <v>28</v>
      </c>
      <c r="E682">
        <v>8.1999999999999993</v>
      </c>
      <c r="G682" t="s">
        <v>48</v>
      </c>
      <c r="H682" t="s">
        <v>128</v>
      </c>
      <c r="I682" t="s">
        <v>86</v>
      </c>
      <c r="J682">
        <v>4</v>
      </c>
      <c r="L682" t="s">
        <v>51</v>
      </c>
      <c r="M682" t="s">
        <v>33</v>
      </c>
      <c r="N682" t="s">
        <v>34</v>
      </c>
      <c r="O682">
        <v>1.1000000000000001</v>
      </c>
      <c r="P682">
        <v>4</v>
      </c>
      <c r="Q682" t="s">
        <v>69</v>
      </c>
      <c r="R682" t="s">
        <v>45</v>
      </c>
      <c r="S682" t="b">
        <v>0</v>
      </c>
      <c r="T682" t="b">
        <v>0</v>
      </c>
      <c r="U682" t="b">
        <v>1</v>
      </c>
      <c r="V682" t="b">
        <v>0</v>
      </c>
      <c r="W682" t="b">
        <v>1</v>
      </c>
      <c r="X682">
        <v>1.1000000000000001</v>
      </c>
      <c r="Y682">
        <v>5.2</v>
      </c>
      <c r="Z682">
        <v>4</v>
      </c>
      <c r="AA682">
        <v>4.5</v>
      </c>
      <c r="AB682" s="3">
        <v>41.81</v>
      </c>
      <c r="AC682" s="3"/>
      <c r="AD682">
        <v>1</v>
      </c>
      <c r="AE682" t="s">
        <v>64</v>
      </c>
      <c r="AF682" s="4"/>
    </row>
    <row r="683" spans="1:32" x14ac:dyDescent="0.3">
      <c r="A683" t="s">
        <v>774</v>
      </c>
      <c r="B683">
        <v>15</v>
      </c>
      <c r="C683" t="str">
        <f t="shared" si="10"/>
        <v>Teenager</v>
      </c>
      <c r="D683" t="s">
        <v>28</v>
      </c>
      <c r="E683">
        <v>0.7</v>
      </c>
      <c r="G683" t="s">
        <v>39</v>
      </c>
      <c r="H683" t="s">
        <v>40</v>
      </c>
      <c r="I683" t="s">
        <v>31</v>
      </c>
      <c r="J683">
        <v>7.5</v>
      </c>
      <c r="L683" t="s">
        <v>43</v>
      </c>
      <c r="M683" t="s">
        <v>45</v>
      </c>
      <c r="N683" t="s">
        <v>43</v>
      </c>
      <c r="O683">
        <v>3.68</v>
      </c>
      <c r="Q683" t="s">
        <v>66</v>
      </c>
      <c r="R683" t="s">
        <v>33</v>
      </c>
      <c r="S683" t="b">
        <v>0</v>
      </c>
      <c r="T683" t="b">
        <v>0</v>
      </c>
      <c r="U683" t="b">
        <v>0</v>
      </c>
      <c r="V683" t="b">
        <v>0</v>
      </c>
      <c r="W683" t="b">
        <v>0</v>
      </c>
      <c r="X683">
        <v>0</v>
      </c>
      <c r="Y683">
        <v>10.6</v>
      </c>
      <c r="Z683">
        <v>1</v>
      </c>
      <c r="AA683">
        <v>16.5</v>
      </c>
      <c r="AB683" s="3">
        <v>15.58</v>
      </c>
      <c r="AC683" s="3"/>
      <c r="AD683">
        <v>2</v>
      </c>
      <c r="AE683" t="s">
        <v>46</v>
      </c>
      <c r="AF683" s="4"/>
    </row>
    <row r="684" spans="1:32" x14ac:dyDescent="0.3">
      <c r="A684" t="s">
        <v>775</v>
      </c>
      <c r="B684">
        <v>17</v>
      </c>
      <c r="C684" t="str">
        <f t="shared" si="10"/>
        <v>Teenager</v>
      </c>
      <c r="D684" t="s">
        <v>53</v>
      </c>
      <c r="E684">
        <v>3.7</v>
      </c>
      <c r="G684" t="s">
        <v>54</v>
      </c>
      <c r="H684" t="s">
        <v>55</v>
      </c>
      <c r="I684" t="s">
        <v>31</v>
      </c>
      <c r="J684">
        <v>5.6</v>
      </c>
      <c r="L684" t="s">
        <v>32</v>
      </c>
      <c r="M684" t="s">
        <v>45</v>
      </c>
      <c r="N684" t="s">
        <v>62</v>
      </c>
      <c r="O684">
        <v>1.27</v>
      </c>
      <c r="Q684" t="s">
        <v>63</v>
      </c>
      <c r="R684" t="s">
        <v>45</v>
      </c>
      <c r="S684" t="b">
        <v>0</v>
      </c>
      <c r="T684" t="b">
        <v>0</v>
      </c>
      <c r="U684" t="b">
        <v>0</v>
      </c>
      <c r="V684" t="b">
        <v>0</v>
      </c>
      <c r="W684" t="b">
        <v>0</v>
      </c>
      <c r="X684">
        <v>0.7</v>
      </c>
      <c r="Y684">
        <v>9.6999999999999993</v>
      </c>
      <c r="Z684">
        <v>3</v>
      </c>
      <c r="AA684">
        <v>10.9</v>
      </c>
      <c r="AB684" s="3">
        <v>23.73</v>
      </c>
      <c r="AC684" s="3"/>
      <c r="AD684">
        <v>1</v>
      </c>
      <c r="AE684" t="s">
        <v>46</v>
      </c>
      <c r="AF684" s="4"/>
    </row>
    <row r="685" spans="1:32" x14ac:dyDescent="0.3">
      <c r="A685" t="s">
        <v>776</v>
      </c>
      <c r="B685">
        <v>20</v>
      </c>
      <c r="C685" t="str">
        <f t="shared" si="10"/>
        <v>Young Adults</v>
      </c>
      <c r="D685" t="s">
        <v>53</v>
      </c>
      <c r="E685">
        <v>2</v>
      </c>
      <c r="G685" t="s">
        <v>39</v>
      </c>
      <c r="H685" t="s">
        <v>40</v>
      </c>
      <c r="I685" t="s">
        <v>86</v>
      </c>
      <c r="J685">
        <v>7.9</v>
      </c>
      <c r="L685" t="s">
        <v>43</v>
      </c>
      <c r="M685" t="s">
        <v>74</v>
      </c>
      <c r="N685" t="s">
        <v>62</v>
      </c>
      <c r="O685">
        <v>3.82</v>
      </c>
      <c r="P685">
        <v>4</v>
      </c>
      <c r="Q685" t="s">
        <v>66</v>
      </c>
      <c r="R685" t="s">
        <v>42</v>
      </c>
      <c r="S685" t="b">
        <v>0</v>
      </c>
      <c r="T685" t="b">
        <v>0</v>
      </c>
      <c r="U685" t="b">
        <v>0</v>
      </c>
      <c r="V685" t="b">
        <v>0</v>
      </c>
      <c r="W685" t="b">
        <v>0</v>
      </c>
      <c r="X685">
        <v>0.7</v>
      </c>
      <c r="Y685">
        <v>10.4</v>
      </c>
      <c r="Z685">
        <v>2</v>
      </c>
      <c r="AA685">
        <v>12.2</v>
      </c>
      <c r="AB685" s="3">
        <v>10.61</v>
      </c>
      <c r="AC685" s="3"/>
      <c r="AD685">
        <v>10</v>
      </c>
      <c r="AE685" t="s">
        <v>46</v>
      </c>
      <c r="AF685" s="4"/>
    </row>
    <row r="686" spans="1:32" x14ac:dyDescent="0.3">
      <c r="A686" t="s">
        <v>777</v>
      </c>
      <c r="B686">
        <v>23</v>
      </c>
      <c r="C686" t="str">
        <f t="shared" si="10"/>
        <v>Young Adults</v>
      </c>
      <c r="D686" t="s">
        <v>53</v>
      </c>
      <c r="E686">
        <v>9.6999999999999993</v>
      </c>
      <c r="G686" t="s">
        <v>48</v>
      </c>
      <c r="H686" t="s">
        <v>68</v>
      </c>
      <c r="I686" t="s">
        <v>50</v>
      </c>
      <c r="J686">
        <v>5.7</v>
      </c>
      <c r="L686" t="s">
        <v>32</v>
      </c>
      <c r="M686" t="s">
        <v>74</v>
      </c>
      <c r="N686" t="s">
        <v>34</v>
      </c>
      <c r="P686">
        <v>3</v>
      </c>
      <c r="Q686" t="s">
        <v>66</v>
      </c>
      <c r="R686" t="s">
        <v>33</v>
      </c>
      <c r="S686" t="b">
        <v>0</v>
      </c>
      <c r="T686" t="b">
        <v>0</v>
      </c>
      <c r="U686" t="b">
        <v>1</v>
      </c>
      <c r="V686" t="b">
        <v>1</v>
      </c>
      <c r="W686" t="b">
        <v>0</v>
      </c>
      <c r="X686">
        <v>1</v>
      </c>
      <c r="Y686">
        <v>3.2</v>
      </c>
      <c r="Z686">
        <v>6</v>
      </c>
      <c r="AA686">
        <v>3.1</v>
      </c>
      <c r="AB686" s="3">
        <v>118.63</v>
      </c>
      <c r="AC686" s="3"/>
      <c r="AD686">
        <v>11</v>
      </c>
      <c r="AE686" t="s">
        <v>58</v>
      </c>
      <c r="AF686" s="4"/>
    </row>
    <row r="687" spans="1:32" x14ac:dyDescent="0.3">
      <c r="A687" t="s">
        <v>778</v>
      </c>
      <c r="B687">
        <v>15</v>
      </c>
      <c r="C687" t="str">
        <f t="shared" si="10"/>
        <v>Teenager</v>
      </c>
      <c r="D687" t="s">
        <v>53</v>
      </c>
      <c r="E687">
        <v>4.3</v>
      </c>
      <c r="G687" t="s">
        <v>29</v>
      </c>
      <c r="H687" t="s">
        <v>30</v>
      </c>
      <c r="I687" t="s">
        <v>50</v>
      </c>
      <c r="J687">
        <v>5</v>
      </c>
      <c r="L687" t="s">
        <v>51</v>
      </c>
      <c r="M687" t="s">
        <v>36</v>
      </c>
      <c r="N687" t="s">
        <v>51</v>
      </c>
      <c r="O687">
        <v>3.12</v>
      </c>
      <c r="Q687" t="s">
        <v>63</v>
      </c>
      <c r="R687" t="s">
        <v>42</v>
      </c>
      <c r="S687" t="b">
        <v>0</v>
      </c>
      <c r="T687" t="b">
        <v>0</v>
      </c>
      <c r="U687" t="b">
        <v>0</v>
      </c>
      <c r="V687" t="b">
        <v>0</v>
      </c>
      <c r="W687" t="b">
        <v>0</v>
      </c>
      <c r="X687">
        <v>0.4</v>
      </c>
      <c r="Y687">
        <v>7.6</v>
      </c>
      <c r="Z687">
        <v>4</v>
      </c>
      <c r="AA687">
        <v>8.6</v>
      </c>
      <c r="AB687" s="3">
        <v>8.15</v>
      </c>
      <c r="AC687" s="3"/>
      <c r="AD687">
        <v>2</v>
      </c>
      <c r="AE687" t="s">
        <v>46</v>
      </c>
      <c r="AF687" s="4"/>
    </row>
    <row r="688" spans="1:32" x14ac:dyDescent="0.3">
      <c r="A688" t="s">
        <v>779</v>
      </c>
      <c r="B688">
        <v>22</v>
      </c>
      <c r="C688" t="str">
        <f t="shared" si="10"/>
        <v>Young Adults</v>
      </c>
      <c r="D688" t="s">
        <v>28</v>
      </c>
      <c r="E688">
        <v>3.5</v>
      </c>
      <c r="G688" t="s">
        <v>48</v>
      </c>
      <c r="H688" t="s">
        <v>49</v>
      </c>
      <c r="I688" t="s">
        <v>71</v>
      </c>
      <c r="J688">
        <v>8.9</v>
      </c>
      <c r="L688" t="s">
        <v>43</v>
      </c>
      <c r="M688" t="s">
        <v>74</v>
      </c>
      <c r="N688" t="s">
        <v>62</v>
      </c>
      <c r="O688">
        <v>2.17</v>
      </c>
      <c r="P688">
        <v>8</v>
      </c>
      <c r="Q688" t="s">
        <v>66</v>
      </c>
      <c r="R688" t="s">
        <v>57</v>
      </c>
      <c r="S688" t="b">
        <v>0</v>
      </c>
      <c r="T688" t="b">
        <v>0</v>
      </c>
      <c r="U688" t="b">
        <v>0</v>
      </c>
      <c r="V688" t="b">
        <v>0</v>
      </c>
      <c r="W688" t="b">
        <v>0</v>
      </c>
      <c r="X688">
        <v>0.2</v>
      </c>
      <c r="Y688">
        <v>8.1</v>
      </c>
      <c r="Z688">
        <v>1</v>
      </c>
      <c r="AA688">
        <v>8.6</v>
      </c>
      <c r="AB688" s="3">
        <v>44.2</v>
      </c>
      <c r="AC688" s="3"/>
      <c r="AD688">
        <v>3</v>
      </c>
      <c r="AE688" t="s">
        <v>46</v>
      </c>
      <c r="AF688" s="4"/>
    </row>
    <row r="689" spans="1:32" x14ac:dyDescent="0.3">
      <c r="A689" t="s">
        <v>780</v>
      </c>
      <c r="B689">
        <v>19</v>
      </c>
      <c r="C689" t="str">
        <f t="shared" si="10"/>
        <v>Teenager</v>
      </c>
      <c r="D689" t="s">
        <v>53</v>
      </c>
      <c r="E689">
        <v>12.3</v>
      </c>
      <c r="G689" t="s">
        <v>48</v>
      </c>
      <c r="H689" t="s">
        <v>128</v>
      </c>
      <c r="I689" t="s">
        <v>31</v>
      </c>
      <c r="J689">
        <v>3.5</v>
      </c>
      <c r="L689" t="s">
        <v>41</v>
      </c>
      <c r="M689" t="s">
        <v>33</v>
      </c>
      <c r="N689" t="s">
        <v>51</v>
      </c>
      <c r="O689">
        <v>2.5499999999999998</v>
      </c>
      <c r="P689">
        <v>2</v>
      </c>
      <c r="Q689" t="s">
        <v>80</v>
      </c>
      <c r="R689" t="s">
        <v>36</v>
      </c>
      <c r="S689" t="b">
        <v>1</v>
      </c>
      <c r="T689" t="b">
        <v>1</v>
      </c>
      <c r="U689" t="b">
        <v>0</v>
      </c>
      <c r="V689" t="b">
        <v>0</v>
      </c>
      <c r="W689" t="b">
        <v>1</v>
      </c>
      <c r="X689">
        <v>1.6</v>
      </c>
      <c r="Y689">
        <v>4.4000000000000004</v>
      </c>
      <c r="Z689">
        <v>9</v>
      </c>
      <c r="AA689">
        <v>1.6</v>
      </c>
      <c r="AB689" s="3">
        <v>413.29</v>
      </c>
      <c r="AC689" s="3"/>
      <c r="AD689">
        <v>9</v>
      </c>
      <c r="AE689" t="s">
        <v>37</v>
      </c>
      <c r="AF689" s="4"/>
    </row>
    <row r="690" spans="1:32" x14ac:dyDescent="0.3">
      <c r="A690" t="s">
        <v>781</v>
      </c>
      <c r="B690">
        <v>16</v>
      </c>
      <c r="C690" t="str">
        <f t="shared" si="10"/>
        <v>Teenager</v>
      </c>
      <c r="D690" t="s">
        <v>28</v>
      </c>
      <c r="E690">
        <v>3.8</v>
      </c>
      <c r="G690" t="s">
        <v>48</v>
      </c>
      <c r="H690" t="s">
        <v>49</v>
      </c>
      <c r="I690" t="s">
        <v>86</v>
      </c>
      <c r="J690">
        <v>5</v>
      </c>
      <c r="L690" t="s">
        <v>51</v>
      </c>
      <c r="M690" t="s">
        <v>42</v>
      </c>
      <c r="N690" t="s">
        <v>43</v>
      </c>
      <c r="O690">
        <v>1.68</v>
      </c>
      <c r="Q690" t="s">
        <v>121</v>
      </c>
      <c r="R690" t="s">
        <v>33</v>
      </c>
      <c r="S690" t="b">
        <v>0</v>
      </c>
      <c r="T690" t="b">
        <v>0</v>
      </c>
      <c r="U690" t="b">
        <v>0</v>
      </c>
      <c r="V690" t="b">
        <v>0</v>
      </c>
      <c r="W690" t="b">
        <v>0</v>
      </c>
      <c r="X690">
        <v>0.4</v>
      </c>
      <c r="Y690">
        <v>9.1999999999999993</v>
      </c>
      <c r="Z690">
        <v>2</v>
      </c>
      <c r="AA690">
        <v>9.8000000000000007</v>
      </c>
      <c r="AB690" s="3">
        <v>34.33</v>
      </c>
      <c r="AC690" s="3"/>
      <c r="AD690">
        <v>4</v>
      </c>
      <c r="AE690" t="s">
        <v>46</v>
      </c>
      <c r="AF690" s="4"/>
    </row>
    <row r="691" spans="1:32" x14ac:dyDescent="0.3">
      <c r="A691" t="s">
        <v>782</v>
      </c>
      <c r="B691">
        <v>16</v>
      </c>
      <c r="C691" t="str">
        <f t="shared" si="10"/>
        <v>Teenager</v>
      </c>
      <c r="D691" t="s">
        <v>28</v>
      </c>
      <c r="E691">
        <v>10.9</v>
      </c>
      <c r="G691" t="s">
        <v>54</v>
      </c>
      <c r="H691" t="s">
        <v>98</v>
      </c>
      <c r="I691" t="s">
        <v>71</v>
      </c>
      <c r="J691">
        <v>5.3</v>
      </c>
      <c r="L691" t="s">
        <v>51</v>
      </c>
      <c r="M691" t="s">
        <v>36</v>
      </c>
      <c r="N691" t="s">
        <v>34</v>
      </c>
      <c r="O691">
        <v>1.71</v>
      </c>
      <c r="Q691" t="s">
        <v>105</v>
      </c>
      <c r="R691" t="s">
        <v>45</v>
      </c>
      <c r="S691" t="b">
        <v>1</v>
      </c>
      <c r="T691" t="b">
        <v>1</v>
      </c>
      <c r="U691" t="b">
        <v>0</v>
      </c>
      <c r="V691" t="b">
        <v>0</v>
      </c>
      <c r="W691" t="b">
        <v>1</v>
      </c>
      <c r="X691">
        <v>5</v>
      </c>
      <c r="Y691">
        <v>5.9</v>
      </c>
      <c r="Z691">
        <v>9</v>
      </c>
      <c r="AA691">
        <v>0</v>
      </c>
      <c r="AB691" s="3">
        <v>52.19</v>
      </c>
      <c r="AC691" s="3"/>
      <c r="AD691">
        <v>2</v>
      </c>
      <c r="AE691" t="s">
        <v>37</v>
      </c>
      <c r="AF691" s="4"/>
    </row>
    <row r="692" spans="1:32" x14ac:dyDescent="0.3">
      <c r="A692" t="s">
        <v>783</v>
      </c>
      <c r="B692">
        <v>26</v>
      </c>
      <c r="C692" t="str">
        <f t="shared" si="10"/>
        <v>Young Adults</v>
      </c>
      <c r="D692" t="s">
        <v>28</v>
      </c>
      <c r="E692">
        <v>4.8</v>
      </c>
      <c r="G692" t="s">
        <v>48</v>
      </c>
      <c r="H692" t="s">
        <v>128</v>
      </c>
      <c r="I692" t="s">
        <v>50</v>
      </c>
      <c r="J692">
        <v>6.3</v>
      </c>
      <c r="L692" t="s">
        <v>43</v>
      </c>
      <c r="M692" t="s">
        <v>42</v>
      </c>
      <c r="N692" t="s">
        <v>62</v>
      </c>
      <c r="P692">
        <v>10</v>
      </c>
      <c r="Q692" t="s">
        <v>35</v>
      </c>
      <c r="R692" t="s">
        <v>33</v>
      </c>
      <c r="S692" t="b">
        <v>0</v>
      </c>
      <c r="T692" t="b">
        <v>0</v>
      </c>
      <c r="U692" t="b">
        <v>0</v>
      </c>
      <c r="V692" t="b">
        <v>1</v>
      </c>
      <c r="W692" t="b">
        <v>0</v>
      </c>
      <c r="X692">
        <v>2.2999999999999998</v>
      </c>
      <c r="Y692">
        <v>9.1999999999999993</v>
      </c>
      <c r="Z692">
        <v>4</v>
      </c>
      <c r="AA692">
        <v>6.6</v>
      </c>
      <c r="AB692" s="3">
        <v>107.55</v>
      </c>
      <c r="AC692" s="3"/>
      <c r="AD692">
        <v>3</v>
      </c>
      <c r="AE692" t="s">
        <v>46</v>
      </c>
      <c r="AF692" s="4"/>
    </row>
    <row r="693" spans="1:32" x14ac:dyDescent="0.3">
      <c r="A693" t="s">
        <v>784</v>
      </c>
      <c r="B693">
        <v>23</v>
      </c>
      <c r="C693" t="str">
        <f t="shared" si="10"/>
        <v>Young Adults</v>
      </c>
      <c r="D693" t="s">
        <v>28</v>
      </c>
      <c r="E693">
        <v>3.8</v>
      </c>
      <c r="G693" t="s">
        <v>54</v>
      </c>
      <c r="H693" t="s">
        <v>55</v>
      </c>
      <c r="I693" t="s">
        <v>31</v>
      </c>
      <c r="J693">
        <v>5.5</v>
      </c>
      <c r="L693" t="s">
        <v>51</v>
      </c>
      <c r="M693" t="s">
        <v>42</v>
      </c>
      <c r="N693" t="s">
        <v>129</v>
      </c>
      <c r="P693">
        <v>1</v>
      </c>
      <c r="Q693" t="s">
        <v>121</v>
      </c>
      <c r="R693" t="s">
        <v>33</v>
      </c>
      <c r="S693" t="b">
        <v>0</v>
      </c>
      <c r="T693" t="b">
        <v>0</v>
      </c>
      <c r="U693" t="b">
        <v>0</v>
      </c>
      <c r="V693" t="b">
        <v>0</v>
      </c>
      <c r="W693" t="b">
        <v>0</v>
      </c>
      <c r="X693">
        <v>0.9</v>
      </c>
      <c r="Y693">
        <v>7.5</v>
      </c>
      <c r="Z693">
        <v>3</v>
      </c>
      <c r="AA693">
        <v>10.6</v>
      </c>
      <c r="AB693" s="3">
        <v>32.76</v>
      </c>
      <c r="AC693" s="3"/>
      <c r="AD693">
        <v>10</v>
      </c>
      <c r="AE693" t="s">
        <v>46</v>
      </c>
      <c r="AF693" s="4"/>
    </row>
    <row r="694" spans="1:32" x14ac:dyDescent="0.3">
      <c r="A694" t="s">
        <v>785</v>
      </c>
      <c r="B694">
        <v>19</v>
      </c>
      <c r="C694" t="str">
        <f t="shared" si="10"/>
        <v>Teenager</v>
      </c>
      <c r="D694" t="s">
        <v>28</v>
      </c>
      <c r="E694">
        <v>12.5</v>
      </c>
      <c r="G694" t="s">
        <v>48</v>
      </c>
      <c r="H694" t="s">
        <v>49</v>
      </c>
      <c r="I694" t="s">
        <v>50</v>
      </c>
      <c r="J694">
        <v>5.7</v>
      </c>
      <c r="L694" t="s">
        <v>78</v>
      </c>
      <c r="M694" t="s">
        <v>42</v>
      </c>
      <c r="N694" t="s">
        <v>62</v>
      </c>
      <c r="O694">
        <v>1.55</v>
      </c>
      <c r="P694">
        <v>3</v>
      </c>
      <c r="Q694" t="s">
        <v>44</v>
      </c>
      <c r="R694" t="s">
        <v>57</v>
      </c>
      <c r="S694" t="b">
        <v>0</v>
      </c>
      <c r="T694" t="b">
        <v>0</v>
      </c>
      <c r="U694" t="b">
        <v>0</v>
      </c>
      <c r="V694" t="b">
        <v>1</v>
      </c>
      <c r="W694" t="b">
        <v>1</v>
      </c>
      <c r="X694">
        <v>1.3</v>
      </c>
      <c r="Y694">
        <v>2.4</v>
      </c>
      <c r="Z694">
        <v>9</v>
      </c>
      <c r="AA694">
        <v>0</v>
      </c>
      <c r="AB694" s="3">
        <v>376.05</v>
      </c>
      <c r="AC694" s="3"/>
      <c r="AD694">
        <v>6</v>
      </c>
      <c r="AE694" t="s">
        <v>64</v>
      </c>
      <c r="AF694" s="4"/>
    </row>
    <row r="695" spans="1:32" x14ac:dyDescent="0.3">
      <c r="A695" t="s">
        <v>786</v>
      </c>
      <c r="B695">
        <v>22</v>
      </c>
      <c r="C695" t="str">
        <f t="shared" si="10"/>
        <v>Young Adults</v>
      </c>
      <c r="D695" t="s">
        <v>152</v>
      </c>
      <c r="E695">
        <v>4.4000000000000004</v>
      </c>
      <c r="G695" t="s">
        <v>60</v>
      </c>
      <c r="H695" t="s">
        <v>96</v>
      </c>
      <c r="I695" t="s">
        <v>71</v>
      </c>
      <c r="J695">
        <v>6.6</v>
      </c>
      <c r="L695" t="s">
        <v>51</v>
      </c>
      <c r="M695" t="s">
        <v>45</v>
      </c>
      <c r="N695" t="s">
        <v>34</v>
      </c>
      <c r="O695">
        <v>1.66</v>
      </c>
      <c r="P695">
        <v>9</v>
      </c>
      <c r="Q695" t="s">
        <v>63</v>
      </c>
      <c r="R695" t="s">
        <v>57</v>
      </c>
      <c r="S695" t="b">
        <v>0</v>
      </c>
      <c r="T695" t="b">
        <v>0</v>
      </c>
      <c r="U695" t="b">
        <v>0</v>
      </c>
      <c r="V695" t="b">
        <v>0</v>
      </c>
      <c r="W695" t="b">
        <v>0</v>
      </c>
      <c r="X695">
        <v>0.1</v>
      </c>
      <c r="Y695">
        <v>6.4</v>
      </c>
      <c r="Z695">
        <v>2</v>
      </c>
      <c r="AA695">
        <v>10.199999999999999</v>
      </c>
      <c r="AB695" s="3">
        <v>17.3</v>
      </c>
      <c r="AC695" s="3"/>
      <c r="AD695">
        <v>4</v>
      </c>
      <c r="AE695" t="s">
        <v>46</v>
      </c>
      <c r="AF695" s="4"/>
    </row>
    <row r="696" spans="1:32" x14ac:dyDescent="0.3">
      <c r="A696" t="s">
        <v>787</v>
      </c>
      <c r="B696">
        <v>16</v>
      </c>
      <c r="C696" t="str">
        <f t="shared" si="10"/>
        <v>Teenager</v>
      </c>
      <c r="D696" t="s">
        <v>28</v>
      </c>
      <c r="E696">
        <v>11.4</v>
      </c>
      <c r="G696" t="s">
        <v>82</v>
      </c>
      <c r="H696" t="s">
        <v>134</v>
      </c>
      <c r="I696" t="s">
        <v>71</v>
      </c>
      <c r="J696">
        <v>3.3</v>
      </c>
      <c r="L696" t="s">
        <v>51</v>
      </c>
      <c r="M696" t="s">
        <v>45</v>
      </c>
      <c r="N696" t="s">
        <v>51</v>
      </c>
      <c r="O696">
        <v>1.49</v>
      </c>
      <c r="Q696" t="s">
        <v>69</v>
      </c>
      <c r="R696" t="s">
        <v>42</v>
      </c>
      <c r="S696" t="b">
        <v>0</v>
      </c>
      <c r="T696" t="b">
        <v>1</v>
      </c>
      <c r="U696" t="b">
        <v>0</v>
      </c>
      <c r="V696" t="b">
        <v>1</v>
      </c>
      <c r="W696" t="b">
        <v>0</v>
      </c>
      <c r="X696">
        <v>2.9</v>
      </c>
      <c r="Y696">
        <v>3.9</v>
      </c>
      <c r="Z696">
        <v>7</v>
      </c>
      <c r="AA696">
        <v>2.2999999999999998</v>
      </c>
      <c r="AB696" s="3">
        <v>233.11</v>
      </c>
      <c r="AC696" s="3"/>
      <c r="AD696">
        <v>4</v>
      </c>
      <c r="AE696" t="s">
        <v>58</v>
      </c>
      <c r="AF696" s="4"/>
    </row>
    <row r="697" spans="1:32" x14ac:dyDescent="0.3">
      <c r="A697" t="s">
        <v>788</v>
      </c>
      <c r="B697">
        <v>27</v>
      </c>
      <c r="C697" t="str">
        <f t="shared" si="10"/>
        <v>Young Adults</v>
      </c>
      <c r="D697" t="s">
        <v>28</v>
      </c>
      <c r="E697">
        <v>8.9</v>
      </c>
      <c r="G697" t="s">
        <v>54</v>
      </c>
      <c r="H697" t="s">
        <v>89</v>
      </c>
      <c r="I697" t="s">
        <v>86</v>
      </c>
      <c r="J697">
        <v>4.4000000000000004</v>
      </c>
      <c r="L697" t="s">
        <v>51</v>
      </c>
      <c r="M697" t="s">
        <v>36</v>
      </c>
      <c r="N697" t="s">
        <v>51</v>
      </c>
      <c r="P697">
        <v>9</v>
      </c>
      <c r="Q697" t="s">
        <v>35</v>
      </c>
      <c r="R697" t="s">
        <v>33</v>
      </c>
      <c r="S697" t="b">
        <v>0</v>
      </c>
      <c r="T697" t="b">
        <v>0</v>
      </c>
      <c r="U697" t="b">
        <v>0</v>
      </c>
      <c r="V697" t="b">
        <v>1</v>
      </c>
      <c r="W697" t="b">
        <v>0</v>
      </c>
      <c r="X697">
        <v>1.5</v>
      </c>
      <c r="Y697">
        <v>5.8</v>
      </c>
      <c r="Z697">
        <v>6</v>
      </c>
      <c r="AA697">
        <v>3.3</v>
      </c>
      <c r="AB697" s="3">
        <v>258.94</v>
      </c>
      <c r="AC697" s="3"/>
      <c r="AD697">
        <v>1</v>
      </c>
      <c r="AE697" t="s">
        <v>64</v>
      </c>
      <c r="AF697" s="4"/>
    </row>
    <row r="698" spans="1:32" x14ac:dyDescent="0.3">
      <c r="A698" t="s">
        <v>789</v>
      </c>
      <c r="B698">
        <v>24</v>
      </c>
      <c r="C698" t="str">
        <f t="shared" si="10"/>
        <v>Young Adults</v>
      </c>
      <c r="D698" t="s">
        <v>28</v>
      </c>
      <c r="E698">
        <v>2.2999999999999998</v>
      </c>
      <c r="G698" t="s">
        <v>60</v>
      </c>
      <c r="H698" t="s">
        <v>61</v>
      </c>
      <c r="I698" t="s">
        <v>71</v>
      </c>
      <c r="J698">
        <v>8.5</v>
      </c>
      <c r="L698" t="s">
        <v>41</v>
      </c>
      <c r="M698" t="s">
        <v>36</v>
      </c>
      <c r="N698" t="s">
        <v>43</v>
      </c>
      <c r="P698">
        <v>5</v>
      </c>
      <c r="Q698" t="s">
        <v>66</v>
      </c>
      <c r="R698" t="s">
        <v>45</v>
      </c>
      <c r="S698" t="b">
        <v>0</v>
      </c>
      <c r="T698" t="b">
        <v>0</v>
      </c>
      <c r="U698" t="b">
        <v>0</v>
      </c>
      <c r="V698" t="b">
        <v>0</v>
      </c>
      <c r="W698" t="b">
        <v>0</v>
      </c>
      <c r="X698">
        <v>0.2</v>
      </c>
      <c r="Y698">
        <v>9.5</v>
      </c>
      <c r="Z698">
        <v>1</v>
      </c>
      <c r="AA698">
        <v>14.1</v>
      </c>
      <c r="AB698" s="3">
        <v>6.27</v>
      </c>
      <c r="AC698" s="3"/>
      <c r="AD698">
        <v>2</v>
      </c>
      <c r="AE698" t="s">
        <v>46</v>
      </c>
      <c r="AF698" s="4"/>
    </row>
    <row r="699" spans="1:32" x14ac:dyDescent="0.3">
      <c r="A699" t="s">
        <v>790</v>
      </c>
      <c r="B699">
        <v>16</v>
      </c>
      <c r="C699" t="str">
        <f t="shared" si="10"/>
        <v>Teenager</v>
      </c>
      <c r="D699" t="s">
        <v>152</v>
      </c>
      <c r="E699">
        <v>4.7</v>
      </c>
      <c r="G699" t="s">
        <v>76</v>
      </c>
      <c r="H699" t="s">
        <v>110</v>
      </c>
      <c r="I699" t="s">
        <v>71</v>
      </c>
      <c r="J699">
        <v>6.2</v>
      </c>
      <c r="L699" t="s">
        <v>41</v>
      </c>
      <c r="M699" t="s">
        <v>36</v>
      </c>
      <c r="N699" t="s">
        <v>84</v>
      </c>
      <c r="O699">
        <v>3.71</v>
      </c>
      <c r="Q699" t="s">
        <v>63</v>
      </c>
      <c r="R699" t="s">
        <v>57</v>
      </c>
      <c r="S699" t="b">
        <v>0</v>
      </c>
      <c r="T699" t="b">
        <v>0</v>
      </c>
      <c r="U699" t="b">
        <v>0</v>
      </c>
      <c r="V699" t="b">
        <v>0</v>
      </c>
      <c r="W699" t="b">
        <v>0</v>
      </c>
      <c r="X699">
        <v>0.1</v>
      </c>
      <c r="Y699">
        <v>9.1999999999999993</v>
      </c>
      <c r="Z699">
        <v>2</v>
      </c>
      <c r="AA699">
        <v>7.1</v>
      </c>
      <c r="AB699" s="3">
        <v>24.44</v>
      </c>
      <c r="AC699" s="3"/>
      <c r="AD699">
        <v>1</v>
      </c>
      <c r="AE699" t="s">
        <v>46</v>
      </c>
      <c r="AF699" s="4"/>
    </row>
    <row r="700" spans="1:32" x14ac:dyDescent="0.3">
      <c r="A700" t="s">
        <v>791</v>
      </c>
      <c r="B700">
        <v>15</v>
      </c>
      <c r="C700" t="str">
        <f t="shared" si="10"/>
        <v>Teenager</v>
      </c>
      <c r="D700" t="s">
        <v>53</v>
      </c>
      <c r="E700">
        <v>5</v>
      </c>
      <c r="G700" t="s">
        <v>82</v>
      </c>
      <c r="H700" t="s">
        <v>167</v>
      </c>
      <c r="I700" t="s">
        <v>31</v>
      </c>
      <c r="J700">
        <v>6.4</v>
      </c>
      <c r="L700" t="s">
        <v>43</v>
      </c>
      <c r="M700" t="s">
        <v>74</v>
      </c>
      <c r="N700" t="s">
        <v>43</v>
      </c>
      <c r="O700">
        <v>1.54</v>
      </c>
      <c r="Q700" t="s">
        <v>66</v>
      </c>
      <c r="R700" t="s">
        <v>45</v>
      </c>
      <c r="S700" t="b">
        <v>0</v>
      </c>
      <c r="T700" t="b">
        <v>0</v>
      </c>
      <c r="U700" t="b">
        <v>0</v>
      </c>
      <c r="V700" t="b">
        <v>1</v>
      </c>
      <c r="W700" t="b">
        <v>0</v>
      </c>
      <c r="X700">
        <v>0.3</v>
      </c>
      <c r="Y700">
        <v>5.8</v>
      </c>
      <c r="Z700">
        <v>2</v>
      </c>
      <c r="AA700">
        <v>11.5</v>
      </c>
      <c r="AB700" s="3">
        <v>10.19</v>
      </c>
      <c r="AC700" s="3"/>
      <c r="AD700">
        <v>2</v>
      </c>
      <c r="AE700" t="s">
        <v>46</v>
      </c>
      <c r="AF700" s="4"/>
    </row>
    <row r="701" spans="1:32" x14ac:dyDescent="0.3">
      <c r="A701" t="s">
        <v>792</v>
      </c>
      <c r="B701">
        <v>17</v>
      </c>
      <c r="C701" t="str">
        <f t="shared" si="10"/>
        <v>Teenager</v>
      </c>
      <c r="D701" t="s">
        <v>28</v>
      </c>
      <c r="E701">
        <v>3</v>
      </c>
      <c r="G701" t="s">
        <v>48</v>
      </c>
      <c r="H701" t="s">
        <v>49</v>
      </c>
      <c r="I701" t="s">
        <v>86</v>
      </c>
      <c r="J701">
        <v>8.4</v>
      </c>
      <c r="L701" t="s">
        <v>51</v>
      </c>
      <c r="M701" t="s">
        <v>33</v>
      </c>
      <c r="N701" t="s">
        <v>62</v>
      </c>
      <c r="O701">
        <v>1.99</v>
      </c>
      <c r="Q701" t="s">
        <v>66</v>
      </c>
      <c r="R701" t="s">
        <v>45</v>
      </c>
      <c r="S701" t="b">
        <v>0</v>
      </c>
      <c r="T701" t="b">
        <v>0</v>
      </c>
      <c r="U701" t="b">
        <v>0</v>
      </c>
      <c r="V701" t="b">
        <v>0</v>
      </c>
      <c r="W701" t="b">
        <v>0</v>
      </c>
      <c r="X701">
        <v>3.4</v>
      </c>
      <c r="Y701">
        <v>9.1</v>
      </c>
      <c r="Z701">
        <v>1</v>
      </c>
      <c r="AA701">
        <v>12.2</v>
      </c>
      <c r="AB701" s="3">
        <v>30.68</v>
      </c>
      <c r="AC701" s="3"/>
      <c r="AD701">
        <v>1</v>
      </c>
      <c r="AE701" t="s">
        <v>46</v>
      </c>
      <c r="AF701" s="4"/>
    </row>
    <row r="702" spans="1:32" x14ac:dyDescent="0.3">
      <c r="A702" t="s">
        <v>793</v>
      </c>
      <c r="B702">
        <v>17</v>
      </c>
      <c r="C702" t="str">
        <f t="shared" si="10"/>
        <v>Teenager</v>
      </c>
      <c r="D702" t="s">
        <v>28</v>
      </c>
      <c r="E702">
        <v>7.1</v>
      </c>
      <c r="G702" t="s">
        <v>54</v>
      </c>
      <c r="H702" t="s">
        <v>98</v>
      </c>
      <c r="I702" t="s">
        <v>71</v>
      </c>
      <c r="J702">
        <v>5</v>
      </c>
      <c r="L702" t="s">
        <v>51</v>
      </c>
      <c r="M702" t="s">
        <v>36</v>
      </c>
      <c r="N702" t="s">
        <v>129</v>
      </c>
      <c r="O702">
        <v>2.91</v>
      </c>
      <c r="Q702" t="s">
        <v>35</v>
      </c>
      <c r="R702" t="s">
        <v>33</v>
      </c>
      <c r="S702" t="b">
        <v>0</v>
      </c>
      <c r="T702" t="b">
        <v>0</v>
      </c>
      <c r="U702" t="b">
        <v>0</v>
      </c>
      <c r="V702" t="b">
        <v>1</v>
      </c>
      <c r="W702" t="b">
        <v>1</v>
      </c>
      <c r="X702">
        <v>0.6</v>
      </c>
      <c r="Y702">
        <v>6.4</v>
      </c>
      <c r="Z702">
        <v>6</v>
      </c>
      <c r="AA702">
        <v>5.4</v>
      </c>
      <c r="AB702" s="3">
        <v>49.26</v>
      </c>
      <c r="AC702" s="3"/>
      <c r="AD702">
        <v>4</v>
      </c>
      <c r="AE702" t="s">
        <v>46</v>
      </c>
      <c r="AF702" s="4"/>
    </row>
    <row r="703" spans="1:32" x14ac:dyDescent="0.3">
      <c r="A703" t="s">
        <v>794</v>
      </c>
      <c r="B703">
        <v>19</v>
      </c>
      <c r="C703" t="str">
        <f t="shared" si="10"/>
        <v>Teenager</v>
      </c>
      <c r="D703" t="s">
        <v>53</v>
      </c>
      <c r="E703">
        <v>8.5</v>
      </c>
      <c r="G703" t="s">
        <v>39</v>
      </c>
      <c r="H703" t="s">
        <v>40</v>
      </c>
      <c r="I703" t="s">
        <v>86</v>
      </c>
      <c r="J703">
        <v>3.3</v>
      </c>
      <c r="L703" t="s">
        <v>51</v>
      </c>
      <c r="M703" t="s">
        <v>33</v>
      </c>
      <c r="N703" t="s">
        <v>84</v>
      </c>
      <c r="O703">
        <v>1.77</v>
      </c>
      <c r="P703">
        <v>8</v>
      </c>
      <c r="Q703" t="s">
        <v>105</v>
      </c>
      <c r="R703" t="s">
        <v>36</v>
      </c>
      <c r="S703" t="b">
        <v>1</v>
      </c>
      <c r="T703" t="b">
        <v>1</v>
      </c>
      <c r="U703" t="b">
        <v>0</v>
      </c>
      <c r="V703" t="b">
        <v>1</v>
      </c>
      <c r="W703" t="b">
        <v>1</v>
      </c>
      <c r="X703">
        <v>1.2</v>
      </c>
      <c r="Y703">
        <v>4.7</v>
      </c>
      <c r="Z703">
        <v>5</v>
      </c>
      <c r="AA703">
        <v>3.8</v>
      </c>
      <c r="AB703" s="3">
        <v>354.28</v>
      </c>
      <c r="AC703" s="3"/>
      <c r="AD703">
        <v>6</v>
      </c>
      <c r="AE703" t="s">
        <v>37</v>
      </c>
      <c r="AF703" s="4"/>
    </row>
    <row r="704" spans="1:32" x14ac:dyDescent="0.3">
      <c r="A704" t="s">
        <v>795</v>
      </c>
      <c r="B704">
        <v>25</v>
      </c>
      <c r="C704" t="str">
        <f t="shared" si="10"/>
        <v>Young Adults</v>
      </c>
      <c r="D704" t="s">
        <v>53</v>
      </c>
      <c r="E704">
        <v>4.8</v>
      </c>
      <c r="G704" t="s">
        <v>39</v>
      </c>
      <c r="H704" t="s">
        <v>120</v>
      </c>
      <c r="I704" t="s">
        <v>86</v>
      </c>
      <c r="J704">
        <v>6</v>
      </c>
      <c r="L704" t="s">
        <v>41</v>
      </c>
      <c r="M704" t="s">
        <v>42</v>
      </c>
      <c r="N704" t="s">
        <v>34</v>
      </c>
      <c r="P704">
        <v>3</v>
      </c>
      <c r="Q704" t="s">
        <v>44</v>
      </c>
      <c r="R704" t="s">
        <v>33</v>
      </c>
      <c r="S704" t="b">
        <v>0</v>
      </c>
      <c r="T704" t="b">
        <v>0</v>
      </c>
      <c r="U704" t="b">
        <v>0</v>
      </c>
      <c r="V704" t="b">
        <v>1</v>
      </c>
      <c r="W704" t="b">
        <v>0</v>
      </c>
      <c r="X704">
        <v>1.5</v>
      </c>
      <c r="Y704">
        <v>9.1999999999999993</v>
      </c>
      <c r="Z704">
        <v>2</v>
      </c>
      <c r="AA704">
        <v>9.6999999999999993</v>
      </c>
      <c r="AB704" s="3">
        <v>35.97</v>
      </c>
      <c r="AC704" s="3"/>
      <c r="AD704">
        <v>13</v>
      </c>
      <c r="AE704" t="s">
        <v>46</v>
      </c>
      <c r="AF704" s="4"/>
    </row>
    <row r="705" spans="1:32" x14ac:dyDescent="0.3">
      <c r="A705" t="s">
        <v>796</v>
      </c>
      <c r="B705">
        <v>27</v>
      </c>
      <c r="C705" t="str">
        <f t="shared" si="10"/>
        <v>Young Adults</v>
      </c>
      <c r="D705" t="s">
        <v>28</v>
      </c>
      <c r="E705">
        <v>1.7</v>
      </c>
      <c r="G705" t="s">
        <v>54</v>
      </c>
      <c r="H705" t="s">
        <v>98</v>
      </c>
      <c r="I705" t="s">
        <v>71</v>
      </c>
      <c r="J705">
        <v>7.7</v>
      </c>
      <c r="L705" t="s">
        <v>41</v>
      </c>
      <c r="M705" t="s">
        <v>42</v>
      </c>
      <c r="N705" t="s">
        <v>84</v>
      </c>
      <c r="P705">
        <v>6</v>
      </c>
      <c r="Q705" t="s">
        <v>66</v>
      </c>
      <c r="R705" t="s">
        <v>42</v>
      </c>
      <c r="S705" t="b">
        <v>0</v>
      </c>
      <c r="T705" t="b">
        <v>0</v>
      </c>
      <c r="U705" t="b">
        <v>0</v>
      </c>
      <c r="V705" t="b">
        <v>0</v>
      </c>
      <c r="W705" t="b">
        <v>0</v>
      </c>
      <c r="X705">
        <v>0.1</v>
      </c>
      <c r="Y705">
        <v>7</v>
      </c>
      <c r="Z705">
        <v>1</v>
      </c>
      <c r="AA705">
        <v>10.9</v>
      </c>
      <c r="AB705" s="3">
        <v>15.3</v>
      </c>
      <c r="AC705" s="3"/>
      <c r="AD705">
        <v>14</v>
      </c>
      <c r="AE705" t="s">
        <v>46</v>
      </c>
      <c r="AF705" s="4"/>
    </row>
    <row r="706" spans="1:32" x14ac:dyDescent="0.3">
      <c r="A706" t="s">
        <v>797</v>
      </c>
      <c r="B706">
        <v>20</v>
      </c>
      <c r="C706" t="str">
        <f t="shared" si="10"/>
        <v>Young Adults</v>
      </c>
      <c r="D706" t="s">
        <v>28</v>
      </c>
      <c r="E706">
        <v>8.3000000000000007</v>
      </c>
      <c r="G706" t="s">
        <v>39</v>
      </c>
      <c r="H706" t="s">
        <v>120</v>
      </c>
      <c r="I706" t="s">
        <v>50</v>
      </c>
      <c r="J706">
        <v>5.9</v>
      </c>
      <c r="L706" t="s">
        <v>32</v>
      </c>
      <c r="M706" t="s">
        <v>45</v>
      </c>
      <c r="N706" t="s">
        <v>84</v>
      </c>
      <c r="O706">
        <v>1.0900000000000001</v>
      </c>
      <c r="P706">
        <v>10</v>
      </c>
      <c r="Q706" t="s">
        <v>105</v>
      </c>
      <c r="R706" t="s">
        <v>45</v>
      </c>
      <c r="S706" t="b">
        <v>0</v>
      </c>
      <c r="T706" t="b">
        <v>0</v>
      </c>
      <c r="U706" t="b">
        <v>0</v>
      </c>
      <c r="V706" t="b">
        <v>0</v>
      </c>
      <c r="W706" t="b">
        <v>0</v>
      </c>
      <c r="X706">
        <v>1.1000000000000001</v>
      </c>
      <c r="Y706">
        <v>4</v>
      </c>
      <c r="Z706">
        <v>6</v>
      </c>
      <c r="AA706">
        <v>3.6</v>
      </c>
      <c r="AB706" s="3">
        <v>69.709999999999994</v>
      </c>
      <c r="AC706" s="3"/>
      <c r="AD706">
        <v>2</v>
      </c>
      <c r="AE706" t="s">
        <v>46</v>
      </c>
      <c r="AF706" s="4"/>
    </row>
    <row r="707" spans="1:32" x14ac:dyDescent="0.3">
      <c r="A707" t="s">
        <v>798</v>
      </c>
      <c r="B707">
        <v>17</v>
      </c>
      <c r="C707" t="str">
        <f t="shared" ref="C707:C770" si="11">IF(B707&lt;=19,"Teenager",IF(B707&lt;=30,"Young Adults",IF(B707&gt;30,"Old Adults")))</f>
        <v>Teenager</v>
      </c>
      <c r="D707" t="s">
        <v>28</v>
      </c>
      <c r="E707">
        <v>12.1</v>
      </c>
      <c r="G707" t="s">
        <v>29</v>
      </c>
      <c r="H707" t="s">
        <v>73</v>
      </c>
      <c r="I707" t="s">
        <v>31</v>
      </c>
      <c r="J707">
        <v>5.6</v>
      </c>
      <c r="L707" t="s">
        <v>78</v>
      </c>
      <c r="M707" t="s">
        <v>42</v>
      </c>
      <c r="N707" t="s">
        <v>34</v>
      </c>
      <c r="O707">
        <v>1.75</v>
      </c>
      <c r="Q707" t="s">
        <v>66</v>
      </c>
      <c r="R707" t="s">
        <v>42</v>
      </c>
      <c r="S707" t="b">
        <v>1</v>
      </c>
      <c r="T707" t="b">
        <v>0</v>
      </c>
      <c r="U707" t="b">
        <v>1</v>
      </c>
      <c r="V707" t="b">
        <v>1</v>
      </c>
      <c r="W707" t="b">
        <v>1</v>
      </c>
      <c r="X707">
        <v>6</v>
      </c>
      <c r="Y707">
        <v>3</v>
      </c>
      <c r="Z707">
        <v>8</v>
      </c>
      <c r="AA707">
        <v>2.6</v>
      </c>
      <c r="AB707" s="3">
        <v>380.39</v>
      </c>
      <c r="AC707" s="3"/>
      <c r="AD707">
        <v>4</v>
      </c>
      <c r="AE707" t="s">
        <v>37</v>
      </c>
      <c r="AF707" s="4"/>
    </row>
    <row r="708" spans="1:32" x14ac:dyDescent="0.3">
      <c r="A708" t="s">
        <v>799</v>
      </c>
      <c r="B708">
        <v>17</v>
      </c>
      <c r="C708" t="str">
        <f t="shared" si="11"/>
        <v>Teenager</v>
      </c>
      <c r="D708" t="s">
        <v>53</v>
      </c>
      <c r="E708">
        <v>5.8</v>
      </c>
      <c r="G708" t="s">
        <v>60</v>
      </c>
      <c r="H708" t="s">
        <v>96</v>
      </c>
      <c r="I708" t="s">
        <v>50</v>
      </c>
      <c r="J708">
        <v>6.8</v>
      </c>
      <c r="L708" t="s">
        <v>32</v>
      </c>
      <c r="M708" t="s">
        <v>74</v>
      </c>
      <c r="N708" t="s">
        <v>34</v>
      </c>
      <c r="O708">
        <v>2.7</v>
      </c>
      <c r="Q708" t="s">
        <v>63</v>
      </c>
      <c r="R708" t="s">
        <v>42</v>
      </c>
      <c r="S708" t="b">
        <v>0</v>
      </c>
      <c r="T708" t="b">
        <v>1</v>
      </c>
      <c r="U708" t="b">
        <v>0</v>
      </c>
      <c r="V708" t="b">
        <v>1</v>
      </c>
      <c r="W708" t="b">
        <v>0</v>
      </c>
      <c r="X708">
        <v>0.3</v>
      </c>
      <c r="Y708">
        <v>5.2</v>
      </c>
      <c r="Z708">
        <v>3</v>
      </c>
      <c r="AA708">
        <v>9.5</v>
      </c>
      <c r="AB708" s="3">
        <v>123.39</v>
      </c>
      <c r="AC708" s="3"/>
      <c r="AD708">
        <v>3</v>
      </c>
      <c r="AE708" t="s">
        <v>64</v>
      </c>
      <c r="AF708" s="4"/>
    </row>
    <row r="709" spans="1:32" x14ac:dyDescent="0.3">
      <c r="A709" t="s">
        <v>800</v>
      </c>
      <c r="B709">
        <v>17</v>
      </c>
      <c r="C709" t="str">
        <f t="shared" si="11"/>
        <v>Teenager</v>
      </c>
      <c r="D709" t="s">
        <v>53</v>
      </c>
      <c r="E709">
        <v>8.5</v>
      </c>
      <c r="G709" t="s">
        <v>29</v>
      </c>
      <c r="H709" t="s">
        <v>118</v>
      </c>
      <c r="I709" t="s">
        <v>50</v>
      </c>
      <c r="J709">
        <v>3.9</v>
      </c>
      <c r="L709" t="s">
        <v>51</v>
      </c>
      <c r="M709" t="s">
        <v>74</v>
      </c>
      <c r="N709" t="s">
        <v>51</v>
      </c>
      <c r="O709">
        <v>1.42</v>
      </c>
      <c r="Q709" t="s">
        <v>80</v>
      </c>
      <c r="R709" t="s">
        <v>57</v>
      </c>
      <c r="S709" t="b">
        <v>1</v>
      </c>
      <c r="T709" t="b">
        <v>1</v>
      </c>
      <c r="U709" t="b">
        <v>0</v>
      </c>
      <c r="V709" t="b">
        <v>0</v>
      </c>
      <c r="W709" t="b">
        <v>0</v>
      </c>
      <c r="X709">
        <v>1.5</v>
      </c>
      <c r="Y709">
        <v>3.6</v>
      </c>
      <c r="Z709">
        <v>8</v>
      </c>
      <c r="AA709">
        <v>3.8</v>
      </c>
      <c r="AB709" s="3">
        <v>200.6</v>
      </c>
      <c r="AC709" s="3"/>
      <c r="AD709">
        <v>4</v>
      </c>
      <c r="AE709" t="s">
        <v>37</v>
      </c>
      <c r="AF709" s="4"/>
    </row>
    <row r="710" spans="1:32" x14ac:dyDescent="0.3">
      <c r="A710" t="s">
        <v>801</v>
      </c>
      <c r="B710">
        <v>19</v>
      </c>
      <c r="C710" t="str">
        <f t="shared" si="11"/>
        <v>Teenager</v>
      </c>
      <c r="D710" t="s">
        <v>28</v>
      </c>
      <c r="E710">
        <v>3.9</v>
      </c>
      <c r="G710" t="s">
        <v>60</v>
      </c>
      <c r="H710" t="s">
        <v>96</v>
      </c>
      <c r="I710" t="s">
        <v>86</v>
      </c>
      <c r="J710">
        <v>5.3</v>
      </c>
      <c r="L710" t="s">
        <v>32</v>
      </c>
      <c r="M710" t="s">
        <v>36</v>
      </c>
      <c r="N710" t="s">
        <v>43</v>
      </c>
      <c r="O710">
        <v>1.56</v>
      </c>
      <c r="P710">
        <v>1</v>
      </c>
      <c r="Q710" t="s">
        <v>105</v>
      </c>
      <c r="R710" t="s">
        <v>57</v>
      </c>
      <c r="S710" t="b">
        <v>0</v>
      </c>
      <c r="T710" t="b">
        <v>0</v>
      </c>
      <c r="U710" t="b">
        <v>0</v>
      </c>
      <c r="V710" t="b">
        <v>0</v>
      </c>
      <c r="W710" t="b">
        <v>0</v>
      </c>
      <c r="X710">
        <v>0.2</v>
      </c>
      <c r="Y710">
        <v>7.9</v>
      </c>
      <c r="Z710">
        <v>1</v>
      </c>
      <c r="AA710">
        <v>9.5</v>
      </c>
      <c r="AB710" s="3">
        <v>27.46</v>
      </c>
      <c r="AC710" s="3"/>
      <c r="AD710">
        <v>5</v>
      </c>
      <c r="AE710" t="s">
        <v>46</v>
      </c>
      <c r="AF710" s="4"/>
    </row>
    <row r="711" spans="1:32" x14ac:dyDescent="0.3">
      <c r="A711" t="s">
        <v>802</v>
      </c>
      <c r="B711">
        <v>24</v>
      </c>
      <c r="C711" t="str">
        <f t="shared" si="11"/>
        <v>Young Adults</v>
      </c>
      <c r="D711" t="s">
        <v>53</v>
      </c>
      <c r="E711">
        <v>3.7</v>
      </c>
      <c r="G711" t="s">
        <v>39</v>
      </c>
      <c r="H711" t="s">
        <v>120</v>
      </c>
      <c r="I711" t="s">
        <v>86</v>
      </c>
      <c r="J711">
        <v>5.5</v>
      </c>
      <c r="L711" t="s">
        <v>41</v>
      </c>
      <c r="M711" t="s">
        <v>74</v>
      </c>
      <c r="N711" t="s">
        <v>43</v>
      </c>
      <c r="P711">
        <v>9</v>
      </c>
      <c r="Q711" t="s">
        <v>66</v>
      </c>
      <c r="R711" t="s">
        <v>57</v>
      </c>
      <c r="S711" t="b">
        <v>0</v>
      </c>
      <c r="T711" t="b">
        <v>0</v>
      </c>
      <c r="U711" t="b">
        <v>0</v>
      </c>
      <c r="V711" t="b">
        <v>0</v>
      </c>
      <c r="W711" t="b">
        <v>0</v>
      </c>
      <c r="X711">
        <v>1</v>
      </c>
      <c r="Y711">
        <v>7.7</v>
      </c>
      <c r="Z711">
        <v>1</v>
      </c>
      <c r="AA711">
        <v>9.6999999999999993</v>
      </c>
      <c r="AB711" s="3">
        <v>30.53</v>
      </c>
      <c r="AC711" s="3"/>
      <c r="AD711">
        <v>7</v>
      </c>
      <c r="AE711" t="s">
        <v>46</v>
      </c>
      <c r="AF711" s="4"/>
    </row>
    <row r="712" spans="1:32" x14ac:dyDescent="0.3">
      <c r="A712" t="s">
        <v>803</v>
      </c>
      <c r="B712">
        <v>21</v>
      </c>
      <c r="C712" t="str">
        <f t="shared" si="11"/>
        <v>Young Adults</v>
      </c>
      <c r="D712" t="s">
        <v>28</v>
      </c>
      <c r="E712">
        <v>10.4</v>
      </c>
      <c r="G712" t="s">
        <v>39</v>
      </c>
      <c r="H712" t="s">
        <v>40</v>
      </c>
      <c r="I712" t="s">
        <v>50</v>
      </c>
      <c r="J712">
        <v>5.7</v>
      </c>
      <c r="L712" t="s">
        <v>32</v>
      </c>
      <c r="M712" t="s">
        <v>36</v>
      </c>
      <c r="N712" t="s">
        <v>129</v>
      </c>
      <c r="O712">
        <v>2.21</v>
      </c>
      <c r="P712">
        <v>10</v>
      </c>
      <c r="Q712" t="s">
        <v>105</v>
      </c>
      <c r="R712" t="s">
        <v>36</v>
      </c>
      <c r="S712" t="b">
        <v>1</v>
      </c>
      <c r="T712" t="b">
        <v>1</v>
      </c>
      <c r="U712" t="b">
        <v>0</v>
      </c>
      <c r="V712" t="b">
        <v>1</v>
      </c>
      <c r="W712" t="b">
        <v>1</v>
      </c>
      <c r="X712">
        <v>1.1000000000000001</v>
      </c>
      <c r="Y712">
        <v>3.9</v>
      </c>
      <c r="Z712">
        <v>6</v>
      </c>
      <c r="AA712">
        <v>5.8</v>
      </c>
      <c r="AB712" s="3">
        <v>380.83</v>
      </c>
      <c r="AC712" s="3"/>
      <c r="AD712">
        <v>4</v>
      </c>
      <c r="AE712" t="s">
        <v>37</v>
      </c>
      <c r="AF712" s="4"/>
    </row>
    <row r="713" spans="1:32" x14ac:dyDescent="0.3">
      <c r="A713" t="s">
        <v>804</v>
      </c>
      <c r="B713">
        <v>28</v>
      </c>
      <c r="C713" t="str">
        <f t="shared" si="11"/>
        <v>Young Adults</v>
      </c>
      <c r="D713" t="s">
        <v>53</v>
      </c>
      <c r="E713">
        <v>6.4</v>
      </c>
      <c r="G713" t="s">
        <v>54</v>
      </c>
      <c r="H713" t="s">
        <v>98</v>
      </c>
      <c r="I713" t="s">
        <v>86</v>
      </c>
      <c r="J713">
        <v>6.5</v>
      </c>
      <c r="L713" t="s">
        <v>32</v>
      </c>
      <c r="M713" t="s">
        <v>33</v>
      </c>
      <c r="N713" t="s">
        <v>34</v>
      </c>
      <c r="P713">
        <v>1</v>
      </c>
      <c r="Q713" t="s">
        <v>44</v>
      </c>
      <c r="R713" t="s">
        <v>57</v>
      </c>
      <c r="S713" t="b">
        <v>0</v>
      </c>
      <c r="T713" t="b">
        <v>1</v>
      </c>
      <c r="U713" t="b">
        <v>0</v>
      </c>
      <c r="V713" t="b">
        <v>0</v>
      </c>
      <c r="W713" t="b">
        <v>1</v>
      </c>
      <c r="X713">
        <v>1.5</v>
      </c>
      <c r="Y713">
        <v>8.1999999999999993</v>
      </c>
      <c r="Z713">
        <v>4</v>
      </c>
      <c r="AA713">
        <v>8.9</v>
      </c>
      <c r="AB713" s="3">
        <v>86.39</v>
      </c>
      <c r="AC713" s="3"/>
      <c r="AD713">
        <v>3</v>
      </c>
      <c r="AE713" t="s">
        <v>64</v>
      </c>
      <c r="AF713" s="4"/>
    </row>
    <row r="714" spans="1:32" x14ac:dyDescent="0.3">
      <c r="A714" t="s">
        <v>805</v>
      </c>
      <c r="B714">
        <v>19</v>
      </c>
      <c r="C714" t="str">
        <f t="shared" si="11"/>
        <v>Teenager</v>
      </c>
      <c r="D714" t="s">
        <v>28</v>
      </c>
      <c r="E714">
        <v>10</v>
      </c>
      <c r="G714" t="s">
        <v>54</v>
      </c>
      <c r="H714" t="s">
        <v>89</v>
      </c>
      <c r="I714" t="s">
        <v>50</v>
      </c>
      <c r="J714">
        <v>5.4</v>
      </c>
      <c r="L714" t="s">
        <v>43</v>
      </c>
      <c r="M714" t="s">
        <v>42</v>
      </c>
      <c r="N714" t="s">
        <v>129</v>
      </c>
      <c r="O714">
        <v>3.7</v>
      </c>
      <c r="P714">
        <v>9</v>
      </c>
      <c r="Q714" t="s">
        <v>35</v>
      </c>
      <c r="R714" t="s">
        <v>57</v>
      </c>
      <c r="S714" t="b">
        <v>0</v>
      </c>
      <c r="T714" t="b">
        <v>0</v>
      </c>
      <c r="U714" t="b">
        <v>1</v>
      </c>
      <c r="V714" t="b">
        <v>1</v>
      </c>
      <c r="W714" t="b">
        <v>0</v>
      </c>
      <c r="X714">
        <v>1</v>
      </c>
      <c r="Y714">
        <v>5.8</v>
      </c>
      <c r="Z714">
        <v>5</v>
      </c>
      <c r="AA714">
        <v>3.9</v>
      </c>
      <c r="AB714" s="3">
        <v>270.83999999999997</v>
      </c>
      <c r="AC714" s="3"/>
      <c r="AD714">
        <v>6</v>
      </c>
      <c r="AE714" t="s">
        <v>58</v>
      </c>
      <c r="AF714" s="4"/>
    </row>
    <row r="715" spans="1:32" x14ac:dyDescent="0.3">
      <c r="A715" t="s">
        <v>806</v>
      </c>
      <c r="B715">
        <v>20</v>
      </c>
      <c r="C715" t="str">
        <f t="shared" si="11"/>
        <v>Young Adults</v>
      </c>
      <c r="D715" t="s">
        <v>28</v>
      </c>
      <c r="E715">
        <v>11.1</v>
      </c>
      <c r="G715" t="s">
        <v>48</v>
      </c>
      <c r="H715" t="s">
        <v>128</v>
      </c>
      <c r="I715" t="s">
        <v>86</v>
      </c>
      <c r="J715">
        <v>5.6</v>
      </c>
      <c r="L715" t="s">
        <v>41</v>
      </c>
      <c r="M715" t="s">
        <v>42</v>
      </c>
      <c r="N715" t="s">
        <v>51</v>
      </c>
      <c r="O715">
        <v>1.98</v>
      </c>
      <c r="P715">
        <v>6</v>
      </c>
      <c r="Q715" t="s">
        <v>80</v>
      </c>
      <c r="R715" t="s">
        <v>33</v>
      </c>
      <c r="S715" t="b">
        <v>1</v>
      </c>
      <c r="T715" t="b">
        <v>1</v>
      </c>
      <c r="U715" t="b">
        <v>1</v>
      </c>
      <c r="V715" t="b">
        <v>0</v>
      </c>
      <c r="W715" t="b">
        <v>1</v>
      </c>
      <c r="X715">
        <v>0.4</v>
      </c>
      <c r="Y715">
        <v>5.8</v>
      </c>
      <c r="Z715">
        <v>6</v>
      </c>
      <c r="AA715">
        <v>2</v>
      </c>
      <c r="AB715" s="3">
        <v>396</v>
      </c>
      <c r="AC715" s="3"/>
      <c r="AD715">
        <v>4</v>
      </c>
      <c r="AE715" t="s">
        <v>37</v>
      </c>
      <c r="AF715" s="4"/>
    </row>
    <row r="716" spans="1:32" x14ac:dyDescent="0.3">
      <c r="A716" t="s">
        <v>807</v>
      </c>
      <c r="B716">
        <v>19</v>
      </c>
      <c r="C716" t="str">
        <f t="shared" si="11"/>
        <v>Teenager</v>
      </c>
      <c r="D716" t="s">
        <v>28</v>
      </c>
      <c r="E716">
        <v>6.7</v>
      </c>
      <c r="G716" t="s">
        <v>29</v>
      </c>
      <c r="H716" t="s">
        <v>104</v>
      </c>
      <c r="I716" t="s">
        <v>71</v>
      </c>
      <c r="J716">
        <v>4.9000000000000004</v>
      </c>
      <c r="L716" t="s">
        <v>41</v>
      </c>
      <c r="M716" t="s">
        <v>45</v>
      </c>
      <c r="N716" t="s">
        <v>43</v>
      </c>
      <c r="O716">
        <v>3.55</v>
      </c>
      <c r="P716">
        <v>4</v>
      </c>
      <c r="Q716" t="s">
        <v>35</v>
      </c>
      <c r="R716" t="s">
        <v>42</v>
      </c>
      <c r="S716" t="b">
        <v>1</v>
      </c>
      <c r="T716" t="b">
        <v>0</v>
      </c>
      <c r="U716" t="b">
        <v>0</v>
      </c>
      <c r="V716" t="b">
        <v>1</v>
      </c>
      <c r="W716" t="b">
        <v>1</v>
      </c>
      <c r="X716">
        <v>3.4</v>
      </c>
      <c r="Y716">
        <v>6.4</v>
      </c>
      <c r="Z716">
        <v>5</v>
      </c>
      <c r="AA716">
        <v>8.1999999999999993</v>
      </c>
      <c r="AB716" s="3">
        <v>56.05</v>
      </c>
      <c r="AC716" s="3"/>
      <c r="AD716">
        <v>5</v>
      </c>
      <c r="AE716" t="s">
        <v>64</v>
      </c>
      <c r="AF716" s="4"/>
    </row>
    <row r="717" spans="1:32" x14ac:dyDescent="0.3">
      <c r="A717" t="s">
        <v>808</v>
      </c>
      <c r="B717">
        <v>24</v>
      </c>
      <c r="C717" t="str">
        <f t="shared" si="11"/>
        <v>Young Adults</v>
      </c>
      <c r="D717" t="s">
        <v>28</v>
      </c>
      <c r="E717">
        <v>5.9</v>
      </c>
      <c r="G717" t="s">
        <v>48</v>
      </c>
      <c r="H717" t="s">
        <v>49</v>
      </c>
      <c r="I717" t="s">
        <v>31</v>
      </c>
      <c r="J717">
        <v>6.8</v>
      </c>
      <c r="L717" t="s">
        <v>43</v>
      </c>
      <c r="M717" t="s">
        <v>42</v>
      </c>
      <c r="N717" t="s">
        <v>62</v>
      </c>
      <c r="P717">
        <v>3</v>
      </c>
      <c r="Q717" t="s">
        <v>66</v>
      </c>
      <c r="R717" t="s">
        <v>42</v>
      </c>
      <c r="S717" t="b">
        <v>0</v>
      </c>
      <c r="T717" t="b">
        <v>0</v>
      </c>
      <c r="U717" t="b">
        <v>0</v>
      </c>
      <c r="V717" t="b">
        <v>0</v>
      </c>
      <c r="W717" t="b">
        <v>0</v>
      </c>
      <c r="X717">
        <v>0.5</v>
      </c>
      <c r="Y717">
        <v>6.6</v>
      </c>
      <c r="Z717">
        <v>4</v>
      </c>
      <c r="AA717">
        <v>6.7</v>
      </c>
      <c r="AB717" s="3">
        <v>37.44</v>
      </c>
      <c r="AC717" s="3"/>
      <c r="AD717">
        <v>14</v>
      </c>
      <c r="AE717" t="s">
        <v>46</v>
      </c>
      <c r="AF717" s="4"/>
    </row>
    <row r="718" spans="1:32" x14ac:dyDescent="0.3">
      <c r="A718" t="s">
        <v>809</v>
      </c>
      <c r="B718">
        <v>30</v>
      </c>
      <c r="C718" t="str">
        <f t="shared" si="11"/>
        <v>Young Adults</v>
      </c>
      <c r="D718" t="s">
        <v>28</v>
      </c>
      <c r="E718">
        <v>3</v>
      </c>
      <c r="G718" t="s">
        <v>54</v>
      </c>
      <c r="H718" t="s">
        <v>98</v>
      </c>
      <c r="I718" t="s">
        <v>50</v>
      </c>
      <c r="J718">
        <v>8.3000000000000007</v>
      </c>
      <c r="L718" t="s">
        <v>43</v>
      </c>
      <c r="M718" t="s">
        <v>74</v>
      </c>
      <c r="N718" t="s">
        <v>43</v>
      </c>
      <c r="P718">
        <v>6</v>
      </c>
      <c r="Q718" t="s">
        <v>121</v>
      </c>
      <c r="R718" t="s">
        <v>33</v>
      </c>
      <c r="S718" t="b">
        <v>0</v>
      </c>
      <c r="T718" t="b">
        <v>0</v>
      </c>
      <c r="U718" t="b">
        <v>0</v>
      </c>
      <c r="V718" t="b">
        <v>0</v>
      </c>
      <c r="W718" t="b">
        <v>0</v>
      </c>
      <c r="X718">
        <v>1</v>
      </c>
      <c r="Y718">
        <v>7.4</v>
      </c>
      <c r="Z718">
        <v>1</v>
      </c>
      <c r="AA718">
        <v>12.2</v>
      </c>
      <c r="AB718" s="3">
        <v>13.32</v>
      </c>
      <c r="AC718" s="3"/>
      <c r="AD718">
        <v>11</v>
      </c>
      <c r="AE718" t="s">
        <v>46</v>
      </c>
      <c r="AF718" s="4"/>
    </row>
    <row r="719" spans="1:32" x14ac:dyDescent="0.3">
      <c r="A719" t="s">
        <v>810</v>
      </c>
      <c r="B719">
        <v>17</v>
      </c>
      <c r="C719" t="str">
        <f t="shared" si="11"/>
        <v>Teenager</v>
      </c>
      <c r="D719" t="s">
        <v>28</v>
      </c>
      <c r="E719">
        <v>6.6</v>
      </c>
      <c r="G719" t="s">
        <v>39</v>
      </c>
      <c r="H719" t="s">
        <v>40</v>
      </c>
      <c r="I719" t="s">
        <v>71</v>
      </c>
      <c r="J719">
        <v>4.8</v>
      </c>
      <c r="L719" t="s">
        <v>41</v>
      </c>
      <c r="M719" t="s">
        <v>36</v>
      </c>
      <c r="N719" t="s">
        <v>62</v>
      </c>
      <c r="O719">
        <v>3.92</v>
      </c>
      <c r="Q719" t="s">
        <v>63</v>
      </c>
      <c r="R719" t="s">
        <v>57</v>
      </c>
      <c r="S719" t="b">
        <v>1</v>
      </c>
      <c r="T719" t="b">
        <v>1</v>
      </c>
      <c r="U719" t="b">
        <v>0</v>
      </c>
      <c r="V719" t="b">
        <v>1</v>
      </c>
      <c r="W719" t="b">
        <v>0</v>
      </c>
      <c r="X719">
        <v>0.3</v>
      </c>
      <c r="Y719">
        <v>6.8</v>
      </c>
      <c r="Z719">
        <v>3</v>
      </c>
      <c r="AA719">
        <v>5.2</v>
      </c>
      <c r="AB719" s="3">
        <v>17</v>
      </c>
      <c r="AC719" s="3"/>
      <c r="AD719">
        <v>3</v>
      </c>
      <c r="AE719" t="s">
        <v>58</v>
      </c>
      <c r="AF719" s="4"/>
    </row>
    <row r="720" spans="1:32" x14ac:dyDescent="0.3">
      <c r="A720" t="s">
        <v>811</v>
      </c>
      <c r="B720">
        <v>21</v>
      </c>
      <c r="C720" t="str">
        <f t="shared" si="11"/>
        <v>Young Adults</v>
      </c>
      <c r="D720" t="s">
        <v>28</v>
      </c>
      <c r="E720">
        <v>11.7</v>
      </c>
      <c r="G720" t="s">
        <v>48</v>
      </c>
      <c r="H720" t="s">
        <v>214</v>
      </c>
      <c r="I720" t="s">
        <v>86</v>
      </c>
      <c r="J720">
        <v>6</v>
      </c>
      <c r="L720" t="s">
        <v>32</v>
      </c>
      <c r="M720" t="s">
        <v>36</v>
      </c>
      <c r="N720" t="s">
        <v>51</v>
      </c>
      <c r="O720">
        <v>3.05</v>
      </c>
      <c r="P720">
        <v>5</v>
      </c>
      <c r="Q720" t="s">
        <v>105</v>
      </c>
      <c r="R720" t="s">
        <v>45</v>
      </c>
      <c r="S720" t="b">
        <v>0</v>
      </c>
      <c r="T720" t="b">
        <v>1</v>
      </c>
      <c r="U720" t="b">
        <v>0</v>
      </c>
      <c r="V720" t="b">
        <v>1</v>
      </c>
      <c r="W720" t="b">
        <v>1</v>
      </c>
      <c r="X720">
        <v>0.8</v>
      </c>
      <c r="Y720">
        <v>5.0999999999999996</v>
      </c>
      <c r="Z720">
        <v>7</v>
      </c>
      <c r="AA720">
        <v>0</v>
      </c>
      <c r="AB720" s="3">
        <v>303.54000000000002</v>
      </c>
      <c r="AC720" s="3"/>
      <c r="AD720">
        <v>1</v>
      </c>
      <c r="AE720" t="s">
        <v>58</v>
      </c>
      <c r="AF720" s="4"/>
    </row>
    <row r="721" spans="1:32" x14ac:dyDescent="0.3">
      <c r="A721" t="s">
        <v>812</v>
      </c>
      <c r="B721">
        <v>23</v>
      </c>
      <c r="C721" t="str">
        <f t="shared" si="11"/>
        <v>Young Adults</v>
      </c>
      <c r="D721" t="s">
        <v>53</v>
      </c>
      <c r="E721">
        <v>13</v>
      </c>
      <c r="G721" t="s">
        <v>54</v>
      </c>
      <c r="H721" t="s">
        <v>89</v>
      </c>
      <c r="I721" t="s">
        <v>71</v>
      </c>
      <c r="J721">
        <v>5.2</v>
      </c>
      <c r="L721" t="s">
        <v>78</v>
      </c>
      <c r="M721" t="s">
        <v>33</v>
      </c>
      <c r="N721" t="s">
        <v>34</v>
      </c>
      <c r="P721">
        <v>7</v>
      </c>
      <c r="Q721" t="s">
        <v>35</v>
      </c>
      <c r="R721" t="s">
        <v>57</v>
      </c>
      <c r="S721" t="b">
        <v>1</v>
      </c>
      <c r="T721" t="b">
        <v>1</v>
      </c>
      <c r="U721" t="b">
        <v>0</v>
      </c>
      <c r="V721" t="b">
        <v>1</v>
      </c>
      <c r="W721" t="b">
        <v>0</v>
      </c>
      <c r="X721">
        <v>6.4</v>
      </c>
      <c r="Y721">
        <v>5.0999999999999996</v>
      </c>
      <c r="Z721">
        <v>8</v>
      </c>
      <c r="AA721">
        <v>0</v>
      </c>
      <c r="AB721" s="3">
        <v>239.25</v>
      </c>
      <c r="AC721" s="3"/>
      <c r="AD721">
        <v>6</v>
      </c>
      <c r="AE721" t="s">
        <v>37</v>
      </c>
      <c r="AF721" s="4"/>
    </row>
    <row r="722" spans="1:32" x14ac:dyDescent="0.3">
      <c r="A722" t="s">
        <v>813</v>
      </c>
      <c r="B722">
        <v>14</v>
      </c>
      <c r="C722" t="str">
        <f t="shared" si="11"/>
        <v>Teenager</v>
      </c>
      <c r="D722" t="s">
        <v>28</v>
      </c>
      <c r="E722">
        <v>4.3</v>
      </c>
      <c r="G722" t="s">
        <v>29</v>
      </c>
      <c r="H722" t="s">
        <v>104</v>
      </c>
      <c r="I722" t="s">
        <v>86</v>
      </c>
      <c r="J722">
        <v>5.6</v>
      </c>
      <c r="L722" t="s">
        <v>41</v>
      </c>
      <c r="M722" t="s">
        <v>42</v>
      </c>
      <c r="N722" t="s">
        <v>62</v>
      </c>
      <c r="O722">
        <v>2.63</v>
      </c>
      <c r="Q722" t="s">
        <v>105</v>
      </c>
      <c r="R722" t="s">
        <v>45</v>
      </c>
      <c r="S722" t="b">
        <v>0</v>
      </c>
      <c r="T722" t="b">
        <v>0</v>
      </c>
      <c r="U722" t="b">
        <v>0</v>
      </c>
      <c r="V722" t="b">
        <v>0</v>
      </c>
      <c r="W722" t="b">
        <v>0</v>
      </c>
      <c r="X722">
        <v>0</v>
      </c>
      <c r="Y722">
        <v>6.6</v>
      </c>
      <c r="Z722">
        <v>2</v>
      </c>
      <c r="AA722">
        <v>9.6999999999999993</v>
      </c>
      <c r="AB722" s="3">
        <v>27.9</v>
      </c>
      <c r="AC722" s="3"/>
      <c r="AD722">
        <v>3</v>
      </c>
      <c r="AE722" t="s">
        <v>46</v>
      </c>
      <c r="AF722" s="4"/>
    </row>
    <row r="723" spans="1:32" x14ac:dyDescent="0.3">
      <c r="A723" t="s">
        <v>814</v>
      </c>
      <c r="B723">
        <v>21</v>
      </c>
      <c r="C723" t="str">
        <f t="shared" si="11"/>
        <v>Young Adults</v>
      </c>
      <c r="D723" t="s">
        <v>28</v>
      </c>
      <c r="E723">
        <v>4.8</v>
      </c>
      <c r="G723" t="s">
        <v>39</v>
      </c>
      <c r="H723" t="s">
        <v>40</v>
      </c>
      <c r="I723" t="s">
        <v>50</v>
      </c>
      <c r="J723">
        <v>7</v>
      </c>
      <c r="L723" t="s">
        <v>51</v>
      </c>
      <c r="M723" t="s">
        <v>45</v>
      </c>
      <c r="N723" t="s">
        <v>51</v>
      </c>
      <c r="O723">
        <v>2.42</v>
      </c>
      <c r="P723">
        <v>3</v>
      </c>
      <c r="Q723" t="s">
        <v>63</v>
      </c>
      <c r="R723" t="s">
        <v>36</v>
      </c>
      <c r="S723" t="b">
        <v>0</v>
      </c>
      <c r="T723" t="b">
        <v>0</v>
      </c>
      <c r="U723" t="b">
        <v>0</v>
      </c>
      <c r="V723" t="b">
        <v>1</v>
      </c>
      <c r="W723" t="b">
        <v>0</v>
      </c>
      <c r="X723">
        <v>2.7</v>
      </c>
      <c r="Y723">
        <v>6</v>
      </c>
      <c r="Z723">
        <v>2</v>
      </c>
      <c r="AA723">
        <v>7.7</v>
      </c>
      <c r="AB723" s="3">
        <v>110.49</v>
      </c>
      <c r="AC723" s="3"/>
      <c r="AD723">
        <v>10</v>
      </c>
      <c r="AE723" t="s">
        <v>46</v>
      </c>
      <c r="AF723" s="4"/>
    </row>
    <row r="724" spans="1:32" x14ac:dyDescent="0.3">
      <c r="A724" t="s">
        <v>815</v>
      </c>
      <c r="B724">
        <v>23</v>
      </c>
      <c r="C724" t="str">
        <f t="shared" si="11"/>
        <v>Young Adults</v>
      </c>
      <c r="D724" t="s">
        <v>28</v>
      </c>
      <c r="E724">
        <v>3.9</v>
      </c>
      <c r="G724" t="s">
        <v>82</v>
      </c>
      <c r="H724" t="s">
        <v>167</v>
      </c>
      <c r="I724" t="s">
        <v>50</v>
      </c>
      <c r="J724">
        <v>6.7</v>
      </c>
      <c r="L724" t="s">
        <v>51</v>
      </c>
      <c r="M724" t="s">
        <v>74</v>
      </c>
      <c r="N724" t="s">
        <v>51</v>
      </c>
      <c r="P724">
        <v>8</v>
      </c>
      <c r="Q724" t="s">
        <v>63</v>
      </c>
      <c r="R724" t="s">
        <v>36</v>
      </c>
      <c r="S724" t="b">
        <v>0</v>
      </c>
      <c r="T724" t="b">
        <v>0</v>
      </c>
      <c r="U724" t="b">
        <v>0</v>
      </c>
      <c r="V724" t="b">
        <v>0</v>
      </c>
      <c r="W724" t="b">
        <v>0</v>
      </c>
      <c r="X724">
        <v>0.3</v>
      </c>
      <c r="Y724">
        <v>7.2</v>
      </c>
      <c r="Z724">
        <v>2</v>
      </c>
      <c r="AA724">
        <v>10.4</v>
      </c>
      <c r="AB724" s="3">
        <v>29.56</v>
      </c>
      <c r="AC724" s="3"/>
      <c r="AD724">
        <v>5</v>
      </c>
      <c r="AE724" t="s">
        <v>46</v>
      </c>
      <c r="AF724" s="4"/>
    </row>
    <row r="725" spans="1:32" x14ac:dyDescent="0.3">
      <c r="A725" t="s">
        <v>816</v>
      </c>
      <c r="B725">
        <v>17</v>
      </c>
      <c r="C725" t="str">
        <f t="shared" si="11"/>
        <v>Teenager</v>
      </c>
      <c r="D725" t="s">
        <v>53</v>
      </c>
      <c r="E725">
        <v>5.0999999999999996</v>
      </c>
      <c r="G725" t="s">
        <v>29</v>
      </c>
      <c r="H725" t="s">
        <v>30</v>
      </c>
      <c r="I725" t="s">
        <v>31</v>
      </c>
      <c r="J725">
        <v>7</v>
      </c>
      <c r="L725" t="s">
        <v>43</v>
      </c>
      <c r="M725" t="s">
        <v>45</v>
      </c>
      <c r="N725" t="s">
        <v>34</v>
      </c>
      <c r="O725">
        <v>3.96</v>
      </c>
      <c r="Q725" t="s">
        <v>66</v>
      </c>
      <c r="R725" t="s">
        <v>33</v>
      </c>
      <c r="S725" t="b">
        <v>0</v>
      </c>
      <c r="T725" t="b">
        <v>0</v>
      </c>
      <c r="U725" t="b">
        <v>0</v>
      </c>
      <c r="V725" t="b">
        <v>1</v>
      </c>
      <c r="W725" t="b">
        <v>0</v>
      </c>
      <c r="X725">
        <v>0.3</v>
      </c>
      <c r="Y725">
        <v>5.8</v>
      </c>
      <c r="Z725">
        <v>1</v>
      </c>
      <c r="AA725">
        <v>10.6</v>
      </c>
      <c r="AB725" s="3">
        <v>97.92</v>
      </c>
      <c r="AC725" s="3"/>
      <c r="AD725">
        <v>6</v>
      </c>
      <c r="AE725" t="s">
        <v>46</v>
      </c>
      <c r="AF725" s="4"/>
    </row>
    <row r="726" spans="1:32" x14ac:dyDescent="0.3">
      <c r="A726" t="s">
        <v>817</v>
      </c>
      <c r="B726">
        <v>19</v>
      </c>
      <c r="C726" t="str">
        <f t="shared" si="11"/>
        <v>Teenager</v>
      </c>
      <c r="D726" t="s">
        <v>28</v>
      </c>
      <c r="E726">
        <v>7.8</v>
      </c>
      <c r="G726" t="s">
        <v>39</v>
      </c>
      <c r="H726" t="s">
        <v>120</v>
      </c>
      <c r="I726" t="s">
        <v>86</v>
      </c>
      <c r="J726">
        <v>4.0999999999999996</v>
      </c>
      <c r="L726" t="s">
        <v>32</v>
      </c>
      <c r="M726" t="s">
        <v>33</v>
      </c>
      <c r="N726" t="s">
        <v>51</v>
      </c>
      <c r="O726">
        <v>1.74</v>
      </c>
      <c r="P726">
        <v>4</v>
      </c>
      <c r="Q726" t="s">
        <v>35</v>
      </c>
      <c r="R726" t="s">
        <v>57</v>
      </c>
      <c r="S726" t="b">
        <v>1</v>
      </c>
      <c r="T726" t="b">
        <v>1</v>
      </c>
      <c r="U726" t="b">
        <v>1</v>
      </c>
      <c r="V726" t="b">
        <v>0</v>
      </c>
      <c r="W726" t="b">
        <v>1</v>
      </c>
      <c r="X726">
        <v>1.5</v>
      </c>
      <c r="Y726">
        <v>7.2</v>
      </c>
      <c r="Z726">
        <v>6</v>
      </c>
      <c r="AA726">
        <v>7.1</v>
      </c>
      <c r="AB726" s="3">
        <v>106.73</v>
      </c>
      <c r="AC726" s="3"/>
      <c r="AD726">
        <v>2</v>
      </c>
      <c r="AE726" t="s">
        <v>37</v>
      </c>
      <c r="AF726" s="4"/>
    </row>
    <row r="727" spans="1:32" x14ac:dyDescent="0.3">
      <c r="A727" t="s">
        <v>818</v>
      </c>
      <c r="B727">
        <v>18</v>
      </c>
      <c r="C727" t="str">
        <f t="shared" si="11"/>
        <v>Teenager</v>
      </c>
      <c r="D727" t="s">
        <v>53</v>
      </c>
      <c r="E727">
        <v>2.1</v>
      </c>
      <c r="G727" t="s">
        <v>60</v>
      </c>
      <c r="H727" t="s">
        <v>200</v>
      </c>
      <c r="I727" t="s">
        <v>50</v>
      </c>
      <c r="J727">
        <v>8.6</v>
      </c>
      <c r="L727" t="s">
        <v>43</v>
      </c>
      <c r="M727" t="s">
        <v>33</v>
      </c>
      <c r="N727" t="s">
        <v>62</v>
      </c>
      <c r="O727">
        <v>1.86</v>
      </c>
      <c r="Q727" t="s">
        <v>66</v>
      </c>
      <c r="R727" t="s">
        <v>57</v>
      </c>
      <c r="S727" t="b">
        <v>0</v>
      </c>
      <c r="T727" t="b">
        <v>0</v>
      </c>
      <c r="U727" t="b">
        <v>0</v>
      </c>
      <c r="V727" t="b">
        <v>0</v>
      </c>
      <c r="W727" t="b">
        <v>0</v>
      </c>
      <c r="X727">
        <v>0.7</v>
      </c>
      <c r="Y727">
        <v>9.3000000000000007</v>
      </c>
      <c r="Z727">
        <v>1</v>
      </c>
      <c r="AA727">
        <v>9.8000000000000007</v>
      </c>
      <c r="AB727" s="3">
        <v>49.39</v>
      </c>
      <c r="AC727" s="3"/>
      <c r="AD727">
        <v>5</v>
      </c>
      <c r="AE727" t="s">
        <v>46</v>
      </c>
      <c r="AF727" s="4"/>
    </row>
    <row r="728" spans="1:32" x14ac:dyDescent="0.3">
      <c r="A728" t="s">
        <v>819</v>
      </c>
      <c r="B728">
        <v>17</v>
      </c>
      <c r="C728" t="str">
        <f t="shared" si="11"/>
        <v>Teenager</v>
      </c>
      <c r="D728" t="s">
        <v>53</v>
      </c>
      <c r="E728">
        <v>6.2</v>
      </c>
      <c r="G728" t="s">
        <v>29</v>
      </c>
      <c r="H728" t="s">
        <v>73</v>
      </c>
      <c r="I728" t="s">
        <v>86</v>
      </c>
      <c r="J728">
        <v>5.7</v>
      </c>
      <c r="L728" t="s">
        <v>41</v>
      </c>
      <c r="M728" t="s">
        <v>33</v>
      </c>
      <c r="N728" t="s">
        <v>34</v>
      </c>
      <c r="O728">
        <v>2.2200000000000002</v>
      </c>
      <c r="Q728" t="s">
        <v>63</v>
      </c>
      <c r="R728" t="s">
        <v>45</v>
      </c>
      <c r="S728" t="b">
        <v>0</v>
      </c>
      <c r="T728" t="b">
        <v>1</v>
      </c>
      <c r="U728" t="b">
        <v>0</v>
      </c>
      <c r="V728" t="b">
        <v>1</v>
      </c>
      <c r="W728" t="b">
        <v>1</v>
      </c>
      <c r="X728">
        <v>2.2000000000000002</v>
      </c>
      <c r="Y728">
        <v>5.2</v>
      </c>
      <c r="Z728">
        <v>4</v>
      </c>
      <c r="AA728">
        <v>5.2</v>
      </c>
      <c r="AB728" s="3">
        <v>37</v>
      </c>
      <c r="AC728" s="3"/>
      <c r="AD728">
        <v>6</v>
      </c>
      <c r="AE728" t="s">
        <v>64</v>
      </c>
      <c r="AF728" s="4"/>
    </row>
    <row r="729" spans="1:32" x14ac:dyDescent="0.3">
      <c r="A729" t="s">
        <v>820</v>
      </c>
      <c r="B729">
        <v>17</v>
      </c>
      <c r="C729" t="str">
        <f t="shared" si="11"/>
        <v>Teenager</v>
      </c>
      <c r="D729" t="s">
        <v>28</v>
      </c>
      <c r="E729">
        <v>6.3</v>
      </c>
      <c r="G729" t="s">
        <v>39</v>
      </c>
      <c r="H729" t="s">
        <v>120</v>
      </c>
      <c r="I729" t="s">
        <v>71</v>
      </c>
      <c r="J729">
        <v>6.6</v>
      </c>
      <c r="L729" t="s">
        <v>41</v>
      </c>
      <c r="M729" t="s">
        <v>45</v>
      </c>
      <c r="N729" t="s">
        <v>62</v>
      </c>
      <c r="O729">
        <v>3.01</v>
      </c>
      <c r="Q729" t="s">
        <v>35</v>
      </c>
      <c r="R729" t="s">
        <v>36</v>
      </c>
      <c r="S729" t="b">
        <v>0</v>
      </c>
      <c r="T729" t="b">
        <v>1</v>
      </c>
      <c r="U729" t="b">
        <v>0</v>
      </c>
      <c r="V729" t="b">
        <v>1</v>
      </c>
      <c r="W729" t="b">
        <v>1</v>
      </c>
      <c r="X729">
        <v>2</v>
      </c>
      <c r="Y729">
        <v>6.9</v>
      </c>
      <c r="Z729">
        <v>2</v>
      </c>
      <c r="AA729">
        <v>8.6</v>
      </c>
      <c r="AB729" s="3">
        <v>147.26</v>
      </c>
      <c r="AC729" s="3"/>
      <c r="AD729">
        <v>2</v>
      </c>
      <c r="AE729" t="s">
        <v>64</v>
      </c>
      <c r="AF729" s="4"/>
    </row>
    <row r="730" spans="1:32" x14ac:dyDescent="0.3">
      <c r="A730" t="s">
        <v>821</v>
      </c>
      <c r="B730">
        <v>21</v>
      </c>
      <c r="C730" t="str">
        <f t="shared" si="11"/>
        <v>Young Adults</v>
      </c>
      <c r="D730" t="s">
        <v>28</v>
      </c>
      <c r="E730">
        <v>8.4</v>
      </c>
      <c r="G730" t="s">
        <v>48</v>
      </c>
      <c r="H730" t="s">
        <v>128</v>
      </c>
      <c r="I730" t="s">
        <v>50</v>
      </c>
      <c r="J730">
        <v>5.0999999999999996</v>
      </c>
      <c r="L730" t="s">
        <v>51</v>
      </c>
      <c r="M730" t="s">
        <v>36</v>
      </c>
      <c r="N730" t="s">
        <v>34</v>
      </c>
      <c r="O730">
        <v>2.38</v>
      </c>
      <c r="P730">
        <v>10</v>
      </c>
      <c r="Q730" t="s">
        <v>35</v>
      </c>
      <c r="R730" t="s">
        <v>42</v>
      </c>
      <c r="S730" t="b">
        <v>1</v>
      </c>
      <c r="T730" t="b">
        <v>1</v>
      </c>
      <c r="U730" t="b">
        <v>1</v>
      </c>
      <c r="V730" t="b">
        <v>0</v>
      </c>
      <c r="W730" t="b">
        <v>1</v>
      </c>
      <c r="X730">
        <v>1.8</v>
      </c>
      <c r="Y730">
        <v>5.8</v>
      </c>
      <c r="Z730">
        <v>6</v>
      </c>
      <c r="AA730">
        <v>2.8</v>
      </c>
      <c r="AB730" s="3">
        <v>73.12</v>
      </c>
      <c r="AC730" s="3"/>
      <c r="AD730">
        <v>8</v>
      </c>
      <c r="AE730" t="s">
        <v>37</v>
      </c>
      <c r="AF730" s="4"/>
    </row>
    <row r="731" spans="1:32" x14ac:dyDescent="0.3">
      <c r="A731" t="s">
        <v>822</v>
      </c>
      <c r="B731">
        <v>22</v>
      </c>
      <c r="C731" t="str">
        <f t="shared" si="11"/>
        <v>Young Adults</v>
      </c>
      <c r="D731" t="s">
        <v>28</v>
      </c>
      <c r="E731">
        <v>10.3</v>
      </c>
      <c r="G731" t="s">
        <v>82</v>
      </c>
      <c r="H731" t="s">
        <v>134</v>
      </c>
      <c r="I731" t="s">
        <v>31</v>
      </c>
      <c r="J731">
        <v>5.8</v>
      </c>
      <c r="L731" t="s">
        <v>51</v>
      </c>
      <c r="M731" t="s">
        <v>33</v>
      </c>
      <c r="N731" t="s">
        <v>51</v>
      </c>
      <c r="O731">
        <v>2.9</v>
      </c>
      <c r="P731">
        <v>10</v>
      </c>
      <c r="Q731" t="s">
        <v>44</v>
      </c>
      <c r="R731" t="s">
        <v>42</v>
      </c>
      <c r="S731" t="b">
        <v>1</v>
      </c>
      <c r="T731" t="b">
        <v>1</v>
      </c>
      <c r="U731" t="b">
        <v>0</v>
      </c>
      <c r="V731" t="b">
        <v>1</v>
      </c>
      <c r="W731" t="b">
        <v>1</v>
      </c>
      <c r="X731">
        <v>3.9</v>
      </c>
      <c r="Y731">
        <v>4.0999999999999996</v>
      </c>
      <c r="Z731">
        <v>6</v>
      </c>
      <c r="AA731">
        <v>2.9</v>
      </c>
      <c r="AB731" s="3">
        <v>446.66</v>
      </c>
      <c r="AC731" s="3"/>
      <c r="AD731">
        <v>11</v>
      </c>
      <c r="AE731" t="s">
        <v>37</v>
      </c>
      <c r="AF731" s="4"/>
    </row>
    <row r="732" spans="1:32" x14ac:dyDescent="0.3">
      <c r="A732" t="s">
        <v>823</v>
      </c>
      <c r="B732">
        <v>17</v>
      </c>
      <c r="C732" t="str">
        <f t="shared" si="11"/>
        <v>Teenager</v>
      </c>
      <c r="D732" t="s">
        <v>53</v>
      </c>
      <c r="E732">
        <v>3.2</v>
      </c>
      <c r="G732" t="s">
        <v>60</v>
      </c>
      <c r="H732" t="s">
        <v>200</v>
      </c>
      <c r="I732" t="s">
        <v>31</v>
      </c>
      <c r="J732">
        <v>7.2</v>
      </c>
      <c r="L732" t="s">
        <v>43</v>
      </c>
      <c r="M732" t="s">
        <v>36</v>
      </c>
      <c r="N732" t="s">
        <v>51</v>
      </c>
      <c r="O732">
        <v>3.6</v>
      </c>
      <c r="Q732" t="s">
        <v>69</v>
      </c>
      <c r="R732" t="s">
        <v>33</v>
      </c>
      <c r="S732" t="b">
        <v>0</v>
      </c>
      <c r="T732" t="b">
        <v>0</v>
      </c>
      <c r="U732" t="b">
        <v>0</v>
      </c>
      <c r="V732" t="b">
        <v>0</v>
      </c>
      <c r="W732" t="b">
        <v>0</v>
      </c>
      <c r="X732">
        <v>0.9</v>
      </c>
      <c r="Y732">
        <v>7.9</v>
      </c>
      <c r="Z732">
        <v>1</v>
      </c>
      <c r="AA732">
        <v>13.8</v>
      </c>
      <c r="AB732" s="3">
        <v>12.37</v>
      </c>
      <c r="AC732" s="3"/>
      <c r="AD732">
        <v>3</v>
      </c>
      <c r="AE732" t="s">
        <v>46</v>
      </c>
      <c r="AF732" s="4"/>
    </row>
    <row r="733" spans="1:32" x14ac:dyDescent="0.3">
      <c r="A733" t="s">
        <v>824</v>
      </c>
      <c r="B733">
        <v>28</v>
      </c>
      <c r="C733" t="str">
        <f t="shared" si="11"/>
        <v>Young Adults</v>
      </c>
      <c r="D733" t="s">
        <v>53</v>
      </c>
      <c r="E733">
        <v>8.6</v>
      </c>
      <c r="G733" t="s">
        <v>39</v>
      </c>
      <c r="H733" t="s">
        <v>93</v>
      </c>
      <c r="I733" t="s">
        <v>50</v>
      </c>
      <c r="J733">
        <v>4.2</v>
      </c>
      <c r="L733" t="s">
        <v>41</v>
      </c>
      <c r="M733" t="s">
        <v>42</v>
      </c>
      <c r="N733" t="s">
        <v>62</v>
      </c>
      <c r="P733">
        <v>2</v>
      </c>
      <c r="Q733" t="s">
        <v>35</v>
      </c>
      <c r="R733" t="s">
        <v>33</v>
      </c>
      <c r="S733" t="b">
        <v>0</v>
      </c>
      <c r="T733" t="b">
        <v>1</v>
      </c>
      <c r="U733" t="b">
        <v>1</v>
      </c>
      <c r="V733" t="b">
        <v>0</v>
      </c>
      <c r="W733" t="b">
        <v>1</v>
      </c>
      <c r="X733">
        <v>3.7</v>
      </c>
      <c r="Y733">
        <v>5.3</v>
      </c>
      <c r="Z733">
        <v>6</v>
      </c>
      <c r="AA733">
        <v>4.8</v>
      </c>
      <c r="AB733" s="3">
        <v>309.02</v>
      </c>
      <c r="AC733" s="3"/>
      <c r="AD733">
        <v>9</v>
      </c>
      <c r="AE733" t="s">
        <v>37</v>
      </c>
      <c r="AF733" s="4"/>
    </row>
    <row r="734" spans="1:32" x14ac:dyDescent="0.3">
      <c r="A734" t="s">
        <v>825</v>
      </c>
      <c r="B734">
        <v>19</v>
      </c>
      <c r="C734" t="str">
        <f t="shared" si="11"/>
        <v>Teenager</v>
      </c>
      <c r="D734" t="s">
        <v>53</v>
      </c>
      <c r="E734">
        <v>4.3</v>
      </c>
      <c r="G734" t="s">
        <v>60</v>
      </c>
      <c r="H734" t="s">
        <v>200</v>
      </c>
      <c r="I734" t="s">
        <v>71</v>
      </c>
      <c r="J734">
        <v>5.5</v>
      </c>
      <c r="L734" t="s">
        <v>41</v>
      </c>
      <c r="M734" t="s">
        <v>45</v>
      </c>
      <c r="N734" t="s">
        <v>34</v>
      </c>
      <c r="O734">
        <v>1.96</v>
      </c>
      <c r="P734">
        <v>1</v>
      </c>
      <c r="Q734" t="s">
        <v>105</v>
      </c>
      <c r="R734" t="s">
        <v>33</v>
      </c>
      <c r="S734" t="b">
        <v>0</v>
      </c>
      <c r="T734" t="b">
        <v>0</v>
      </c>
      <c r="U734" t="b">
        <v>0</v>
      </c>
      <c r="V734" t="b">
        <v>0</v>
      </c>
      <c r="W734" t="b">
        <v>0</v>
      </c>
      <c r="X734">
        <v>1</v>
      </c>
      <c r="Y734">
        <v>8.1999999999999993</v>
      </c>
      <c r="Z734">
        <v>3</v>
      </c>
      <c r="AA734">
        <v>8.1</v>
      </c>
      <c r="AB734" s="3">
        <v>18.739999999999998</v>
      </c>
      <c r="AC734" s="3"/>
      <c r="AD734">
        <v>4</v>
      </c>
      <c r="AE734" t="s">
        <v>46</v>
      </c>
      <c r="AF734" s="4"/>
    </row>
    <row r="735" spans="1:32" x14ac:dyDescent="0.3">
      <c r="A735" t="s">
        <v>826</v>
      </c>
      <c r="B735">
        <v>23</v>
      </c>
      <c r="C735" t="str">
        <f t="shared" si="11"/>
        <v>Young Adults</v>
      </c>
      <c r="D735" t="s">
        <v>28</v>
      </c>
      <c r="E735">
        <v>5.4</v>
      </c>
      <c r="G735" t="s">
        <v>60</v>
      </c>
      <c r="H735" t="s">
        <v>96</v>
      </c>
      <c r="I735" t="s">
        <v>50</v>
      </c>
      <c r="J735">
        <v>6.7</v>
      </c>
      <c r="L735" t="s">
        <v>43</v>
      </c>
      <c r="M735" t="s">
        <v>45</v>
      </c>
      <c r="N735" t="s">
        <v>62</v>
      </c>
      <c r="P735">
        <v>9</v>
      </c>
      <c r="Q735" t="s">
        <v>66</v>
      </c>
      <c r="R735" t="s">
        <v>36</v>
      </c>
      <c r="S735" t="b">
        <v>0</v>
      </c>
      <c r="T735" t="b">
        <v>0</v>
      </c>
      <c r="U735" t="b">
        <v>0</v>
      </c>
      <c r="V735" t="b">
        <v>1</v>
      </c>
      <c r="W735" t="b">
        <v>0</v>
      </c>
      <c r="X735">
        <v>0</v>
      </c>
      <c r="Y735">
        <v>7.2</v>
      </c>
      <c r="Z735">
        <v>3</v>
      </c>
      <c r="AA735">
        <v>12</v>
      </c>
      <c r="AB735" s="3">
        <v>101.27</v>
      </c>
      <c r="AC735" s="3"/>
      <c r="AD735">
        <v>10</v>
      </c>
      <c r="AE735" t="s">
        <v>46</v>
      </c>
      <c r="AF735" s="4"/>
    </row>
    <row r="736" spans="1:32" x14ac:dyDescent="0.3">
      <c r="A736" t="s">
        <v>827</v>
      </c>
      <c r="B736">
        <v>17</v>
      </c>
      <c r="C736" t="str">
        <f t="shared" si="11"/>
        <v>Teenager</v>
      </c>
      <c r="D736" t="s">
        <v>53</v>
      </c>
      <c r="E736">
        <v>4.4000000000000004</v>
      </c>
      <c r="G736" t="s">
        <v>48</v>
      </c>
      <c r="H736" t="s">
        <v>214</v>
      </c>
      <c r="I736" t="s">
        <v>86</v>
      </c>
      <c r="J736">
        <v>6.1</v>
      </c>
      <c r="L736" t="s">
        <v>41</v>
      </c>
      <c r="M736" t="s">
        <v>36</v>
      </c>
      <c r="N736" t="s">
        <v>51</v>
      </c>
      <c r="O736">
        <v>1.03</v>
      </c>
      <c r="Q736" t="s">
        <v>66</v>
      </c>
      <c r="R736" t="s">
        <v>33</v>
      </c>
      <c r="S736" t="b">
        <v>0</v>
      </c>
      <c r="T736" t="b">
        <v>0</v>
      </c>
      <c r="U736" t="b">
        <v>0</v>
      </c>
      <c r="V736" t="b">
        <v>0</v>
      </c>
      <c r="W736" t="b">
        <v>0</v>
      </c>
      <c r="X736">
        <v>0.3</v>
      </c>
      <c r="Y736">
        <v>9.5</v>
      </c>
      <c r="Z736">
        <v>2</v>
      </c>
      <c r="AA736">
        <v>8.1</v>
      </c>
      <c r="AB736" s="3">
        <v>35.72</v>
      </c>
      <c r="AC736" s="3"/>
      <c r="AD736">
        <v>5</v>
      </c>
      <c r="AE736" t="s">
        <v>46</v>
      </c>
      <c r="AF736" s="4"/>
    </row>
    <row r="737" spans="1:32" x14ac:dyDescent="0.3">
      <c r="A737" t="s">
        <v>828</v>
      </c>
      <c r="B737">
        <v>18</v>
      </c>
      <c r="C737" t="str">
        <f t="shared" si="11"/>
        <v>Teenager</v>
      </c>
      <c r="D737" t="s">
        <v>28</v>
      </c>
      <c r="E737">
        <v>11.4</v>
      </c>
      <c r="G737" t="s">
        <v>60</v>
      </c>
      <c r="H737" t="s">
        <v>200</v>
      </c>
      <c r="I737" t="s">
        <v>86</v>
      </c>
      <c r="J737">
        <v>4.5999999999999996</v>
      </c>
      <c r="L737" t="s">
        <v>32</v>
      </c>
      <c r="M737" t="s">
        <v>33</v>
      </c>
      <c r="N737" t="s">
        <v>34</v>
      </c>
      <c r="O737">
        <v>1.61</v>
      </c>
      <c r="Q737" t="s">
        <v>35</v>
      </c>
      <c r="R737" t="s">
        <v>45</v>
      </c>
      <c r="S737" t="b">
        <v>1</v>
      </c>
      <c r="T737" t="b">
        <v>0</v>
      </c>
      <c r="U737" t="b">
        <v>0</v>
      </c>
      <c r="V737" t="b">
        <v>0</v>
      </c>
      <c r="W737" t="b">
        <v>1</v>
      </c>
      <c r="X737">
        <v>2.5</v>
      </c>
      <c r="Y737">
        <v>5.0999999999999996</v>
      </c>
      <c r="Z737">
        <v>8</v>
      </c>
      <c r="AA737">
        <v>0.2</v>
      </c>
      <c r="AB737" s="3">
        <v>151.46</v>
      </c>
      <c r="AC737" s="3"/>
      <c r="AD737">
        <v>5</v>
      </c>
      <c r="AE737" t="s">
        <v>58</v>
      </c>
      <c r="AF737" s="4"/>
    </row>
    <row r="738" spans="1:32" x14ac:dyDescent="0.3">
      <c r="A738" t="s">
        <v>829</v>
      </c>
      <c r="B738">
        <v>17</v>
      </c>
      <c r="C738" t="str">
        <f t="shared" si="11"/>
        <v>Teenager</v>
      </c>
      <c r="D738" t="s">
        <v>28</v>
      </c>
      <c r="E738">
        <v>8.6</v>
      </c>
      <c r="G738" t="s">
        <v>54</v>
      </c>
      <c r="H738" t="s">
        <v>55</v>
      </c>
      <c r="I738" t="s">
        <v>50</v>
      </c>
      <c r="J738">
        <v>4.9000000000000004</v>
      </c>
      <c r="L738" t="s">
        <v>51</v>
      </c>
      <c r="M738" t="s">
        <v>36</v>
      </c>
      <c r="N738" t="s">
        <v>51</v>
      </c>
      <c r="O738">
        <v>2.95</v>
      </c>
      <c r="Q738" t="s">
        <v>44</v>
      </c>
      <c r="R738" t="s">
        <v>45</v>
      </c>
      <c r="S738" t="b">
        <v>1</v>
      </c>
      <c r="T738" t="b">
        <v>1</v>
      </c>
      <c r="U738" t="b">
        <v>1</v>
      </c>
      <c r="V738" t="b">
        <v>1</v>
      </c>
      <c r="W738" t="b">
        <v>1</v>
      </c>
      <c r="X738">
        <v>2.6</v>
      </c>
      <c r="Y738">
        <v>5.6</v>
      </c>
      <c r="Z738">
        <v>5</v>
      </c>
      <c r="AA738">
        <v>3.8</v>
      </c>
      <c r="AB738" s="3">
        <v>123.19</v>
      </c>
      <c r="AC738" s="3"/>
      <c r="AD738">
        <v>7</v>
      </c>
      <c r="AE738" t="s">
        <v>37</v>
      </c>
      <c r="AF738" s="4"/>
    </row>
    <row r="739" spans="1:32" x14ac:dyDescent="0.3">
      <c r="A739" t="s">
        <v>830</v>
      </c>
      <c r="B739">
        <v>15</v>
      </c>
      <c r="C739" t="str">
        <f t="shared" si="11"/>
        <v>Teenager</v>
      </c>
      <c r="D739" t="s">
        <v>53</v>
      </c>
      <c r="E739">
        <v>7</v>
      </c>
      <c r="G739" t="s">
        <v>82</v>
      </c>
      <c r="H739" t="s">
        <v>167</v>
      </c>
      <c r="I739" t="s">
        <v>31</v>
      </c>
      <c r="J739">
        <v>4</v>
      </c>
      <c r="L739" t="s">
        <v>51</v>
      </c>
      <c r="M739" t="s">
        <v>42</v>
      </c>
      <c r="N739" t="s">
        <v>129</v>
      </c>
      <c r="O739">
        <v>1.93</v>
      </c>
      <c r="Q739" t="s">
        <v>35</v>
      </c>
      <c r="R739" t="s">
        <v>45</v>
      </c>
      <c r="S739" t="b">
        <v>1</v>
      </c>
      <c r="T739" t="b">
        <v>0</v>
      </c>
      <c r="U739" t="b">
        <v>0</v>
      </c>
      <c r="V739" t="b">
        <v>1</v>
      </c>
      <c r="W739" t="b">
        <v>1</v>
      </c>
      <c r="X739">
        <v>0.1</v>
      </c>
      <c r="Y739">
        <v>8.4</v>
      </c>
      <c r="Z739">
        <v>4</v>
      </c>
      <c r="AA739">
        <v>3.7</v>
      </c>
      <c r="AB739" s="3">
        <v>65.22</v>
      </c>
      <c r="AC739" s="3"/>
      <c r="AD739">
        <v>5</v>
      </c>
      <c r="AE739" t="s">
        <v>64</v>
      </c>
      <c r="AF739" s="4"/>
    </row>
    <row r="740" spans="1:32" x14ac:dyDescent="0.3">
      <c r="A740" t="s">
        <v>831</v>
      </c>
      <c r="B740">
        <v>29</v>
      </c>
      <c r="C740" t="str">
        <f t="shared" si="11"/>
        <v>Young Adults</v>
      </c>
      <c r="D740" t="s">
        <v>28</v>
      </c>
      <c r="E740">
        <v>5.8</v>
      </c>
      <c r="G740" t="s">
        <v>76</v>
      </c>
      <c r="H740" t="s">
        <v>110</v>
      </c>
      <c r="I740" t="s">
        <v>71</v>
      </c>
      <c r="J740">
        <v>6.6</v>
      </c>
      <c r="L740" t="s">
        <v>43</v>
      </c>
      <c r="M740" t="s">
        <v>42</v>
      </c>
      <c r="N740" t="s">
        <v>51</v>
      </c>
      <c r="P740">
        <v>1</v>
      </c>
      <c r="Q740" t="s">
        <v>66</v>
      </c>
      <c r="R740" t="s">
        <v>42</v>
      </c>
      <c r="S740" t="b">
        <v>0</v>
      </c>
      <c r="T740" t="b">
        <v>1</v>
      </c>
      <c r="U740" t="b">
        <v>0</v>
      </c>
      <c r="V740" t="b">
        <v>0</v>
      </c>
      <c r="W740" t="b">
        <v>1</v>
      </c>
      <c r="X740">
        <v>0.5</v>
      </c>
      <c r="Y740">
        <v>7.7</v>
      </c>
      <c r="Z740">
        <v>4</v>
      </c>
      <c r="AA740">
        <v>9.5</v>
      </c>
      <c r="AB740" s="3">
        <v>27.31</v>
      </c>
      <c r="AC740" s="3"/>
      <c r="AD740">
        <v>4</v>
      </c>
      <c r="AE740" t="s">
        <v>64</v>
      </c>
      <c r="AF740" s="4"/>
    </row>
    <row r="741" spans="1:32" x14ac:dyDescent="0.3">
      <c r="A741" t="s">
        <v>832</v>
      </c>
      <c r="B741">
        <v>17</v>
      </c>
      <c r="C741" t="str">
        <f t="shared" si="11"/>
        <v>Teenager</v>
      </c>
      <c r="D741" t="s">
        <v>28</v>
      </c>
      <c r="E741">
        <v>6.2</v>
      </c>
      <c r="G741" t="s">
        <v>82</v>
      </c>
      <c r="H741" t="s">
        <v>167</v>
      </c>
      <c r="I741" t="s">
        <v>31</v>
      </c>
      <c r="J741">
        <v>5.4</v>
      </c>
      <c r="L741" t="s">
        <v>51</v>
      </c>
      <c r="M741" t="s">
        <v>42</v>
      </c>
      <c r="N741" t="s">
        <v>62</v>
      </c>
      <c r="O741">
        <v>3.01</v>
      </c>
      <c r="Q741" t="s">
        <v>35</v>
      </c>
      <c r="R741" t="s">
        <v>36</v>
      </c>
      <c r="S741" t="b">
        <v>0</v>
      </c>
      <c r="T741" t="b">
        <v>0</v>
      </c>
      <c r="U741" t="b">
        <v>0</v>
      </c>
      <c r="V741" t="b">
        <v>1</v>
      </c>
      <c r="W741" t="b">
        <v>0</v>
      </c>
      <c r="X741">
        <v>2.2000000000000002</v>
      </c>
      <c r="Y741">
        <v>7</v>
      </c>
      <c r="Z741">
        <v>5</v>
      </c>
      <c r="AA741">
        <v>6.2</v>
      </c>
      <c r="AB741" s="3">
        <v>115.5</v>
      </c>
      <c r="AC741" s="3"/>
      <c r="AD741">
        <v>7</v>
      </c>
      <c r="AE741" t="s">
        <v>46</v>
      </c>
      <c r="AF741" s="4"/>
    </row>
    <row r="742" spans="1:32" x14ac:dyDescent="0.3">
      <c r="A742" t="s">
        <v>833</v>
      </c>
      <c r="B742">
        <v>17</v>
      </c>
      <c r="C742" t="str">
        <f t="shared" si="11"/>
        <v>Teenager</v>
      </c>
      <c r="D742" t="s">
        <v>28</v>
      </c>
      <c r="E742">
        <v>6.3</v>
      </c>
      <c r="G742" t="s">
        <v>76</v>
      </c>
      <c r="H742" t="s">
        <v>126</v>
      </c>
      <c r="I742" t="s">
        <v>31</v>
      </c>
      <c r="J742">
        <v>6.2</v>
      </c>
      <c r="L742" t="s">
        <v>32</v>
      </c>
      <c r="M742" t="s">
        <v>45</v>
      </c>
      <c r="N742" t="s">
        <v>43</v>
      </c>
      <c r="O742">
        <v>2.75</v>
      </c>
      <c r="Q742" t="s">
        <v>80</v>
      </c>
      <c r="R742" t="s">
        <v>33</v>
      </c>
      <c r="S742" t="b">
        <v>0</v>
      </c>
      <c r="T742" t="b">
        <v>0</v>
      </c>
      <c r="U742" t="b">
        <v>0</v>
      </c>
      <c r="V742" t="b">
        <v>1</v>
      </c>
      <c r="W742" t="b">
        <v>1</v>
      </c>
      <c r="X742">
        <v>0.8</v>
      </c>
      <c r="Y742">
        <v>7.9</v>
      </c>
      <c r="Z742">
        <v>3</v>
      </c>
      <c r="AA742">
        <v>7.5</v>
      </c>
      <c r="AB742" s="3">
        <v>35.840000000000003</v>
      </c>
      <c r="AC742" s="3"/>
      <c r="AD742">
        <v>7</v>
      </c>
      <c r="AE742" t="s">
        <v>46</v>
      </c>
      <c r="AF742" s="4"/>
    </row>
    <row r="743" spans="1:32" x14ac:dyDescent="0.3">
      <c r="A743" t="s">
        <v>834</v>
      </c>
      <c r="B743">
        <v>22</v>
      </c>
      <c r="C743" t="str">
        <f t="shared" si="11"/>
        <v>Young Adults</v>
      </c>
      <c r="D743" t="s">
        <v>28</v>
      </c>
      <c r="E743">
        <v>13.5</v>
      </c>
      <c r="G743" t="s">
        <v>48</v>
      </c>
      <c r="H743" t="s">
        <v>214</v>
      </c>
      <c r="I743" t="s">
        <v>86</v>
      </c>
      <c r="J743">
        <v>4.3</v>
      </c>
      <c r="L743" t="s">
        <v>32</v>
      </c>
      <c r="M743" t="s">
        <v>36</v>
      </c>
      <c r="N743" t="s">
        <v>51</v>
      </c>
      <c r="O743">
        <v>1.93</v>
      </c>
      <c r="P743">
        <v>10</v>
      </c>
      <c r="Q743" t="s">
        <v>80</v>
      </c>
      <c r="R743" t="s">
        <v>45</v>
      </c>
      <c r="S743" t="b">
        <v>0</v>
      </c>
      <c r="T743" t="b">
        <v>1</v>
      </c>
      <c r="U743" t="b">
        <v>0</v>
      </c>
      <c r="V743" t="b">
        <v>1</v>
      </c>
      <c r="W743" t="b">
        <v>0</v>
      </c>
      <c r="X743">
        <v>0.8</v>
      </c>
      <c r="Y743">
        <v>2</v>
      </c>
      <c r="Z743">
        <v>10</v>
      </c>
      <c r="AA743">
        <v>0</v>
      </c>
      <c r="AB743" s="3">
        <v>52.68</v>
      </c>
      <c r="AC743" s="3"/>
      <c r="AD743">
        <v>8</v>
      </c>
      <c r="AE743" t="s">
        <v>58</v>
      </c>
      <c r="AF743" s="4"/>
    </row>
    <row r="744" spans="1:32" x14ac:dyDescent="0.3">
      <c r="A744" t="s">
        <v>835</v>
      </c>
      <c r="B744">
        <v>26</v>
      </c>
      <c r="C744" t="str">
        <f t="shared" si="11"/>
        <v>Young Adults</v>
      </c>
      <c r="D744" t="s">
        <v>28</v>
      </c>
      <c r="E744">
        <v>7.4</v>
      </c>
      <c r="G744" t="s">
        <v>29</v>
      </c>
      <c r="H744" t="s">
        <v>73</v>
      </c>
      <c r="I744" t="s">
        <v>31</v>
      </c>
      <c r="J744">
        <v>3</v>
      </c>
      <c r="L744" t="s">
        <v>41</v>
      </c>
      <c r="M744" t="s">
        <v>45</v>
      </c>
      <c r="N744" t="s">
        <v>51</v>
      </c>
      <c r="P744">
        <v>3</v>
      </c>
      <c r="Q744" t="s">
        <v>69</v>
      </c>
      <c r="R744" t="s">
        <v>57</v>
      </c>
      <c r="S744" t="b">
        <v>1</v>
      </c>
      <c r="T744" t="b">
        <v>1</v>
      </c>
      <c r="U744" t="b">
        <v>0</v>
      </c>
      <c r="V744" t="b">
        <v>1</v>
      </c>
      <c r="W744" t="b">
        <v>0</v>
      </c>
      <c r="X744">
        <v>0.8</v>
      </c>
      <c r="Y744">
        <v>7.7</v>
      </c>
      <c r="Z744">
        <v>4</v>
      </c>
      <c r="AA744">
        <v>5</v>
      </c>
      <c r="AB744" s="3">
        <v>75.3</v>
      </c>
      <c r="AC744" s="3"/>
      <c r="AD744">
        <v>2</v>
      </c>
      <c r="AE744" t="s">
        <v>58</v>
      </c>
      <c r="AF744" s="4"/>
    </row>
    <row r="745" spans="1:32" x14ac:dyDescent="0.3">
      <c r="A745" t="s">
        <v>836</v>
      </c>
      <c r="B745">
        <v>20</v>
      </c>
      <c r="C745" t="str">
        <f t="shared" si="11"/>
        <v>Young Adults</v>
      </c>
      <c r="D745" t="s">
        <v>28</v>
      </c>
      <c r="E745">
        <v>1.2</v>
      </c>
      <c r="G745" t="s">
        <v>39</v>
      </c>
      <c r="H745" t="s">
        <v>40</v>
      </c>
      <c r="I745" t="s">
        <v>50</v>
      </c>
      <c r="J745">
        <v>8.1999999999999993</v>
      </c>
      <c r="L745" t="s">
        <v>41</v>
      </c>
      <c r="M745" t="s">
        <v>42</v>
      </c>
      <c r="N745" t="s">
        <v>62</v>
      </c>
      <c r="O745">
        <v>1.86</v>
      </c>
      <c r="P745">
        <v>10</v>
      </c>
      <c r="Q745" t="s">
        <v>80</v>
      </c>
      <c r="R745" t="s">
        <v>42</v>
      </c>
      <c r="S745" t="b">
        <v>0</v>
      </c>
      <c r="T745" t="b">
        <v>0</v>
      </c>
      <c r="U745" t="b">
        <v>0</v>
      </c>
      <c r="V745" t="b">
        <v>0</v>
      </c>
      <c r="W745" t="b">
        <v>0</v>
      </c>
      <c r="X745">
        <v>0.3</v>
      </c>
      <c r="Y745">
        <v>9.6999999999999993</v>
      </c>
      <c r="Z745">
        <v>1</v>
      </c>
      <c r="AA745">
        <v>15.1</v>
      </c>
      <c r="AB745" s="3">
        <v>39.28</v>
      </c>
      <c r="AC745" s="3"/>
      <c r="AD745">
        <v>1</v>
      </c>
      <c r="AE745" t="s">
        <v>46</v>
      </c>
      <c r="AF745" s="4"/>
    </row>
    <row r="746" spans="1:32" x14ac:dyDescent="0.3">
      <c r="A746" t="s">
        <v>837</v>
      </c>
      <c r="B746">
        <v>18</v>
      </c>
      <c r="C746" t="str">
        <f t="shared" si="11"/>
        <v>Teenager</v>
      </c>
      <c r="D746" t="s">
        <v>28</v>
      </c>
      <c r="E746">
        <v>2.2999999999999998</v>
      </c>
      <c r="G746" t="s">
        <v>82</v>
      </c>
      <c r="H746" t="s">
        <v>134</v>
      </c>
      <c r="I746" t="s">
        <v>86</v>
      </c>
      <c r="J746">
        <v>7.4</v>
      </c>
      <c r="L746" t="s">
        <v>41</v>
      </c>
      <c r="M746" t="s">
        <v>45</v>
      </c>
      <c r="N746" t="s">
        <v>84</v>
      </c>
      <c r="O746">
        <v>1.76</v>
      </c>
      <c r="Q746" t="s">
        <v>66</v>
      </c>
      <c r="R746" t="s">
        <v>45</v>
      </c>
      <c r="S746" t="b">
        <v>0</v>
      </c>
      <c r="T746" t="b">
        <v>0</v>
      </c>
      <c r="U746" t="b">
        <v>0</v>
      </c>
      <c r="V746" t="b">
        <v>0</v>
      </c>
      <c r="W746" t="b">
        <v>0</v>
      </c>
      <c r="X746">
        <v>0.6</v>
      </c>
      <c r="Y746">
        <v>10.199999999999999</v>
      </c>
      <c r="Z746">
        <v>2</v>
      </c>
      <c r="AA746">
        <v>12.9</v>
      </c>
      <c r="AB746" s="3">
        <v>35.69</v>
      </c>
      <c r="AC746" s="3"/>
      <c r="AD746">
        <v>6</v>
      </c>
      <c r="AE746" t="s">
        <v>46</v>
      </c>
      <c r="AF746" s="4"/>
    </row>
    <row r="747" spans="1:32" x14ac:dyDescent="0.3">
      <c r="A747" t="s">
        <v>838</v>
      </c>
      <c r="B747">
        <v>22</v>
      </c>
      <c r="C747" t="str">
        <f t="shared" si="11"/>
        <v>Young Adults</v>
      </c>
      <c r="D747" t="s">
        <v>53</v>
      </c>
      <c r="E747">
        <v>4.5999999999999996</v>
      </c>
      <c r="G747" t="s">
        <v>39</v>
      </c>
      <c r="H747" t="s">
        <v>93</v>
      </c>
      <c r="I747" t="s">
        <v>71</v>
      </c>
      <c r="J747">
        <v>6</v>
      </c>
      <c r="L747" t="s">
        <v>41</v>
      </c>
      <c r="M747" t="s">
        <v>36</v>
      </c>
      <c r="N747" t="s">
        <v>84</v>
      </c>
      <c r="O747">
        <v>1.71</v>
      </c>
      <c r="P747">
        <v>2</v>
      </c>
      <c r="Q747" t="s">
        <v>69</v>
      </c>
      <c r="R747" t="s">
        <v>33</v>
      </c>
      <c r="S747" t="b">
        <v>0</v>
      </c>
      <c r="T747" t="b">
        <v>0</v>
      </c>
      <c r="U747" t="b">
        <v>0</v>
      </c>
      <c r="V747" t="b">
        <v>1</v>
      </c>
      <c r="W747" t="b">
        <v>0</v>
      </c>
      <c r="X747">
        <v>0.5</v>
      </c>
      <c r="Y747">
        <v>7.5</v>
      </c>
      <c r="Z747">
        <v>3</v>
      </c>
      <c r="AA747">
        <v>9</v>
      </c>
      <c r="AB747" s="3">
        <v>46.89</v>
      </c>
      <c r="AC747" s="3"/>
      <c r="AD747">
        <v>11</v>
      </c>
      <c r="AE747" t="s">
        <v>46</v>
      </c>
      <c r="AF747" s="4"/>
    </row>
    <row r="748" spans="1:32" x14ac:dyDescent="0.3">
      <c r="A748" t="s">
        <v>839</v>
      </c>
      <c r="B748">
        <v>29</v>
      </c>
      <c r="C748" t="str">
        <f t="shared" si="11"/>
        <v>Young Adults</v>
      </c>
      <c r="D748" t="s">
        <v>28</v>
      </c>
      <c r="E748">
        <v>0.7</v>
      </c>
      <c r="G748" t="s">
        <v>39</v>
      </c>
      <c r="H748" t="s">
        <v>120</v>
      </c>
      <c r="I748" t="s">
        <v>50</v>
      </c>
      <c r="J748">
        <v>7.3</v>
      </c>
      <c r="L748" t="s">
        <v>41</v>
      </c>
      <c r="M748" t="s">
        <v>33</v>
      </c>
      <c r="N748" t="s">
        <v>34</v>
      </c>
      <c r="P748">
        <v>4</v>
      </c>
      <c r="Q748" t="s">
        <v>80</v>
      </c>
      <c r="R748" t="s">
        <v>57</v>
      </c>
      <c r="S748" t="b">
        <v>0</v>
      </c>
      <c r="T748" t="b">
        <v>0</v>
      </c>
      <c r="U748" t="b">
        <v>0</v>
      </c>
      <c r="V748" t="b">
        <v>0</v>
      </c>
      <c r="W748" t="b">
        <v>0</v>
      </c>
      <c r="X748">
        <v>0.3</v>
      </c>
      <c r="Y748">
        <v>8.5</v>
      </c>
      <c r="Z748">
        <v>1</v>
      </c>
      <c r="AA748">
        <v>11.8</v>
      </c>
      <c r="AB748" s="3">
        <v>46.38</v>
      </c>
      <c r="AC748" s="3"/>
      <c r="AD748">
        <v>15</v>
      </c>
      <c r="AE748" t="s">
        <v>46</v>
      </c>
      <c r="AF748" s="4"/>
    </row>
    <row r="749" spans="1:32" x14ac:dyDescent="0.3">
      <c r="A749" t="s">
        <v>840</v>
      </c>
      <c r="B749">
        <v>18</v>
      </c>
      <c r="C749" t="str">
        <f t="shared" si="11"/>
        <v>Teenager</v>
      </c>
      <c r="D749" t="s">
        <v>28</v>
      </c>
      <c r="E749">
        <v>0.6</v>
      </c>
      <c r="G749" t="s">
        <v>29</v>
      </c>
      <c r="H749" t="s">
        <v>104</v>
      </c>
      <c r="I749" t="s">
        <v>71</v>
      </c>
      <c r="J749">
        <v>8.1</v>
      </c>
      <c r="L749" t="s">
        <v>41</v>
      </c>
      <c r="M749" t="s">
        <v>45</v>
      </c>
      <c r="N749" t="s">
        <v>43</v>
      </c>
      <c r="O749">
        <v>1.46</v>
      </c>
      <c r="Q749" t="s">
        <v>66</v>
      </c>
      <c r="R749" t="s">
        <v>57</v>
      </c>
      <c r="S749" t="b">
        <v>0</v>
      </c>
      <c r="T749" t="b">
        <v>0</v>
      </c>
      <c r="U749" t="b">
        <v>0</v>
      </c>
      <c r="V749" t="b">
        <v>0</v>
      </c>
      <c r="W749" t="b">
        <v>0</v>
      </c>
      <c r="X749">
        <v>0.2</v>
      </c>
      <c r="Y749">
        <v>10.8</v>
      </c>
      <c r="Z749">
        <v>1</v>
      </c>
      <c r="AA749">
        <v>13.5</v>
      </c>
      <c r="AB749" s="3">
        <v>36.92</v>
      </c>
      <c r="AC749" s="3"/>
      <c r="AD749">
        <v>8</v>
      </c>
      <c r="AE749" t="s">
        <v>46</v>
      </c>
      <c r="AF749" s="4"/>
    </row>
    <row r="750" spans="1:32" x14ac:dyDescent="0.3">
      <c r="A750" t="s">
        <v>841</v>
      </c>
      <c r="B750">
        <v>19</v>
      </c>
      <c r="C750" t="str">
        <f t="shared" si="11"/>
        <v>Teenager</v>
      </c>
      <c r="D750" t="s">
        <v>28</v>
      </c>
      <c r="E750">
        <v>4.8</v>
      </c>
      <c r="G750" t="s">
        <v>29</v>
      </c>
      <c r="H750" t="s">
        <v>73</v>
      </c>
      <c r="I750" t="s">
        <v>31</v>
      </c>
      <c r="J750">
        <v>6.8</v>
      </c>
      <c r="L750" t="s">
        <v>51</v>
      </c>
      <c r="M750" t="s">
        <v>45</v>
      </c>
      <c r="N750" t="s">
        <v>62</v>
      </c>
      <c r="O750">
        <v>3.46</v>
      </c>
      <c r="P750">
        <v>6</v>
      </c>
      <c r="Q750" t="s">
        <v>69</v>
      </c>
      <c r="R750" t="s">
        <v>42</v>
      </c>
      <c r="S750" t="b">
        <v>0</v>
      </c>
      <c r="T750" t="b">
        <v>0</v>
      </c>
      <c r="U750" t="b">
        <v>0</v>
      </c>
      <c r="V750" t="b">
        <v>1</v>
      </c>
      <c r="W750" t="b">
        <v>0</v>
      </c>
      <c r="X750">
        <v>1.3</v>
      </c>
      <c r="Y750">
        <v>8.4</v>
      </c>
      <c r="Z750">
        <v>3</v>
      </c>
      <c r="AA750">
        <v>11.1</v>
      </c>
      <c r="AB750" s="3">
        <v>47.78</v>
      </c>
      <c r="AC750" s="3"/>
      <c r="AD750">
        <v>4</v>
      </c>
      <c r="AE750" t="s">
        <v>46</v>
      </c>
      <c r="AF750" s="4"/>
    </row>
    <row r="751" spans="1:32" x14ac:dyDescent="0.3">
      <c r="A751" t="s">
        <v>842</v>
      </c>
      <c r="B751">
        <v>23</v>
      </c>
      <c r="C751" t="str">
        <f t="shared" si="11"/>
        <v>Young Adults</v>
      </c>
      <c r="D751" t="s">
        <v>28</v>
      </c>
      <c r="E751">
        <v>5.5</v>
      </c>
      <c r="G751" t="s">
        <v>76</v>
      </c>
      <c r="H751" t="s">
        <v>110</v>
      </c>
      <c r="I751" t="s">
        <v>71</v>
      </c>
      <c r="J751">
        <v>6.3</v>
      </c>
      <c r="L751" t="s">
        <v>51</v>
      </c>
      <c r="M751" t="s">
        <v>36</v>
      </c>
      <c r="N751" t="s">
        <v>51</v>
      </c>
      <c r="P751">
        <v>6</v>
      </c>
      <c r="Q751" t="s">
        <v>121</v>
      </c>
      <c r="R751" t="s">
        <v>42</v>
      </c>
      <c r="S751" t="b">
        <v>0</v>
      </c>
      <c r="T751" t="b">
        <v>0</v>
      </c>
      <c r="U751" t="b">
        <v>0</v>
      </c>
      <c r="V751" t="b">
        <v>1</v>
      </c>
      <c r="W751" t="b">
        <v>1</v>
      </c>
      <c r="X751">
        <v>1.7</v>
      </c>
      <c r="Y751">
        <v>6.6</v>
      </c>
      <c r="Z751">
        <v>4</v>
      </c>
      <c r="AA751">
        <v>7.6</v>
      </c>
      <c r="AB751" s="3">
        <v>51.25</v>
      </c>
      <c r="AC751" s="3"/>
      <c r="AD751">
        <v>8</v>
      </c>
      <c r="AE751" t="s">
        <v>46</v>
      </c>
      <c r="AF751" s="4"/>
    </row>
    <row r="752" spans="1:32" x14ac:dyDescent="0.3">
      <c r="A752" t="s">
        <v>843</v>
      </c>
      <c r="B752">
        <v>18</v>
      </c>
      <c r="C752" t="str">
        <f t="shared" si="11"/>
        <v>Teenager</v>
      </c>
      <c r="D752" t="s">
        <v>28</v>
      </c>
      <c r="E752">
        <v>6.3</v>
      </c>
      <c r="G752" t="s">
        <v>54</v>
      </c>
      <c r="H752" t="s">
        <v>55</v>
      </c>
      <c r="I752" t="s">
        <v>50</v>
      </c>
      <c r="J752">
        <v>5.6</v>
      </c>
      <c r="L752" t="s">
        <v>43</v>
      </c>
      <c r="M752" t="s">
        <v>36</v>
      </c>
      <c r="N752" t="s">
        <v>43</v>
      </c>
      <c r="O752">
        <v>1.02</v>
      </c>
      <c r="Q752" t="s">
        <v>44</v>
      </c>
      <c r="R752" t="s">
        <v>45</v>
      </c>
      <c r="S752" t="b">
        <v>0</v>
      </c>
      <c r="T752" t="b">
        <v>1</v>
      </c>
      <c r="U752" t="b">
        <v>0</v>
      </c>
      <c r="V752" t="b">
        <v>1</v>
      </c>
      <c r="W752" t="b">
        <v>0</v>
      </c>
      <c r="X752">
        <v>0.7</v>
      </c>
      <c r="Y752">
        <v>5.8</v>
      </c>
      <c r="Z752">
        <v>4</v>
      </c>
      <c r="AA752">
        <v>10.8</v>
      </c>
      <c r="AB752" s="3">
        <v>10.47</v>
      </c>
      <c r="AC752" s="3"/>
      <c r="AD752">
        <v>5</v>
      </c>
      <c r="AE752" t="s">
        <v>64</v>
      </c>
      <c r="AF752" s="4"/>
    </row>
    <row r="753" spans="1:32" x14ac:dyDescent="0.3">
      <c r="A753" t="s">
        <v>844</v>
      </c>
      <c r="B753">
        <v>21</v>
      </c>
      <c r="C753" t="str">
        <f t="shared" si="11"/>
        <v>Young Adults</v>
      </c>
      <c r="D753" t="s">
        <v>28</v>
      </c>
      <c r="E753">
        <v>11.9</v>
      </c>
      <c r="G753" t="s">
        <v>82</v>
      </c>
      <c r="H753" t="s">
        <v>83</v>
      </c>
      <c r="I753" t="s">
        <v>71</v>
      </c>
      <c r="J753">
        <v>4.2</v>
      </c>
      <c r="L753" t="s">
        <v>51</v>
      </c>
      <c r="M753" t="s">
        <v>74</v>
      </c>
      <c r="N753" t="s">
        <v>51</v>
      </c>
      <c r="O753">
        <v>3.34</v>
      </c>
      <c r="P753">
        <v>3</v>
      </c>
      <c r="Q753" t="s">
        <v>35</v>
      </c>
      <c r="R753" t="s">
        <v>36</v>
      </c>
      <c r="S753" t="b">
        <v>1</v>
      </c>
      <c r="T753" t="b">
        <v>1</v>
      </c>
      <c r="U753" t="b">
        <v>1</v>
      </c>
      <c r="V753" t="b">
        <v>1</v>
      </c>
      <c r="W753" t="b">
        <v>1</v>
      </c>
      <c r="X753">
        <v>2.6</v>
      </c>
      <c r="Y753">
        <v>4.0999999999999996</v>
      </c>
      <c r="Z753">
        <v>8</v>
      </c>
      <c r="AA753">
        <v>2.6</v>
      </c>
      <c r="AB753" s="3">
        <v>374.32</v>
      </c>
      <c r="AC753" s="3"/>
      <c r="AD753">
        <v>10</v>
      </c>
      <c r="AE753" t="s">
        <v>37</v>
      </c>
      <c r="AF753" s="4"/>
    </row>
    <row r="754" spans="1:32" x14ac:dyDescent="0.3">
      <c r="A754" t="s">
        <v>845</v>
      </c>
      <c r="B754">
        <v>21</v>
      </c>
      <c r="C754" t="str">
        <f t="shared" si="11"/>
        <v>Young Adults</v>
      </c>
      <c r="D754" t="s">
        <v>28</v>
      </c>
      <c r="E754">
        <v>4.0999999999999996</v>
      </c>
      <c r="G754" t="s">
        <v>54</v>
      </c>
      <c r="H754" t="s">
        <v>89</v>
      </c>
      <c r="I754" t="s">
        <v>31</v>
      </c>
      <c r="J754">
        <v>5.2</v>
      </c>
      <c r="L754" t="s">
        <v>41</v>
      </c>
      <c r="M754" t="s">
        <v>74</v>
      </c>
      <c r="N754" t="s">
        <v>43</v>
      </c>
      <c r="O754">
        <v>2.63</v>
      </c>
      <c r="P754">
        <v>9</v>
      </c>
      <c r="Q754" t="s">
        <v>69</v>
      </c>
      <c r="R754" t="s">
        <v>45</v>
      </c>
      <c r="S754" t="b">
        <v>0</v>
      </c>
      <c r="T754" t="b">
        <v>0</v>
      </c>
      <c r="U754" t="b">
        <v>0</v>
      </c>
      <c r="V754" t="b">
        <v>0</v>
      </c>
      <c r="W754" t="b">
        <v>0</v>
      </c>
      <c r="X754">
        <v>1.3</v>
      </c>
      <c r="Y754">
        <v>8.6999999999999993</v>
      </c>
      <c r="Z754">
        <v>3</v>
      </c>
      <c r="AA754">
        <v>11.2</v>
      </c>
      <c r="AB754" s="3">
        <v>45.63</v>
      </c>
      <c r="AC754" s="3"/>
      <c r="AD754">
        <v>2</v>
      </c>
      <c r="AE754" t="s">
        <v>46</v>
      </c>
      <c r="AF754" s="4"/>
    </row>
    <row r="755" spans="1:32" x14ac:dyDescent="0.3">
      <c r="A755" t="s">
        <v>846</v>
      </c>
      <c r="B755">
        <v>19</v>
      </c>
      <c r="C755" t="str">
        <f t="shared" si="11"/>
        <v>Teenager</v>
      </c>
      <c r="D755" t="s">
        <v>53</v>
      </c>
      <c r="E755">
        <v>0.8</v>
      </c>
      <c r="G755" t="s">
        <v>48</v>
      </c>
      <c r="H755" t="s">
        <v>68</v>
      </c>
      <c r="I755" t="s">
        <v>31</v>
      </c>
      <c r="J755">
        <v>7.4</v>
      </c>
      <c r="L755" t="s">
        <v>41</v>
      </c>
      <c r="M755" t="s">
        <v>33</v>
      </c>
      <c r="N755" t="s">
        <v>43</v>
      </c>
      <c r="O755">
        <v>1.43</v>
      </c>
      <c r="P755">
        <v>2</v>
      </c>
      <c r="Q755" t="s">
        <v>66</v>
      </c>
      <c r="R755" t="s">
        <v>33</v>
      </c>
      <c r="S755" t="b">
        <v>0</v>
      </c>
      <c r="T755" t="b">
        <v>0</v>
      </c>
      <c r="U755" t="b">
        <v>0</v>
      </c>
      <c r="V755" t="b">
        <v>0</v>
      </c>
      <c r="W755" t="b">
        <v>0</v>
      </c>
      <c r="X755">
        <v>0.1</v>
      </c>
      <c r="Y755">
        <v>8.8000000000000007</v>
      </c>
      <c r="Z755">
        <v>1</v>
      </c>
      <c r="AA755">
        <v>11.8</v>
      </c>
      <c r="AB755" s="3">
        <v>35.119999999999997</v>
      </c>
      <c r="AC755" s="3"/>
      <c r="AD755">
        <v>3</v>
      </c>
      <c r="AE755" t="s">
        <v>46</v>
      </c>
      <c r="AF755" s="4"/>
    </row>
    <row r="756" spans="1:32" x14ac:dyDescent="0.3">
      <c r="A756" t="s">
        <v>847</v>
      </c>
      <c r="B756">
        <v>17</v>
      </c>
      <c r="C756" t="str">
        <f t="shared" si="11"/>
        <v>Teenager</v>
      </c>
      <c r="D756" t="s">
        <v>53</v>
      </c>
      <c r="E756">
        <v>3.7</v>
      </c>
      <c r="G756" t="s">
        <v>82</v>
      </c>
      <c r="H756" t="s">
        <v>83</v>
      </c>
      <c r="I756" t="s">
        <v>31</v>
      </c>
      <c r="J756">
        <v>5.5</v>
      </c>
      <c r="L756" t="s">
        <v>41</v>
      </c>
      <c r="M756" t="s">
        <v>42</v>
      </c>
      <c r="N756" t="s">
        <v>62</v>
      </c>
      <c r="O756">
        <v>1.86</v>
      </c>
      <c r="Q756" t="s">
        <v>69</v>
      </c>
      <c r="R756" t="s">
        <v>57</v>
      </c>
      <c r="S756" t="b">
        <v>0</v>
      </c>
      <c r="T756" t="b">
        <v>0</v>
      </c>
      <c r="U756" t="b">
        <v>0</v>
      </c>
      <c r="V756" t="b">
        <v>0</v>
      </c>
      <c r="W756" t="b">
        <v>0</v>
      </c>
      <c r="X756">
        <v>0.1</v>
      </c>
      <c r="Y756">
        <v>6.3</v>
      </c>
      <c r="Z756">
        <v>1</v>
      </c>
      <c r="AA756">
        <v>11</v>
      </c>
      <c r="AB756" s="3">
        <v>22.33</v>
      </c>
      <c r="AC756" s="3"/>
      <c r="AD756">
        <v>7</v>
      </c>
      <c r="AE756" t="s">
        <v>46</v>
      </c>
      <c r="AF756" s="4"/>
    </row>
    <row r="757" spans="1:32" x14ac:dyDescent="0.3">
      <c r="A757" t="s">
        <v>848</v>
      </c>
      <c r="B757">
        <v>23</v>
      </c>
      <c r="C757" t="str">
        <f t="shared" si="11"/>
        <v>Young Adults</v>
      </c>
      <c r="D757" t="s">
        <v>28</v>
      </c>
      <c r="E757">
        <v>11</v>
      </c>
      <c r="G757" t="s">
        <v>39</v>
      </c>
      <c r="H757" t="s">
        <v>93</v>
      </c>
      <c r="I757" t="s">
        <v>50</v>
      </c>
      <c r="J757">
        <v>3.4</v>
      </c>
      <c r="L757" t="s">
        <v>32</v>
      </c>
      <c r="M757" t="s">
        <v>74</v>
      </c>
      <c r="N757" t="s">
        <v>51</v>
      </c>
      <c r="P757">
        <v>6</v>
      </c>
      <c r="Q757" t="s">
        <v>80</v>
      </c>
      <c r="R757" t="s">
        <v>33</v>
      </c>
      <c r="S757" t="b">
        <v>1</v>
      </c>
      <c r="T757" t="b">
        <v>1</v>
      </c>
      <c r="U757" t="b">
        <v>0</v>
      </c>
      <c r="V757" t="b">
        <v>1</v>
      </c>
      <c r="W757" t="b">
        <v>1</v>
      </c>
      <c r="X757">
        <v>2.5</v>
      </c>
      <c r="Y757">
        <v>4.5</v>
      </c>
      <c r="Z757">
        <v>7</v>
      </c>
      <c r="AA757">
        <v>0</v>
      </c>
      <c r="AB757" s="3">
        <v>144.47</v>
      </c>
      <c r="AC757" s="3"/>
      <c r="AD757">
        <v>8</v>
      </c>
      <c r="AE757" t="s">
        <v>37</v>
      </c>
      <c r="AF757" s="4"/>
    </row>
    <row r="758" spans="1:32" x14ac:dyDescent="0.3">
      <c r="A758" t="s">
        <v>849</v>
      </c>
      <c r="B758">
        <v>27</v>
      </c>
      <c r="C758" t="str">
        <f t="shared" si="11"/>
        <v>Young Adults</v>
      </c>
      <c r="D758" t="s">
        <v>28</v>
      </c>
      <c r="E758">
        <v>1.5</v>
      </c>
      <c r="G758" t="s">
        <v>48</v>
      </c>
      <c r="H758" t="s">
        <v>128</v>
      </c>
      <c r="I758" t="s">
        <v>86</v>
      </c>
      <c r="J758">
        <v>9</v>
      </c>
      <c r="L758" t="s">
        <v>43</v>
      </c>
      <c r="M758" t="s">
        <v>33</v>
      </c>
      <c r="N758" t="s">
        <v>62</v>
      </c>
      <c r="P758">
        <v>3</v>
      </c>
      <c r="Q758" t="s">
        <v>69</v>
      </c>
      <c r="R758" t="s">
        <v>45</v>
      </c>
      <c r="S758" t="b">
        <v>0</v>
      </c>
      <c r="T758" t="b">
        <v>0</v>
      </c>
      <c r="U758" t="b">
        <v>0</v>
      </c>
      <c r="V758" t="b">
        <v>0</v>
      </c>
      <c r="W758" t="b">
        <v>0</v>
      </c>
      <c r="X758">
        <v>0.5</v>
      </c>
      <c r="Y758">
        <v>10.4</v>
      </c>
      <c r="Z758">
        <v>1</v>
      </c>
      <c r="AA758">
        <v>12</v>
      </c>
      <c r="AB758" s="3">
        <v>10.08</v>
      </c>
      <c r="AC758" s="3"/>
      <c r="AD758">
        <v>12</v>
      </c>
      <c r="AE758" t="s">
        <v>46</v>
      </c>
      <c r="AF758" s="4"/>
    </row>
    <row r="759" spans="1:32" x14ac:dyDescent="0.3">
      <c r="A759" t="s">
        <v>850</v>
      </c>
      <c r="B759">
        <v>17</v>
      </c>
      <c r="C759" t="str">
        <f t="shared" si="11"/>
        <v>Teenager</v>
      </c>
      <c r="D759" t="s">
        <v>28</v>
      </c>
      <c r="E759">
        <v>6.6</v>
      </c>
      <c r="G759" t="s">
        <v>29</v>
      </c>
      <c r="H759" t="s">
        <v>30</v>
      </c>
      <c r="I759" t="s">
        <v>31</v>
      </c>
      <c r="J759">
        <v>3.7</v>
      </c>
      <c r="L759" t="s">
        <v>51</v>
      </c>
      <c r="M759" t="s">
        <v>74</v>
      </c>
      <c r="N759" t="s">
        <v>34</v>
      </c>
      <c r="O759">
        <v>1.5</v>
      </c>
      <c r="Q759" t="s">
        <v>63</v>
      </c>
      <c r="R759" t="s">
        <v>42</v>
      </c>
      <c r="S759" t="b">
        <v>1</v>
      </c>
      <c r="T759" t="b">
        <v>1</v>
      </c>
      <c r="U759" t="b">
        <v>0</v>
      </c>
      <c r="V759" t="b">
        <v>1</v>
      </c>
      <c r="W759" t="b">
        <v>1</v>
      </c>
      <c r="X759">
        <v>1.2</v>
      </c>
      <c r="Y759">
        <v>5.5</v>
      </c>
      <c r="Z759">
        <v>6</v>
      </c>
      <c r="AA759">
        <v>5.3</v>
      </c>
      <c r="AB759" s="3">
        <v>29.91</v>
      </c>
      <c r="AC759" s="3"/>
      <c r="AD759">
        <v>7</v>
      </c>
      <c r="AE759" t="s">
        <v>58</v>
      </c>
      <c r="AF759" s="4"/>
    </row>
    <row r="760" spans="1:32" x14ac:dyDescent="0.3">
      <c r="A760" t="s">
        <v>851</v>
      </c>
      <c r="B760">
        <v>16</v>
      </c>
      <c r="C760" t="str">
        <f t="shared" si="11"/>
        <v>Teenager</v>
      </c>
      <c r="D760" t="s">
        <v>53</v>
      </c>
      <c r="E760">
        <v>5.9</v>
      </c>
      <c r="G760" t="s">
        <v>54</v>
      </c>
      <c r="H760" t="s">
        <v>55</v>
      </c>
      <c r="I760" t="s">
        <v>71</v>
      </c>
      <c r="J760">
        <v>6.6</v>
      </c>
      <c r="L760" t="s">
        <v>41</v>
      </c>
      <c r="M760" t="s">
        <v>74</v>
      </c>
      <c r="N760" t="s">
        <v>34</v>
      </c>
      <c r="O760">
        <v>1.77</v>
      </c>
      <c r="Q760" t="s">
        <v>35</v>
      </c>
      <c r="R760" t="s">
        <v>33</v>
      </c>
      <c r="S760" t="b">
        <v>0</v>
      </c>
      <c r="T760" t="b">
        <v>1</v>
      </c>
      <c r="U760" t="b">
        <v>0</v>
      </c>
      <c r="V760" t="b">
        <v>1</v>
      </c>
      <c r="W760" t="b">
        <v>1</v>
      </c>
      <c r="X760">
        <v>0.2</v>
      </c>
      <c r="Y760">
        <v>5.9</v>
      </c>
      <c r="Z760">
        <v>3</v>
      </c>
      <c r="AA760">
        <v>6.5</v>
      </c>
      <c r="AB760" s="3">
        <v>19.38</v>
      </c>
      <c r="AC760" s="3"/>
      <c r="AD760">
        <v>2</v>
      </c>
      <c r="AE760" t="s">
        <v>64</v>
      </c>
      <c r="AF760" s="4"/>
    </row>
    <row r="761" spans="1:32" x14ac:dyDescent="0.3">
      <c r="A761" t="s">
        <v>852</v>
      </c>
      <c r="B761">
        <v>33</v>
      </c>
      <c r="C761" t="str">
        <f t="shared" si="11"/>
        <v>Old Adults</v>
      </c>
      <c r="D761" t="s">
        <v>53</v>
      </c>
      <c r="E761">
        <v>5.5</v>
      </c>
      <c r="G761" t="s">
        <v>39</v>
      </c>
      <c r="H761" t="s">
        <v>93</v>
      </c>
      <c r="I761" t="s">
        <v>31</v>
      </c>
      <c r="J761">
        <v>6.1</v>
      </c>
      <c r="L761" t="s">
        <v>43</v>
      </c>
      <c r="M761" t="s">
        <v>36</v>
      </c>
      <c r="N761" t="s">
        <v>34</v>
      </c>
      <c r="P761">
        <v>5</v>
      </c>
      <c r="Q761" t="s">
        <v>66</v>
      </c>
      <c r="R761" t="s">
        <v>36</v>
      </c>
      <c r="S761" t="b">
        <v>0</v>
      </c>
      <c r="T761" t="b">
        <v>1</v>
      </c>
      <c r="U761" t="b">
        <v>0</v>
      </c>
      <c r="V761" t="b">
        <v>0</v>
      </c>
      <c r="W761" t="b">
        <v>0</v>
      </c>
      <c r="X761">
        <v>1.4</v>
      </c>
      <c r="Y761">
        <v>8.1</v>
      </c>
      <c r="Z761">
        <v>3</v>
      </c>
      <c r="AA761">
        <v>6.4</v>
      </c>
      <c r="AB761" s="3">
        <v>82.37</v>
      </c>
      <c r="AC761" s="3"/>
      <c r="AD761">
        <v>6</v>
      </c>
      <c r="AE761" t="s">
        <v>64</v>
      </c>
      <c r="AF761" s="4"/>
    </row>
    <row r="762" spans="1:32" x14ac:dyDescent="0.3">
      <c r="A762" t="s">
        <v>853</v>
      </c>
      <c r="B762">
        <v>16</v>
      </c>
      <c r="C762" t="str">
        <f t="shared" si="11"/>
        <v>Teenager</v>
      </c>
      <c r="D762" t="s">
        <v>28</v>
      </c>
      <c r="E762">
        <v>11.4</v>
      </c>
      <c r="G762" t="s">
        <v>39</v>
      </c>
      <c r="H762" t="s">
        <v>93</v>
      </c>
      <c r="I762" t="s">
        <v>71</v>
      </c>
      <c r="J762">
        <v>3</v>
      </c>
      <c r="L762" t="s">
        <v>51</v>
      </c>
      <c r="M762" t="s">
        <v>74</v>
      </c>
      <c r="N762" t="s">
        <v>34</v>
      </c>
      <c r="O762">
        <v>3.91</v>
      </c>
      <c r="Q762" t="s">
        <v>35</v>
      </c>
      <c r="R762" t="s">
        <v>33</v>
      </c>
      <c r="S762" t="b">
        <v>1</v>
      </c>
      <c r="T762" t="b">
        <v>0</v>
      </c>
      <c r="U762" t="b">
        <v>1</v>
      </c>
      <c r="V762" t="b">
        <v>0</v>
      </c>
      <c r="W762" t="b">
        <v>1</v>
      </c>
      <c r="X762">
        <v>1.5</v>
      </c>
      <c r="Y762">
        <v>5.6</v>
      </c>
      <c r="Z762">
        <v>7</v>
      </c>
      <c r="AA762">
        <v>3.1</v>
      </c>
      <c r="AB762" s="3">
        <v>73.87</v>
      </c>
      <c r="AC762" s="3"/>
      <c r="AD762">
        <v>2</v>
      </c>
      <c r="AE762" t="s">
        <v>37</v>
      </c>
      <c r="AF762" s="4"/>
    </row>
    <row r="763" spans="1:32" x14ac:dyDescent="0.3">
      <c r="A763" t="s">
        <v>854</v>
      </c>
      <c r="B763">
        <v>18</v>
      </c>
      <c r="C763" t="str">
        <f t="shared" si="11"/>
        <v>Teenager</v>
      </c>
      <c r="D763" t="s">
        <v>53</v>
      </c>
      <c r="E763">
        <v>2.7</v>
      </c>
      <c r="G763" t="s">
        <v>76</v>
      </c>
      <c r="H763" t="s">
        <v>126</v>
      </c>
      <c r="I763" t="s">
        <v>50</v>
      </c>
      <c r="J763">
        <v>8.6</v>
      </c>
      <c r="L763" t="s">
        <v>43</v>
      </c>
      <c r="M763" t="s">
        <v>45</v>
      </c>
      <c r="N763" t="s">
        <v>84</v>
      </c>
      <c r="O763">
        <v>3.85</v>
      </c>
      <c r="Q763" t="s">
        <v>66</v>
      </c>
      <c r="R763" t="s">
        <v>45</v>
      </c>
      <c r="S763" t="b">
        <v>0</v>
      </c>
      <c r="T763" t="b">
        <v>0</v>
      </c>
      <c r="U763" t="b">
        <v>0</v>
      </c>
      <c r="V763" t="b">
        <v>0</v>
      </c>
      <c r="W763" t="b">
        <v>0</v>
      </c>
      <c r="X763">
        <v>0.1</v>
      </c>
      <c r="Y763">
        <v>6.9</v>
      </c>
      <c r="Z763">
        <v>1</v>
      </c>
      <c r="AA763">
        <v>9.6999999999999993</v>
      </c>
      <c r="AB763" s="3">
        <v>42.45</v>
      </c>
      <c r="AC763" s="3"/>
      <c r="AD763">
        <v>3</v>
      </c>
      <c r="AE763" t="s">
        <v>46</v>
      </c>
      <c r="AF763" s="4"/>
    </row>
    <row r="764" spans="1:32" x14ac:dyDescent="0.3">
      <c r="A764" t="s">
        <v>855</v>
      </c>
      <c r="B764">
        <v>22</v>
      </c>
      <c r="C764" t="str">
        <f t="shared" si="11"/>
        <v>Young Adults</v>
      </c>
      <c r="D764" t="s">
        <v>28</v>
      </c>
      <c r="E764">
        <v>5.5</v>
      </c>
      <c r="G764" t="s">
        <v>48</v>
      </c>
      <c r="H764" t="s">
        <v>128</v>
      </c>
      <c r="I764" t="s">
        <v>71</v>
      </c>
      <c r="J764">
        <v>6</v>
      </c>
      <c r="L764" t="s">
        <v>78</v>
      </c>
      <c r="M764" t="s">
        <v>45</v>
      </c>
      <c r="N764" t="s">
        <v>62</v>
      </c>
      <c r="O764">
        <v>1.06</v>
      </c>
      <c r="P764">
        <v>1</v>
      </c>
      <c r="Q764" t="s">
        <v>66</v>
      </c>
      <c r="R764" t="s">
        <v>36</v>
      </c>
      <c r="S764" t="b">
        <v>0</v>
      </c>
      <c r="T764" t="b">
        <v>0</v>
      </c>
      <c r="U764" t="b">
        <v>0</v>
      </c>
      <c r="V764" t="b">
        <v>1</v>
      </c>
      <c r="W764" t="b">
        <v>0</v>
      </c>
      <c r="X764">
        <v>0.8</v>
      </c>
      <c r="Y764">
        <v>8.8000000000000007</v>
      </c>
      <c r="Z764">
        <v>3</v>
      </c>
      <c r="AA764">
        <v>9.6</v>
      </c>
      <c r="AB764" s="3">
        <v>91.34</v>
      </c>
      <c r="AC764" s="3"/>
      <c r="AD764">
        <v>10</v>
      </c>
      <c r="AE764" t="s">
        <v>46</v>
      </c>
      <c r="AF764" s="4"/>
    </row>
    <row r="765" spans="1:32" x14ac:dyDescent="0.3">
      <c r="A765" t="s">
        <v>856</v>
      </c>
      <c r="B765">
        <v>15</v>
      </c>
      <c r="C765" t="str">
        <f t="shared" si="11"/>
        <v>Teenager</v>
      </c>
      <c r="D765" t="s">
        <v>28</v>
      </c>
      <c r="E765">
        <v>7.3</v>
      </c>
      <c r="G765" t="s">
        <v>39</v>
      </c>
      <c r="H765" t="s">
        <v>120</v>
      </c>
      <c r="I765" t="s">
        <v>86</v>
      </c>
      <c r="J765">
        <v>4.5</v>
      </c>
      <c r="L765" t="s">
        <v>32</v>
      </c>
      <c r="M765" t="s">
        <v>36</v>
      </c>
      <c r="N765" t="s">
        <v>62</v>
      </c>
      <c r="O765">
        <v>2.89</v>
      </c>
      <c r="Q765" t="s">
        <v>35</v>
      </c>
      <c r="R765" t="s">
        <v>57</v>
      </c>
      <c r="S765" t="b">
        <v>1</v>
      </c>
      <c r="T765" t="b">
        <v>1</v>
      </c>
      <c r="U765" t="b">
        <v>0</v>
      </c>
      <c r="V765" t="b">
        <v>1</v>
      </c>
      <c r="W765" t="b">
        <v>1</v>
      </c>
      <c r="X765">
        <v>1.6</v>
      </c>
      <c r="Y765">
        <v>4.9000000000000004</v>
      </c>
      <c r="Z765">
        <v>5</v>
      </c>
      <c r="AA765">
        <v>6</v>
      </c>
      <c r="AB765" s="3">
        <v>115.77</v>
      </c>
      <c r="AC765" s="3"/>
      <c r="AD765">
        <v>1</v>
      </c>
      <c r="AE765" t="s">
        <v>58</v>
      </c>
      <c r="AF765" s="4"/>
    </row>
    <row r="766" spans="1:32" x14ac:dyDescent="0.3">
      <c r="A766" t="s">
        <v>857</v>
      </c>
      <c r="B766">
        <v>24</v>
      </c>
      <c r="C766" t="str">
        <f t="shared" si="11"/>
        <v>Young Adults</v>
      </c>
      <c r="D766" t="s">
        <v>28</v>
      </c>
      <c r="E766">
        <v>7.7</v>
      </c>
      <c r="G766" t="s">
        <v>76</v>
      </c>
      <c r="H766" t="s">
        <v>110</v>
      </c>
      <c r="I766" t="s">
        <v>86</v>
      </c>
      <c r="J766">
        <v>3.2</v>
      </c>
      <c r="L766" t="s">
        <v>51</v>
      </c>
      <c r="M766" t="s">
        <v>45</v>
      </c>
      <c r="N766" t="s">
        <v>129</v>
      </c>
      <c r="P766">
        <v>8</v>
      </c>
      <c r="Q766" t="s">
        <v>69</v>
      </c>
      <c r="R766" t="s">
        <v>33</v>
      </c>
      <c r="S766" t="b">
        <v>1</v>
      </c>
      <c r="T766" t="b">
        <v>1</v>
      </c>
      <c r="U766" t="b">
        <v>0</v>
      </c>
      <c r="V766" t="b">
        <v>1</v>
      </c>
      <c r="W766" t="b">
        <v>1</v>
      </c>
      <c r="X766">
        <v>1</v>
      </c>
      <c r="Y766">
        <v>5.7</v>
      </c>
      <c r="Z766">
        <v>3</v>
      </c>
      <c r="AA766">
        <v>4</v>
      </c>
      <c r="AB766" s="3">
        <v>30.64</v>
      </c>
      <c r="AC766" s="3"/>
      <c r="AD766">
        <v>7</v>
      </c>
      <c r="AE766" t="s">
        <v>58</v>
      </c>
      <c r="AF766" s="4"/>
    </row>
    <row r="767" spans="1:32" x14ac:dyDescent="0.3">
      <c r="A767" t="s">
        <v>858</v>
      </c>
      <c r="B767">
        <v>19</v>
      </c>
      <c r="C767" t="str">
        <f t="shared" si="11"/>
        <v>Teenager</v>
      </c>
      <c r="D767" t="s">
        <v>53</v>
      </c>
      <c r="E767">
        <v>8.3000000000000007</v>
      </c>
      <c r="G767" t="s">
        <v>60</v>
      </c>
      <c r="H767" t="s">
        <v>61</v>
      </c>
      <c r="I767" t="s">
        <v>71</v>
      </c>
      <c r="J767">
        <v>5.5</v>
      </c>
      <c r="L767" t="s">
        <v>51</v>
      </c>
      <c r="M767" t="s">
        <v>74</v>
      </c>
      <c r="N767" t="s">
        <v>62</v>
      </c>
      <c r="O767">
        <v>1.44</v>
      </c>
      <c r="P767">
        <v>10</v>
      </c>
      <c r="Q767" t="s">
        <v>80</v>
      </c>
      <c r="R767" t="s">
        <v>33</v>
      </c>
      <c r="S767" t="b">
        <v>1</v>
      </c>
      <c r="T767" t="b">
        <v>1</v>
      </c>
      <c r="U767" t="b">
        <v>1</v>
      </c>
      <c r="V767" t="b">
        <v>0</v>
      </c>
      <c r="W767" t="b">
        <v>1</v>
      </c>
      <c r="X767">
        <v>1.4</v>
      </c>
      <c r="Y767">
        <v>4.4000000000000004</v>
      </c>
      <c r="Z767">
        <v>5</v>
      </c>
      <c r="AA767">
        <v>8.1999999999999993</v>
      </c>
      <c r="AB767" s="3">
        <v>10.32</v>
      </c>
      <c r="AC767" s="3"/>
      <c r="AD767">
        <v>4</v>
      </c>
      <c r="AE767" t="s">
        <v>37</v>
      </c>
      <c r="AF767" s="4"/>
    </row>
    <row r="768" spans="1:32" x14ac:dyDescent="0.3">
      <c r="A768" t="s">
        <v>859</v>
      </c>
      <c r="B768">
        <v>19</v>
      </c>
      <c r="C768" t="str">
        <f t="shared" si="11"/>
        <v>Teenager</v>
      </c>
      <c r="D768" t="s">
        <v>28</v>
      </c>
      <c r="E768">
        <v>9.5</v>
      </c>
      <c r="G768" t="s">
        <v>76</v>
      </c>
      <c r="H768" t="s">
        <v>126</v>
      </c>
      <c r="I768" t="s">
        <v>50</v>
      </c>
      <c r="J768">
        <v>4.5999999999999996</v>
      </c>
      <c r="L768" t="s">
        <v>32</v>
      </c>
      <c r="M768" t="s">
        <v>45</v>
      </c>
      <c r="N768" t="s">
        <v>34</v>
      </c>
      <c r="O768">
        <v>3.65</v>
      </c>
      <c r="P768">
        <v>1</v>
      </c>
      <c r="Q768" t="s">
        <v>66</v>
      </c>
      <c r="R768" t="s">
        <v>57</v>
      </c>
      <c r="S768" t="b">
        <v>1</v>
      </c>
      <c r="T768" t="b">
        <v>0</v>
      </c>
      <c r="U768" t="b">
        <v>0</v>
      </c>
      <c r="V768" t="b">
        <v>0</v>
      </c>
      <c r="W768" t="b">
        <v>1</v>
      </c>
      <c r="X768">
        <v>3.4</v>
      </c>
      <c r="Y768">
        <v>3.7</v>
      </c>
      <c r="Z768">
        <v>6</v>
      </c>
      <c r="AA768">
        <v>6.9</v>
      </c>
      <c r="AB768" s="3">
        <v>336.84</v>
      </c>
      <c r="AC768" s="3"/>
      <c r="AD768">
        <v>7</v>
      </c>
      <c r="AE768" t="s">
        <v>58</v>
      </c>
      <c r="AF768" s="4"/>
    </row>
    <row r="769" spans="1:32" x14ac:dyDescent="0.3">
      <c r="A769" t="s">
        <v>860</v>
      </c>
      <c r="B769">
        <v>20</v>
      </c>
      <c r="C769" t="str">
        <f t="shared" si="11"/>
        <v>Young Adults</v>
      </c>
      <c r="D769" t="s">
        <v>53</v>
      </c>
      <c r="E769">
        <v>10</v>
      </c>
      <c r="G769" t="s">
        <v>60</v>
      </c>
      <c r="H769" t="s">
        <v>102</v>
      </c>
      <c r="I769" t="s">
        <v>50</v>
      </c>
      <c r="J769">
        <v>5.3</v>
      </c>
      <c r="L769" t="s">
        <v>32</v>
      </c>
      <c r="M769" t="s">
        <v>36</v>
      </c>
      <c r="N769" t="s">
        <v>34</v>
      </c>
      <c r="O769">
        <v>2.71</v>
      </c>
      <c r="P769">
        <v>7</v>
      </c>
      <c r="Q769" t="s">
        <v>44</v>
      </c>
      <c r="R769" t="s">
        <v>36</v>
      </c>
      <c r="S769" t="b">
        <v>1</v>
      </c>
      <c r="T769" t="b">
        <v>0</v>
      </c>
      <c r="U769" t="b">
        <v>0</v>
      </c>
      <c r="V769" t="b">
        <v>0</v>
      </c>
      <c r="W769" t="b">
        <v>1</v>
      </c>
      <c r="X769">
        <v>5.7</v>
      </c>
      <c r="Y769">
        <v>6.9</v>
      </c>
      <c r="Z769">
        <v>5</v>
      </c>
      <c r="AA769">
        <v>2</v>
      </c>
      <c r="AB769" s="3">
        <v>386.2</v>
      </c>
      <c r="AC769" s="3"/>
      <c r="AD769">
        <v>4</v>
      </c>
      <c r="AE769" t="s">
        <v>58</v>
      </c>
      <c r="AF769" s="4"/>
    </row>
    <row r="770" spans="1:32" x14ac:dyDescent="0.3">
      <c r="A770" t="s">
        <v>861</v>
      </c>
      <c r="B770">
        <v>27</v>
      </c>
      <c r="C770" t="str">
        <f t="shared" si="11"/>
        <v>Young Adults</v>
      </c>
      <c r="D770" t="s">
        <v>28</v>
      </c>
      <c r="E770">
        <v>2.8</v>
      </c>
      <c r="G770" t="s">
        <v>60</v>
      </c>
      <c r="H770" t="s">
        <v>200</v>
      </c>
      <c r="I770" t="s">
        <v>71</v>
      </c>
      <c r="J770">
        <v>7.3</v>
      </c>
      <c r="L770" t="s">
        <v>43</v>
      </c>
      <c r="M770" t="s">
        <v>45</v>
      </c>
      <c r="N770" t="s">
        <v>62</v>
      </c>
      <c r="P770">
        <v>7</v>
      </c>
      <c r="Q770" t="s">
        <v>66</v>
      </c>
      <c r="R770" t="s">
        <v>36</v>
      </c>
      <c r="S770" t="b">
        <v>0</v>
      </c>
      <c r="T770" t="b">
        <v>0</v>
      </c>
      <c r="U770" t="b">
        <v>0</v>
      </c>
      <c r="V770" t="b">
        <v>0</v>
      </c>
      <c r="W770" t="b">
        <v>0</v>
      </c>
      <c r="X770">
        <v>2.2000000000000002</v>
      </c>
      <c r="Y770">
        <v>9.3000000000000007</v>
      </c>
      <c r="Z770">
        <v>1</v>
      </c>
      <c r="AA770">
        <v>11.2</v>
      </c>
      <c r="AB770" s="3">
        <v>16.420000000000002</v>
      </c>
      <c r="AC770" s="3"/>
      <c r="AD770">
        <v>14</v>
      </c>
      <c r="AE770" t="s">
        <v>46</v>
      </c>
      <c r="AF770" s="4"/>
    </row>
    <row r="771" spans="1:32" x14ac:dyDescent="0.3">
      <c r="A771" t="s">
        <v>862</v>
      </c>
      <c r="B771">
        <v>21</v>
      </c>
      <c r="C771" t="str">
        <f t="shared" ref="C771:C834" si="12">IF(B771&lt;=19,"Teenager",IF(B771&lt;=30,"Young Adults",IF(B771&gt;30,"Old Adults")))</f>
        <v>Young Adults</v>
      </c>
      <c r="D771" t="s">
        <v>28</v>
      </c>
      <c r="E771">
        <v>8.6</v>
      </c>
      <c r="G771" t="s">
        <v>39</v>
      </c>
      <c r="H771" t="s">
        <v>93</v>
      </c>
      <c r="I771" t="s">
        <v>50</v>
      </c>
      <c r="J771">
        <v>4</v>
      </c>
      <c r="L771" t="s">
        <v>41</v>
      </c>
      <c r="M771" t="s">
        <v>33</v>
      </c>
      <c r="N771" t="s">
        <v>51</v>
      </c>
      <c r="O771">
        <v>2.67</v>
      </c>
      <c r="P771">
        <v>4</v>
      </c>
      <c r="Q771" t="s">
        <v>35</v>
      </c>
      <c r="R771" t="s">
        <v>42</v>
      </c>
      <c r="S771" t="b">
        <v>1</v>
      </c>
      <c r="T771" t="b">
        <v>1</v>
      </c>
      <c r="U771" t="b">
        <v>0</v>
      </c>
      <c r="V771" t="b">
        <v>1</v>
      </c>
      <c r="W771" t="b">
        <v>1</v>
      </c>
      <c r="X771">
        <v>1.6</v>
      </c>
      <c r="Y771">
        <v>6.9</v>
      </c>
      <c r="Z771">
        <v>5</v>
      </c>
      <c r="AA771">
        <v>1.7</v>
      </c>
      <c r="AB771" s="3">
        <v>471.04</v>
      </c>
      <c r="AC771" s="3"/>
      <c r="AD771">
        <v>2</v>
      </c>
      <c r="AE771" t="s">
        <v>37</v>
      </c>
      <c r="AF771" s="4"/>
    </row>
    <row r="772" spans="1:32" x14ac:dyDescent="0.3">
      <c r="A772" t="s">
        <v>863</v>
      </c>
      <c r="B772">
        <v>16</v>
      </c>
      <c r="C772" t="str">
        <f t="shared" si="12"/>
        <v>Teenager</v>
      </c>
      <c r="D772" t="s">
        <v>53</v>
      </c>
      <c r="E772">
        <v>4.9000000000000004</v>
      </c>
      <c r="G772" t="s">
        <v>82</v>
      </c>
      <c r="H772" t="s">
        <v>83</v>
      </c>
      <c r="I772" t="s">
        <v>31</v>
      </c>
      <c r="J772">
        <v>5.0999999999999996</v>
      </c>
      <c r="L772" t="s">
        <v>51</v>
      </c>
      <c r="M772" t="s">
        <v>74</v>
      </c>
      <c r="N772" t="s">
        <v>62</v>
      </c>
      <c r="O772">
        <v>3.44</v>
      </c>
      <c r="Q772" t="s">
        <v>69</v>
      </c>
      <c r="R772" t="s">
        <v>45</v>
      </c>
      <c r="S772" t="b">
        <v>0</v>
      </c>
      <c r="T772" t="b">
        <v>0</v>
      </c>
      <c r="U772" t="b">
        <v>0</v>
      </c>
      <c r="V772" t="b">
        <v>1</v>
      </c>
      <c r="W772" t="b">
        <v>0</v>
      </c>
      <c r="X772">
        <v>0.8</v>
      </c>
      <c r="Y772">
        <v>9.1999999999999993</v>
      </c>
      <c r="Z772">
        <v>3</v>
      </c>
      <c r="AA772">
        <v>9.8000000000000007</v>
      </c>
      <c r="AB772" s="3">
        <v>89.56</v>
      </c>
      <c r="AC772" s="3"/>
      <c r="AD772">
        <v>2</v>
      </c>
      <c r="AE772" t="s">
        <v>46</v>
      </c>
      <c r="AF772" s="4"/>
    </row>
    <row r="773" spans="1:32" x14ac:dyDescent="0.3">
      <c r="A773" t="s">
        <v>864</v>
      </c>
      <c r="B773">
        <v>17</v>
      </c>
      <c r="C773" t="str">
        <f t="shared" si="12"/>
        <v>Teenager</v>
      </c>
      <c r="D773" t="s">
        <v>28</v>
      </c>
      <c r="E773">
        <v>3.4</v>
      </c>
      <c r="G773" t="s">
        <v>54</v>
      </c>
      <c r="H773" t="s">
        <v>55</v>
      </c>
      <c r="I773" t="s">
        <v>31</v>
      </c>
      <c r="J773">
        <v>8.8000000000000007</v>
      </c>
      <c r="L773" t="s">
        <v>43</v>
      </c>
      <c r="M773" t="s">
        <v>33</v>
      </c>
      <c r="N773" t="s">
        <v>43</v>
      </c>
      <c r="O773">
        <v>2.86</v>
      </c>
      <c r="Q773" t="s">
        <v>66</v>
      </c>
      <c r="R773" t="s">
        <v>36</v>
      </c>
      <c r="S773" t="b">
        <v>0</v>
      </c>
      <c r="T773" t="b">
        <v>0</v>
      </c>
      <c r="U773" t="b">
        <v>0</v>
      </c>
      <c r="V773" t="b">
        <v>0</v>
      </c>
      <c r="W773" t="b">
        <v>0</v>
      </c>
      <c r="X773">
        <v>0.8</v>
      </c>
      <c r="Y773">
        <v>8.5</v>
      </c>
      <c r="Z773">
        <v>1</v>
      </c>
      <c r="AA773">
        <v>9.5</v>
      </c>
      <c r="AB773" s="3">
        <v>13.73</v>
      </c>
      <c r="AC773" s="3"/>
      <c r="AD773">
        <v>5</v>
      </c>
      <c r="AE773" t="s">
        <v>46</v>
      </c>
      <c r="AF773" s="4"/>
    </row>
    <row r="774" spans="1:32" x14ac:dyDescent="0.3">
      <c r="A774" t="s">
        <v>865</v>
      </c>
      <c r="B774">
        <v>19</v>
      </c>
      <c r="C774" t="str">
        <f t="shared" si="12"/>
        <v>Teenager</v>
      </c>
      <c r="D774" t="s">
        <v>28</v>
      </c>
      <c r="E774">
        <v>2.2000000000000002</v>
      </c>
      <c r="G774" t="s">
        <v>48</v>
      </c>
      <c r="H774" t="s">
        <v>128</v>
      </c>
      <c r="I774" t="s">
        <v>71</v>
      </c>
      <c r="J774">
        <v>8.9</v>
      </c>
      <c r="L774" t="s">
        <v>43</v>
      </c>
      <c r="M774" t="s">
        <v>74</v>
      </c>
      <c r="N774" t="s">
        <v>43</v>
      </c>
      <c r="O774">
        <v>1.03</v>
      </c>
      <c r="P774">
        <v>10</v>
      </c>
      <c r="Q774" t="s">
        <v>121</v>
      </c>
      <c r="R774" t="s">
        <v>57</v>
      </c>
      <c r="S774" t="b">
        <v>0</v>
      </c>
      <c r="T774" t="b">
        <v>0</v>
      </c>
      <c r="U774" t="b">
        <v>0</v>
      </c>
      <c r="V774" t="b">
        <v>0</v>
      </c>
      <c r="W774" t="b">
        <v>0</v>
      </c>
      <c r="X774">
        <v>0.1</v>
      </c>
      <c r="Y774">
        <v>9</v>
      </c>
      <c r="Z774">
        <v>1</v>
      </c>
      <c r="AA774">
        <v>14</v>
      </c>
      <c r="AB774" s="3">
        <v>38.090000000000003</v>
      </c>
      <c r="AC774" s="3"/>
      <c r="AD774">
        <v>3</v>
      </c>
      <c r="AE774" t="s">
        <v>46</v>
      </c>
      <c r="AF774" s="4"/>
    </row>
    <row r="775" spans="1:32" x14ac:dyDescent="0.3">
      <c r="A775" t="s">
        <v>866</v>
      </c>
      <c r="B775">
        <v>20</v>
      </c>
      <c r="C775" t="str">
        <f t="shared" si="12"/>
        <v>Young Adults</v>
      </c>
      <c r="D775" t="s">
        <v>53</v>
      </c>
      <c r="E775">
        <v>4.2</v>
      </c>
      <c r="G775" t="s">
        <v>54</v>
      </c>
      <c r="H775" t="s">
        <v>89</v>
      </c>
      <c r="I775" t="s">
        <v>71</v>
      </c>
      <c r="J775">
        <v>6.1</v>
      </c>
      <c r="L775" t="s">
        <v>41</v>
      </c>
      <c r="M775" t="s">
        <v>45</v>
      </c>
      <c r="N775" t="s">
        <v>34</v>
      </c>
      <c r="O775">
        <v>2.77</v>
      </c>
      <c r="P775">
        <v>2</v>
      </c>
      <c r="Q775" t="s">
        <v>66</v>
      </c>
      <c r="R775" t="s">
        <v>33</v>
      </c>
      <c r="S775" t="b">
        <v>0</v>
      </c>
      <c r="T775" t="b">
        <v>0</v>
      </c>
      <c r="U775" t="b">
        <v>0</v>
      </c>
      <c r="V775" t="b">
        <v>0</v>
      </c>
      <c r="W775" t="b">
        <v>0</v>
      </c>
      <c r="X775">
        <v>1.2</v>
      </c>
      <c r="Y775">
        <v>7.8</v>
      </c>
      <c r="Z775">
        <v>3</v>
      </c>
      <c r="AA775">
        <v>10.9</v>
      </c>
      <c r="AB775" s="3">
        <v>22.92</v>
      </c>
      <c r="AC775" s="3"/>
      <c r="AD775">
        <v>1</v>
      </c>
      <c r="AE775" t="s">
        <v>46</v>
      </c>
      <c r="AF775" s="4"/>
    </row>
    <row r="776" spans="1:32" x14ac:dyDescent="0.3">
      <c r="A776" t="s">
        <v>867</v>
      </c>
      <c r="B776">
        <v>18</v>
      </c>
      <c r="C776" t="str">
        <f t="shared" si="12"/>
        <v>Teenager</v>
      </c>
      <c r="D776" t="s">
        <v>28</v>
      </c>
      <c r="E776">
        <v>5</v>
      </c>
      <c r="G776" t="s">
        <v>82</v>
      </c>
      <c r="H776" t="s">
        <v>134</v>
      </c>
      <c r="I776" t="s">
        <v>31</v>
      </c>
      <c r="J776">
        <v>6.4</v>
      </c>
      <c r="L776" t="s">
        <v>41</v>
      </c>
      <c r="M776" t="s">
        <v>45</v>
      </c>
      <c r="N776" t="s">
        <v>34</v>
      </c>
      <c r="O776">
        <v>2.76</v>
      </c>
      <c r="Q776" t="s">
        <v>80</v>
      </c>
      <c r="R776" t="s">
        <v>33</v>
      </c>
      <c r="S776" t="b">
        <v>0</v>
      </c>
      <c r="T776" t="b">
        <v>0</v>
      </c>
      <c r="U776" t="b">
        <v>0</v>
      </c>
      <c r="V776" t="b">
        <v>0</v>
      </c>
      <c r="W776" t="b">
        <v>0</v>
      </c>
      <c r="X776">
        <v>1.8</v>
      </c>
      <c r="Y776">
        <v>5.7</v>
      </c>
      <c r="Z776">
        <v>3</v>
      </c>
      <c r="AA776">
        <v>8.8000000000000007</v>
      </c>
      <c r="AB776" s="3">
        <v>130.46</v>
      </c>
      <c r="AC776" s="3"/>
      <c r="AD776">
        <v>5</v>
      </c>
      <c r="AE776" t="s">
        <v>46</v>
      </c>
      <c r="AF776" s="4"/>
    </row>
    <row r="777" spans="1:32" x14ac:dyDescent="0.3">
      <c r="A777" t="s">
        <v>868</v>
      </c>
      <c r="B777">
        <v>21</v>
      </c>
      <c r="C777" t="str">
        <f t="shared" si="12"/>
        <v>Young Adults</v>
      </c>
      <c r="D777" t="s">
        <v>152</v>
      </c>
      <c r="E777">
        <v>7.9</v>
      </c>
      <c r="G777" t="s">
        <v>82</v>
      </c>
      <c r="H777" t="s">
        <v>83</v>
      </c>
      <c r="I777" t="s">
        <v>31</v>
      </c>
      <c r="J777">
        <v>5.0999999999999996</v>
      </c>
      <c r="L777" t="s">
        <v>51</v>
      </c>
      <c r="M777" t="s">
        <v>42</v>
      </c>
      <c r="N777" t="s">
        <v>51</v>
      </c>
      <c r="O777">
        <v>1.63</v>
      </c>
      <c r="P777">
        <v>6</v>
      </c>
      <c r="Q777" t="s">
        <v>35</v>
      </c>
      <c r="R777" t="s">
        <v>33</v>
      </c>
      <c r="S777" t="b">
        <v>0</v>
      </c>
      <c r="T777" t="b">
        <v>1</v>
      </c>
      <c r="U777" t="b">
        <v>0</v>
      </c>
      <c r="V777" t="b">
        <v>0</v>
      </c>
      <c r="W777" t="b">
        <v>0</v>
      </c>
      <c r="X777">
        <v>1.6</v>
      </c>
      <c r="Y777">
        <v>5.8</v>
      </c>
      <c r="Z777">
        <v>4</v>
      </c>
      <c r="AA777">
        <v>6.3</v>
      </c>
      <c r="AB777" s="3">
        <v>70.680000000000007</v>
      </c>
      <c r="AC777" s="3"/>
      <c r="AD777">
        <v>9</v>
      </c>
      <c r="AE777" t="s">
        <v>64</v>
      </c>
      <c r="AF777" s="4"/>
    </row>
    <row r="778" spans="1:32" x14ac:dyDescent="0.3">
      <c r="A778" t="s">
        <v>869</v>
      </c>
      <c r="B778">
        <v>21</v>
      </c>
      <c r="C778" t="str">
        <f t="shared" si="12"/>
        <v>Young Adults</v>
      </c>
      <c r="D778" t="s">
        <v>53</v>
      </c>
      <c r="E778">
        <v>10.7</v>
      </c>
      <c r="G778" t="s">
        <v>29</v>
      </c>
      <c r="H778" t="s">
        <v>118</v>
      </c>
      <c r="I778" t="s">
        <v>71</v>
      </c>
      <c r="J778">
        <v>3.7</v>
      </c>
      <c r="L778" t="s">
        <v>32</v>
      </c>
      <c r="M778" t="s">
        <v>45</v>
      </c>
      <c r="N778" t="s">
        <v>62</v>
      </c>
      <c r="O778">
        <v>1.1299999999999999</v>
      </c>
      <c r="P778">
        <v>6</v>
      </c>
      <c r="Q778" t="s">
        <v>105</v>
      </c>
      <c r="R778" t="s">
        <v>33</v>
      </c>
      <c r="S778" t="b">
        <v>1</v>
      </c>
      <c r="T778" t="b">
        <v>0</v>
      </c>
      <c r="U778" t="b">
        <v>0</v>
      </c>
      <c r="V778" t="b">
        <v>1</v>
      </c>
      <c r="W778" t="b">
        <v>1</v>
      </c>
      <c r="X778">
        <v>0.1</v>
      </c>
      <c r="Y778">
        <v>5.7</v>
      </c>
      <c r="Z778">
        <v>8</v>
      </c>
      <c r="AA778">
        <v>0.7</v>
      </c>
      <c r="AB778" s="3">
        <v>394.92</v>
      </c>
      <c r="AC778" s="3"/>
      <c r="AD778">
        <v>2</v>
      </c>
      <c r="AE778" t="s">
        <v>58</v>
      </c>
      <c r="AF778" s="4"/>
    </row>
    <row r="779" spans="1:32" x14ac:dyDescent="0.3">
      <c r="A779" t="s">
        <v>870</v>
      </c>
      <c r="B779">
        <v>25</v>
      </c>
      <c r="C779" t="str">
        <f t="shared" si="12"/>
        <v>Young Adults</v>
      </c>
      <c r="D779" t="s">
        <v>28</v>
      </c>
      <c r="E779">
        <v>8.6</v>
      </c>
      <c r="G779" t="s">
        <v>60</v>
      </c>
      <c r="H779" t="s">
        <v>200</v>
      </c>
      <c r="I779" t="s">
        <v>31</v>
      </c>
      <c r="J779">
        <v>5.0999999999999996</v>
      </c>
      <c r="L779" t="s">
        <v>51</v>
      </c>
      <c r="M779" t="s">
        <v>45</v>
      </c>
      <c r="N779" t="s">
        <v>34</v>
      </c>
      <c r="P779">
        <v>9</v>
      </c>
      <c r="Q779" t="s">
        <v>35</v>
      </c>
      <c r="R779" t="s">
        <v>57</v>
      </c>
      <c r="S779" t="b">
        <v>0</v>
      </c>
      <c r="T779" t="b">
        <v>0</v>
      </c>
      <c r="U779" t="b">
        <v>1</v>
      </c>
      <c r="V779" t="b">
        <v>0</v>
      </c>
      <c r="W779" t="b">
        <v>1</v>
      </c>
      <c r="X779">
        <v>2.8</v>
      </c>
      <c r="Y779">
        <v>6.6</v>
      </c>
      <c r="Z779">
        <v>6</v>
      </c>
      <c r="AA779">
        <v>5.5</v>
      </c>
      <c r="AB779" s="3">
        <v>141.47</v>
      </c>
      <c r="AC779" s="3"/>
      <c r="AD779">
        <v>5</v>
      </c>
      <c r="AE779" t="s">
        <v>58</v>
      </c>
      <c r="AF779" s="4"/>
    </row>
    <row r="780" spans="1:32" x14ac:dyDescent="0.3">
      <c r="A780" t="s">
        <v>871</v>
      </c>
      <c r="B780">
        <v>28</v>
      </c>
      <c r="C780" t="str">
        <f t="shared" si="12"/>
        <v>Young Adults</v>
      </c>
      <c r="D780" t="s">
        <v>53</v>
      </c>
      <c r="E780">
        <v>8.8000000000000007</v>
      </c>
      <c r="G780" t="s">
        <v>39</v>
      </c>
      <c r="H780" t="s">
        <v>93</v>
      </c>
      <c r="I780" t="s">
        <v>71</v>
      </c>
      <c r="J780">
        <v>4.8</v>
      </c>
      <c r="L780" t="s">
        <v>51</v>
      </c>
      <c r="M780" t="s">
        <v>42</v>
      </c>
      <c r="N780" t="s">
        <v>129</v>
      </c>
      <c r="P780">
        <v>5</v>
      </c>
      <c r="Q780" t="s">
        <v>44</v>
      </c>
      <c r="R780" t="s">
        <v>33</v>
      </c>
      <c r="S780" t="b">
        <v>0</v>
      </c>
      <c r="T780" t="b">
        <v>0</v>
      </c>
      <c r="U780" t="b">
        <v>1</v>
      </c>
      <c r="V780" t="b">
        <v>0</v>
      </c>
      <c r="W780" t="b">
        <v>1</v>
      </c>
      <c r="X780">
        <v>4.2</v>
      </c>
      <c r="Y780">
        <v>7.4</v>
      </c>
      <c r="Z780">
        <v>6</v>
      </c>
      <c r="AA780">
        <v>2.5</v>
      </c>
      <c r="AB780" s="3">
        <v>442.42</v>
      </c>
      <c r="AC780" s="3"/>
      <c r="AD780">
        <v>5</v>
      </c>
      <c r="AE780" t="s">
        <v>58</v>
      </c>
      <c r="AF780" s="4"/>
    </row>
    <row r="781" spans="1:32" x14ac:dyDescent="0.3">
      <c r="A781" t="s">
        <v>872</v>
      </c>
      <c r="B781">
        <v>23</v>
      </c>
      <c r="C781" t="str">
        <f t="shared" si="12"/>
        <v>Young Adults</v>
      </c>
      <c r="D781" t="s">
        <v>28</v>
      </c>
      <c r="E781">
        <v>3.4</v>
      </c>
      <c r="G781" t="s">
        <v>60</v>
      </c>
      <c r="H781" t="s">
        <v>200</v>
      </c>
      <c r="I781" t="s">
        <v>86</v>
      </c>
      <c r="J781">
        <v>7.5</v>
      </c>
      <c r="L781" t="s">
        <v>43</v>
      </c>
      <c r="M781" t="s">
        <v>33</v>
      </c>
      <c r="N781" t="s">
        <v>43</v>
      </c>
      <c r="P781">
        <v>6</v>
      </c>
      <c r="Q781" t="s">
        <v>44</v>
      </c>
      <c r="R781" t="s">
        <v>36</v>
      </c>
      <c r="S781" t="b">
        <v>0</v>
      </c>
      <c r="T781" t="b">
        <v>0</v>
      </c>
      <c r="U781" t="b">
        <v>0</v>
      </c>
      <c r="V781" t="b">
        <v>0</v>
      </c>
      <c r="W781" t="b">
        <v>0</v>
      </c>
      <c r="X781">
        <v>0.4</v>
      </c>
      <c r="Y781">
        <v>8.9</v>
      </c>
      <c r="Z781">
        <v>1</v>
      </c>
      <c r="AA781">
        <v>13.9</v>
      </c>
      <c r="AB781" s="3">
        <v>36.340000000000003</v>
      </c>
      <c r="AC781" s="3"/>
      <c r="AD781">
        <v>9</v>
      </c>
      <c r="AE781" t="s">
        <v>46</v>
      </c>
      <c r="AF781" s="4"/>
    </row>
    <row r="782" spans="1:32" x14ac:dyDescent="0.3">
      <c r="A782" t="s">
        <v>873</v>
      </c>
      <c r="B782">
        <v>21</v>
      </c>
      <c r="C782" t="str">
        <f t="shared" si="12"/>
        <v>Young Adults</v>
      </c>
      <c r="D782" t="s">
        <v>53</v>
      </c>
      <c r="E782">
        <v>6.3</v>
      </c>
      <c r="G782" t="s">
        <v>48</v>
      </c>
      <c r="H782" t="s">
        <v>128</v>
      </c>
      <c r="I782" t="s">
        <v>31</v>
      </c>
      <c r="J782">
        <v>6.1</v>
      </c>
      <c r="L782" t="s">
        <v>43</v>
      </c>
      <c r="M782" t="s">
        <v>36</v>
      </c>
      <c r="N782" t="s">
        <v>51</v>
      </c>
      <c r="O782">
        <v>1.67</v>
      </c>
      <c r="P782">
        <v>4</v>
      </c>
      <c r="Q782" t="s">
        <v>66</v>
      </c>
      <c r="R782" t="s">
        <v>42</v>
      </c>
      <c r="S782" t="b">
        <v>0</v>
      </c>
      <c r="T782" t="b">
        <v>1</v>
      </c>
      <c r="U782" t="b">
        <v>0</v>
      </c>
      <c r="V782" t="b">
        <v>1</v>
      </c>
      <c r="W782" t="b">
        <v>1</v>
      </c>
      <c r="X782">
        <v>4.0999999999999996</v>
      </c>
      <c r="Y782">
        <v>5.0999999999999996</v>
      </c>
      <c r="Z782">
        <v>2</v>
      </c>
      <c r="AA782">
        <v>9.6</v>
      </c>
      <c r="AB782" s="3">
        <v>120.62</v>
      </c>
      <c r="AC782" s="3"/>
      <c r="AD782">
        <v>11</v>
      </c>
      <c r="AE782" t="s">
        <v>64</v>
      </c>
      <c r="AF782" s="4"/>
    </row>
    <row r="783" spans="1:32" x14ac:dyDescent="0.3">
      <c r="A783" t="s">
        <v>874</v>
      </c>
      <c r="B783">
        <v>18</v>
      </c>
      <c r="C783" t="str">
        <f t="shared" si="12"/>
        <v>Teenager</v>
      </c>
      <c r="D783" t="s">
        <v>28</v>
      </c>
      <c r="E783">
        <v>2.1</v>
      </c>
      <c r="G783" t="s">
        <v>48</v>
      </c>
      <c r="H783" t="s">
        <v>128</v>
      </c>
      <c r="I783" t="s">
        <v>31</v>
      </c>
      <c r="J783">
        <v>7.4</v>
      </c>
      <c r="L783" t="s">
        <v>43</v>
      </c>
      <c r="M783" t="s">
        <v>36</v>
      </c>
      <c r="N783" t="s">
        <v>84</v>
      </c>
      <c r="O783">
        <v>1.79</v>
      </c>
      <c r="Q783" t="s">
        <v>66</v>
      </c>
      <c r="R783" t="s">
        <v>33</v>
      </c>
      <c r="S783" t="b">
        <v>0</v>
      </c>
      <c r="T783" t="b">
        <v>0</v>
      </c>
      <c r="U783" t="b">
        <v>0</v>
      </c>
      <c r="V783" t="b">
        <v>0</v>
      </c>
      <c r="W783" t="b">
        <v>0</v>
      </c>
      <c r="X783">
        <v>0.3</v>
      </c>
      <c r="Y783">
        <v>10.6</v>
      </c>
      <c r="Z783">
        <v>2</v>
      </c>
      <c r="AA783">
        <v>11.1</v>
      </c>
      <c r="AB783" s="3">
        <v>39.9</v>
      </c>
      <c r="AC783" s="3"/>
      <c r="AD783">
        <v>3</v>
      </c>
      <c r="AE783" t="s">
        <v>46</v>
      </c>
      <c r="AF783" s="4"/>
    </row>
    <row r="784" spans="1:32" x14ac:dyDescent="0.3">
      <c r="A784" t="s">
        <v>875</v>
      </c>
      <c r="B784">
        <v>17</v>
      </c>
      <c r="C784" t="str">
        <f t="shared" si="12"/>
        <v>Teenager</v>
      </c>
      <c r="D784" t="s">
        <v>28</v>
      </c>
      <c r="E784">
        <v>4.5999999999999996</v>
      </c>
      <c r="G784" t="s">
        <v>54</v>
      </c>
      <c r="H784" t="s">
        <v>98</v>
      </c>
      <c r="I784" t="s">
        <v>50</v>
      </c>
      <c r="J784">
        <v>5.0999999999999996</v>
      </c>
      <c r="L784" t="s">
        <v>41</v>
      </c>
      <c r="M784" t="s">
        <v>36</v>
      </c>
      <c r="N784" t="s">
        <v>34</v>
      </c>
      <c r="O784">
        <v>1.44</v>
      </c>
      <c r="Q784" t="s">
        <v>69</v>
      </c>
      <c r="R784" t="s">
        <v>33</v>
      </c>
      <c r="S784" t="b">
        <v>0</v>
      </c>
      <c r="T784" t="b">
        <v>0</v>
      </c>
      <c r="U784" t="b">
        <v>0</v>
      </c>
      <c r="V784" t="b">
        <v>0</v>
      </c>
      <c r="W784" t="b">
        <v>0</v>
      </c>
      <c r="X784">
        <v>2</v>
      </c>
      <c r="Y784">
        <v>6.1</v>
      </c>
      <c r="Z784">
        <v>3</v>
      </c>
      <c r="AA784">
        <v>10.6</v>
      </c>
      <c r="AB784" s="3">
        <v>15.54</v>
      </c>
      <c r="AC784" s="3"/>
      <c r="AD784">
        <v>3</v>
      </c>
      <c r="AE784" t="s">
        <v>46</v>
      </c>
      <c r="AF784" s="4"/>
    </row>
    <row r="785" spans="1:32" x14ac:dyDescent="0.3">
      <c r="A785" t="s">
        <v>876</v>
      </c>
      <c r="B785">
        <v>25</v>
      </c>
      <c r="C785" t="str">
        <f t="shared" si="12"/>
        <v>Young Adults</v>
      </c>
      <c r="D785" t="s">
        <v>53</v>
      </c>
      <c r="E785">
        <v>9.8000000000000007</v>
      </c>
      <c r="G785" t="s">
        <v>29</v>
      </c>
      <c r="H785" t="s">
        <v>30</v>
      </c>
      <c r="I785" t="s">
        <v>71</v>
      </c>
      <c r="J785">
        <v>5.2</v>
      </c>
      <c r="L785" t="s">
        <v>41</v>
      </c>
      <c r="M785" t="s">
        <v>74</v>
      </c>
      <c r="N785" t="s">
        <v>51</v>
      </c>
      <c r="P785">
        <v>7</v>
      </c>
      <c r="Q785" t="s">
        <v>69</v>
      </c>
      <c r="R785" t="s">
        <v>45</v>
      </c>
      <c r="S785" t="b">
        <v>1</v>
      </c>
      <c r="T785" t="b">
        <v>1</v>
      </c>
      <c r="U785" t="b">
        <v>1</v>
      </c>
      <c r="V785" t="b">
        <v>0</v>
      </c>
      <c r="W785" t="b">
        <v>0</v>
      </c>
      <c r="X785">
        <v>8.1</v>
      </c>
      <c r="Y785">
        <v>3.2</v>
      </c>
      <c r="Z785">
        <v>6</v>
      </c>
      <c r="AA785">
        <v>2.2000000000000002</v>
      </c>
      <c r="AB785" s="3">
        <v>63.25</v>
      </c>
      <c r="AC785" s="3"/>
      <c r="AD785">
        <v>10</v>
      </c>
      <c r="AE785" t="s">
        <v>37</v>
      </c>
      <c r="AF785" s="4"/>
    </row>
    <row r="786" spans="1:32" x14ac:dyDescent="0.3">
      <c r="A786" t="s">
        <v>877</v>
      </c>
      <c r="B786">
        <v>20</v>
      </c>
      <c r="C786" t="str">
        <f t="shared" si="12"/>
        <v>Young Adults</v>
      </c>
      <c r="D786" t="s">
        <v>28</v>
      </c>
      <c r="E786">
        <v>3</v>
      </c>
      <c r="G786" t="s">
        <v>60</v>
      </c>
      <c r="H786" t="s">
        <v>200</v>
      </c>
      <c r="I786" t="s">
        <v>86</v>
      </c>
      <c r="J786">
        <v>8.1</v>
      </c>
      <c r="L786" t="s">
        <v>43</v>
      </c>
      <c r="M786" t="s">
        <v>36</v>
      </c>
      <c r="N786" t="s">
        <v>84</v>
      </c>
      <c r="O786">
        <v>3.26</v>
      </c>
      <c r="P786">
        <v>1</v>
      </c>
      <c r="Q786" t="s">
        <v>121</v>
      </c>
      <c r="R786" t="s">
        <v>42</v>
      </c>
      <c r="S786" t="b">
        <v>0</v>
      </c>
      <c r="T786" t="b">
        <v>0</v>
      </c>
      <c r="U786" t="b">
        <v>0</v>
      </c>
      <c r="V786" t="b">
        <v>0</v>
      </c>
      <c r="W786" t="b">
        <v>0</v>
      </c>
      <c r="X786">
        <v>0.7</v>
      </c>
      <c r="Y786">
        <v>9.6999999999999993</v>
      </c>
      <c r="Z786">
        <v>1</v>
      </c>
      <c r="AA786">
        <v>8.9</v>
      </c>
      <c r="AB786" s="3">
        <v>34.880000000000003</v>
      </c>
      <c r="AC786" s="3"/>
      <c r="AD786">
        <v>1</v>
      </c>
      <c r="AE786" t="s">
        <v>46</v>
      </c>
      <c r="AF786" s="4"/>
    </row>
    <row r="787" spans="1:32" x14ac:dyDescent="0.3">
      <c r="A787" t="s">
        <v>878</v>
      </c>
      <c r="B787">
        <v>14</v>
      </c>
      <c r="C787" t="str">
        <f t="shared" si="12"/>
        <v>Teenager</v>
      </c>
      <c r="D787" t="s">
        <v>53</v>
      </c>
      <c r="E787">
        <v>2.9</v>
      </c>
      <c r="G787" t="s">
        <v>29</v>
      </c>
      <c r="H787" t="s">
        <v>104</v>
      </c>
      <c r="I787" t="s">
        <v>86</v>
      </c>
      <c r="J787">
        <v>8.6999999999999993</v>
      </c>
      <c r="L787" t="s">
        <v>43</v>
      </c>
      <c r="M787" t="s">
        <v>74</v>
      </c>
      <c r="N787" t="s">
        <v>84</v>
      </c>
      <c r="O787">
        <v>1.86</v>
      </c>
      <c r="Q787" t="s">
        <v>63</v>
      </c>
      <c r="R787" t="s">
        <v>33</v>
      </c>
      <c r="S787" t="b">
        <v>0</v>
      </c>
      <c r="T787" t="b">
        <v>0</v>
      </c>
      <c r="U787" t="b">
        <v>0</v>
      </c>
      <c r="V787" t="b">
        <v>0</v>
      </c>
      <c r="W787" t="b">
        <v>0</v>
      </c>
      <c r="X787">
        <v>0.9</v>
      </c>
      <c r="Y787">
        <v>9.1999999999999993</v>
      </c>
      <c r="Z787">
        <v>1</v>
      </c>
      <c r="AA787">
        <v>12.3</v>
      </c>
      <c r="AB787" s="3">
        <v>0.78</v>
      </c>
      <c r="AC787" s="3"/>
      <c r="AD787">
        <v>4</v>
      </c>
      <c r="AE787" t="s">
        <v>46</v>
      </c>
      <c r="AF787" s="4"/>
    </row>
    <row r="788" spans="1:32" x14ac:dyDescent="0.3">
      <c r="A788" t="s">
        <v>879</v>
      </c>
      <c r="B788">
        <v>15</v>
      </c>
      <c r="C788" t="str">
        <f t="shared" si="12"/>
        <v>Teenager</v>
      </c>
      <c r="D788" t="s">
        <v>28</v>
      </c>
      <c r="E788">
        <v>5.8</v>
      </c>
      <c r="G788" t="s">
        <v>76</v>
      </c>
      <c r="H788" t="s">
        <v>126</v>
      </c>
      <c r="I788" t="s">
        <v>50</v>
      </c>
      <c r="J788">
        <v>6.6</v>
      </c>
      <c r="L788" t="s">
        <v>41</v>
      </c>
      <c r="M788" t="s">
        <v>45</v>
      </c>
      <c r="N788" t="s">
        <v>43</v>
      </c>
      <c r="O788">
        <v>1.45</v>
      </c>
      <c r="Q788" t="s">
        <v>69</v>
      </c>
      <c r="R788" t="s">
        <v>33</v>
      </c>
      <c r="S788" t="b">
        <v>0</v>
      </c>
      <c r="T788" t="b">
        <v>0</v>
      </c>
      <c r="U788" t="b">
        <v>0</v>
      </c>
      <c r="V788" t="b">
        <v>0</v>
      </c>
      <c r="W788" t="b">
        <v>0</v>
      </c>
      <c r="X788">
        <v>0.5</v>
      </c>
      <c r="Y788">
        <v>7.6</v>
      </c>
      <c r="Z788">
        <v>4</v>
      </c>
      <c r="AA788">
        <v>7.5</v>
      </c>
      <c r="AB788" s="3">
        <v>10.87</v>
      </c>
      <c r="AC788" s="3"/>
      <c r="AD788">
        <v>5</v>
      </c>
      <c r="AE788" t="s">
        <v>46</v>
      </c>
      <c r="AF788" s="4"/>
    </row>
    <row r="789" spans="1:32" x14ac:dyDescent="0.3">
      <c r="A789" t="s">
        <v>880</v>
      </c>
      <c r="B789">
        <v>22</v>
      </c>
      <c r="C789" t="str">
        <f t="shared" si="12"/>
        <v>Young Adults</v>
      </c>
      <c r="D789" t="s">
        <v>28</v>
      </c>
      <c r="E789">
        <v>5.7</v>
      </c>
      <c r="G789" t="s">
        <v>54</v>
      </c>
      <c r="H789" t="s">
        <v>89</v>
      </c>
      <c r="I789" t="s">
        <v>31</v>
      </c>
      <c r="J789">
        <v>6.8</v>
      </c>
      <c r="L789" t="s">
        <v>41</v>
      </c>
      <c r="M789" t="s">
        <v>74</v>
      </c>
      <c r="N789" t="s">
        <v>43</v>
      </c>
      <c r="O789">
        <v>3.89</v>
      </c>
      <c r="P789">
        <v>6</v>
      </c>
      <c r="Q789" t="s">
        <v>105</v>
      </c>
      <c r="R789" t="s">
        <v>45</v>
      </c>
      <c r="S789" t="b">
        <v>0</v>
      </c>
      <c r="T789" t="b">
        <v>0</v>
      </c>
      <c r="U789" t="b">
        <v>0</v>
      </c>
      <c r="V789" t="b">
        <v>0</v>
      </c>
      <c r="W789" t="b">
        <v>0</v>
      </c>
      <c r="X789">
        <v>1.9</v>
      </c>
      <c r="Y789">
        <v>6.1</v>
      </c>
      <c r="Z789">
        <v>3</v>
      </c>
      <c r="AA789">
        <v>6.5</v>
      </c>
      <c r="AB789" s="3">
        <v>44.8</v>
      </c>
      <c r="AC789" s="3"/>
      <c r="AD789">
        <v>9</v>
      </c>
      <c r="AE789" t="s">
        <v>46</v>
      </c>
      <c r="AF789" s="4"/>
    </row>
    <row r="790" spans="1:32" x14ac:dyDescent="0.3">
      <c r="A790" t="s">
        <v>881</v>
      </c>
      <c r="B790">
        <v>19</v>
      </c>
      <c r="C790" t="str">
        <f t="shared" si="12"/>
        <v>Teenager</v>
      </c>
      <c r="D790" t="s">
        <v>28</v>
      </c>
      <c r="E790">
        <v>7</v>
      </c>
      <c r="G790" t="s">
        <v>82</v>
      </c>
      <c r="H790" t="s">
        <v>167</v>
      </c>
      <c r="I790" t="s">
        <v>71</v>
      </c>
      <c r="J790">
        <v>3.8</v>
      </c>
      <c r="L790" t="s">
        <v>41</v>
      </c>
      <c r="M790" t="s">
        <v>74</v>
      </c>
      <c r="N790" t="s">
        <v>84</v>
      </c>
      <c r="O790">
        <v>3.08</v>
      </c>
      <c r="P790">
        <v>1</v>
      </c>
      <c r="Q790" t="s">
        <v>69</v>
      </c>
      <c r="R790" t="s">
        <v>36</v>
      </c>
      <c r="S790" t="b">
        <v>1</v>
      </c>
      <c r="T790" t="b">
        <v>1</v>
      </c>
      <c r="U790" t="b">
        <v>0</v>
      </c>
      <c r="V790" t="b">
        <v>0</v>
      </c>
      <c r="W790" t="b">
        <v>1</v>
      </c>
      <c r="X790">
        <v>3.3</v>
      </c>
      <c r="Y790">
        <v>7</v>
      </c>
      <c r="Z790">
        <v>2</v>
      </c>
      <c r="AA790">
        <v>9.1999999999999993</v>
      </c>
      <c r="AB790" s="3">
        <v>61.59</v>
      </c>
      <c r="AC790" s="3"/>
      <c r="AD790">
        <v>8</v>
      </c>
      <c r="AE790" t="s">
        <v>58</v>
      </c>
      <c r="AF790" s="4"/>
    </row>
    <row r="791" spans="1:32" x14ac:dyDescent="0.3">
      <c r="A791" t="s">
        <v>882</v>
      </c>
      <c r="B791">
        <v>15</v>
      </c>
      <c r="C791" t="str">
        <f t="shared" si="12"/>
        <v>Teenager</v>
      </c>
      <c r="D791" t="s">
        <v>53</v>
      </c>
      <c r="E791">
        <v>7.9</v>
      </c>
      <c r="G791" t="s">
        <v>54</v>
      </c>
      <c r="H791" t="s">
        <v>55</v>
      </c>
      <c r="I791" t="s">
        <v>50</v>
      </c>
      <c r="J791">
        <v>4.3</v>
      </c>
      <c r="L791" t="s">
        <v>43</v>
      </c>
      <c r="M791" t="s">
        <v>45</v>
      </c>
      <c r="N791" t="s">
        <v>51</v>
      </c>
      <c r="O791">
        <v>3.4</v>
      </c>
      <c r="Q791" t="s">
        <v>69</v>
      </c>
      <c r="R791" t="s">
        <v>45</v>
      </c>
      <c r="S791" t="b">
        <v>0</v>
      </c>
      <c r="T791" t="b">
        <v>0</v>
      </c>
      <c r="U791" t="b">
        <v>0</v>
      </c>
      <c r="V791" t="b">
        <v>1</v>
      </c>
      <c r="W791" t="b">
        <v>1</v>
      </c>
      <c r="X791">
        <v>0.7</v>
      </c>
      <c r="Y791">
        <v>7.3</v>
      </c>
      <c r="Z791">
        <v>5</v>
      </c>
      <c r="AA791">
        <v>4.5999999999999996</v>
      </c>
      <c r="AB791" s="3">
        <v>80.06</v>
      </c>
      <c r="AC791" s="3"/>
      <c r="AD791">
        <v>4</v>
      </c>
      <c r="AE791" t="s">
        <v>46</v>
      </c>
      <c r="AF791" s="4"/>
    </row>
    <row r="792" spans="1:32" x14ac:dyDescent="0.3">
      <c r="A792" t="s">
        <v>883</v>
      </c>
      <c r="B792">
        <v>20</v>
      </c>
      <c r="C792" t="str">
        <f t="shared" si="12"/>
        <v>Young Adults</v>
      </c>
      <c r="D792" t="s">
        <v>28</v>
      </c>
      <c r="E792">
        <v>7</v>
      </c>
      <c r="G792" t="s">
        <v>82</v>
      </c>
      <c r="H792" t="s">
        <v>167</v>
      </c>
      <c r="I792" t="s">
        <v>31</v>
      </c>
      <c r="J792">
        <v>3.6</v>
      </c>
      <c r="L792" t="s">
        <v>32</v>
      </c>
      <c r="M792" t="s">
        <v>36</v>
      </c>
      <c r="N792" t="s">
        <v>51</v>
      </c>
      <c r="O792">
        <v>1.4</v>
      </c>
      <c r="P792">
        <v>3</v>
      </c>
      <c r="Q792" t="s">
        <v>63</v>
      </c>
      <c r="R792" t="s">
        <v>45</v>
      </c>
      <c r="S792" t="b">
        <v>0</v>
      </c>
      <c r="T792" t="b">
        <v>1</v>
      </c>
      <c r="U792" t="b">
        <v>0</v>
      </c>
      <c r="V792" t="b">
        <v>1</v>
      </c>
      <c r="W792" t="b">
        <v>1</v>
      </c>
      <c r="X792">
        <v>4</v>
      </c>
      <c r="Y792">
        <v>7.6</v>
      </c>
      <c r="Z792">
        <v>5</v>
      </c>
      <c r="AA792">
        <v>7.2</v>
      </c>
      <c r="AB792" s="3">
        <v>23.82</v>
      </c>
      <c r="AC792" s="3"/>
      <c r="AD792">
        <v>3</v>
      </c>
      <c r="AE792" t="s">
        <v>64</v>
      </c>
      <c r="AF792" s="4"/>
    </row>
    <row r="793" spans="1:32" x14ac:dyDescent="0.3">
      <c r="A793" t="s">
        <v>884</v>
      </c>
      <c r="B793">
        <v>34</v>
      </c>
      <c r="C793" t="str">
        <f t="shared" si="12"/>
        <v>Old Adults</v>
      </c>
      <c r="D793" t="s">
        <v>28</v>
      </c>
      <c r="E793">
        <v>1.4</v>
      </c>
      <c r="G793" t="s">
        <v>29</v>
      </c>
      <c r="H793" t="s">
        <v>118</v>
      </c>
      <c r="I793" t="s">
        <v>50</v>
      </c>
      <c r="J793">
        <v>8.3000000000000007</v>
      </c>
      <c r="L793" t="s">
        <v>43</v>
      </c>
      <c r="M793" t="s">
        <v>45</v>
      </c>
      <c r="N793" t="s">
        <v>43</v>
      </c>
      <c r="P793">
        <v>9</v>
      </c>
      <c r="Q793" t="s">
        <v>80</v>
      </c>
      <c r="R793" t="s">
        <v>36</v>
      </c>
      <c r="S793" t="b">
        <v>0</v>
      </c>
      <c r="T793" t="b">
        <v>0</v>
      </c>
      <c r="U793" t="b">
        <v>0</v>
      </c>
      <c r="V793" t="b">
        <v>0</v>
      </c>
      <c r="W793" t="b">
        <v>0</v>
      </c>
      <c r="X793">
        <v>0.3</v>
      </c>
      <c r="Y793">
        <v>10.4</v>
      </c>
      <c r="Z793">
        <v>1</v>
      </c>
      <c r="AA793">
        <v>13.5</v>
      </c>
      <c r="AB793" s="3">
        <v>48.31</v>
      </c>
      <c r="AC793" s="3"/>
      <c r="AD793">
        <v>16</v>
      </c>
      <c r="AE793" t="s">
        <v>46</v>
      </c>
      <c r="AF793" s="4"/>
    </row>
    <row r="794" spans="1:32" x14ac:dyDescent="0.3">
      <c r="A794" t="s">
        <v>885</v>
      </c>
      <c r="B794">
        <v>18</v>
      </c>
      <c r="C794" t="str">
        <f t="shared" si="12"/>
        <v>Teenager</v>
      </c>
      <c r="D794" t="s">
        <v>53</v>
      </c>
      <c r="E794">
        <v>8.6999999999999993</v>
      </c>
      <c r="G794" t="s">
        <v>76</v>
      </c>
      <c r="H794" t="s">
        <v>77</v>
      </c>
      <c r="I794" t="s">
        <v>71</v>
      </c>
      <c r="J794">
        <v>6</v>
      </c>
      <c r="L794" t="s">
        <v>32</v>
      </c>
      <c r="M794" t="s">
        <v>45</v>
      </c>
      <c r="N794" t="s">
        <v>34</v>
      </c>
      <c r="O794">
        <v>2.87</v>
      </c>
      <c r="Q794" t="s">
        <v>105</v>
      </c>
      <c r="R794" t="s">
        <v>33</v>
      </c>
      <c r="S794" t="b">
        <v>1</v>
      </c>
      <c r="T794" t="b">
        <v>1</v>
      </c>
      <c r="U794" t="b">
        <v>0</v>
      </c>
      <c r="V794" t="b">
        <v>1</v>
      </c>
      <c r="W794" t="b">
        <v>1</v>
      </c>
      <c r="X794">
        <v>6.7</v>
      </c>
      <c r="Y794">
        <v>6.6</v>
      </c>
      <c r="Z794">
        <v>5</v>
      </c>
      <c r="AA794">
        <v>2.6</v>
      </c>
      <c r="AB794" s="3">
        <v>486.6</v>
      </c>
      <c r="AC794" s="3"/>
      <c r="AD794">
        <v>1</v>
      </c>
      <c r="AE794" t="s">
        <v>37</v>
      </c>
      <c r="AF794" s="4"/>
    </row>
    <row r="795" spans="1:32" x14ac:dyDescent="0.3">
      <c r="A795" t="s">
        <v>886</v>
      </c>
      <c r="B795">
        <v>16</v>
      </c>
      <c r="C795" t="str">
        <f t="shared" si="12"/>
        <v>Teenager</v>
      </c>
      <c r="D795" t="s">
        <v>53</v>
      </c>
      <c r="E795">
        <v>6</v>
      </c>
      <c r="G795" t="s">
        <v>60</v>
      </c>
      <c r="H795" t="s">
        <v>200</v>
      </c>
      <c r="I795" t="s">
        <v>71</v>
      </c>
      <c r="J795">
        <v>6</v>
      </c>
      <c r="L795" t="s">
        <v>41</v>
      </c>
      <c r="M795" t="s">
        <v>74</v>
      </c>
      <c r="N795" t="s">
        <v>43</v>
      </c>
      <c r="O795">
        <v>1.35</v>
      </c>
      <c r="Q795" t="s">
        <v>35</v>
      </c>
      <c r="R795" t="s">
        <v>36</v>
      </c>
      <c r="S795" t="b">
        <v>0</v>
      </c>
      <c r="T795" t="b">
        <v>1</v>
      </c>
      <c r="U795" t="b">
        <v>0</v>
      </c>
      <c r="V795" t="b">
        <v>0</v>
      </c>
      <c r="W795" t="b">
        <v>1</v>
      </c>
      <c r="X795">
        <v>0.5</v>
      </c>
      <c r="Y795">
        <v>6</v>
      </c>
      <c r="Z795">
        <v>3</v>
      </c>
      <c r="AA795">
        <v>5.5</v>
      </c>
      <c r="AB795" s="3">
        <v>134.04</v>
      </c>
      <c r="AC795" s="3"/>
      <c r="AD795">
        <v>5</v>
      </c>
      <c r="AE795" t="s">
        <v>64</v>
      </c>
      <c r="AF795" s="4"/>
    </row>
    <row r="796" spans="1:32" x14ac:dyDescent="0.3">
      <c r="A796" t="s">
        <v>887</v>
      </c>
      <c r="B796">
        <v>17</v>
      </c>
      <c r="C796" t="str">
        <f t="shared" si="12"/>
        <v>Teenager</v>
      </c>
      <c r="D796" t="s">
        <v>53</v>
      </c>
      <c r="E796">
        <v>4.7</v>
      </c>
      <c r="G796" t="s">
        <v>82</v>
      </c>
      <c r="H796" t="s">
        <v>167</v>
      </c>
      <c r="I796" t="s">
        <v>31</v>
      </c>
      <c r="J796">
        <v>5</v>
      </c>
      <c r="L796" t="s">
        <v>43</v>
      </c>
      <c r="M796" t="s">
        <v>36</v>
      </c>
      <c r="N796" t="s">
        <v>43</v>
      </c>
      <c r="O796">
        <v>3.27</v>
      </c>
      <c r="Q796" t="s">
        <v>44</v>
      </c>
      <c r="R796" t="s">
        <v>45</v>
      </c>
      <c r="S796" t="b">
        <v>0</v>
      </c>
      <c r="T796" t="b">
        <v>0</v>
      </c>
      <c r="U796" t="b">
        <v>0</v>
      </c>
      <c r="V796" t="b">
        <v>1</v>
      </c>
      <c r="W796" t="b">
        <v>0</v>
      </c>
      <c r="X796">
        <v>3.1</v>
      </c>
      <c r="Y796">
        <v>7.9</v>
      </c>
      <c r="Z796">
        <v>3</v>
      </c>
      <c r="AA796">
        <v>10.199999999999999</v>
      </c>
      <c r="AB796" s="3">
        <v>22.32</v>
      </c>
      <c r="AC796" s="3"/>
      <c r="AD796">
        <v>7</v>
      </c>
      <c r="AE796" t="s">
        <v>46</v>
      </c>
      <c r="AF796" s="4"/>
    </row>
    <row r="797" spans="1:32" x14ac:dyDescent="0.3">
      <c r="A797" t="s">
        <v>888</v>
      </c>
      <c r="B797">
        <v>20</v>
      </c>
      <c r="C797" t="str">
        <f t="shared" si="12"/>
        <v>Young Adults</v>
      </c>
      <c r="D797" t="s">
        <v>53</v>
      </c>
      <c r="E797">
        <v>3.9</v>
      </c>
      <c r="G797" t="s">
        <v>82</v>
      </c>
      <c r="H797" t="s">
        <v>83</v>
      </c>
      <c r="I797" t="s">
        <v>31</v>
      </c>
      <c r="J797">
        <v>6</v>
      </c>
      <c r="L797" t="s">
        <v>43</v>
      </c>
      <c r="M797" t="s">
        <v>45</v>
      </c>
      <c r="N797" t="s">
        <v>34</v>
      </c>
      <c r="O797">
        <v>1.1599999999999999</v>
      </c>
      <c r="P797">
        <v>1</v>
      </c>
      <c r="Q797" t="s">
        <v>66</v>
      </c>
      <c r="R797" t="s">
        <v>42</v>
      </c>
      <c r="S797" t="b">
        <v>0</v>
      </c>
      <c r="T797" t="b">
        <v>0</v>
      </c>
      <c r="U797" t="b">
        <v>0</v>
      </c>
      <c r="V797" t="b">
        <v>0</v>
      </c>
      <c r="W797" t="b">
        <v>0</v>
      </c>
      <c r="X797">
        <v>1.3</v>
      </c>
      <c r="Y797">
        <v>8.9</v>
      </c>
      <c r="Z797">
        <v>3</v>
      </c>
      <c r="AA797">
        <v>8.6</v>
      </c>
      <c r="AB797" s="3">
        <v>28.45</v>
      </c>
      <c r="AC797" s="3"/>
      <c r="AD797">
        <v>6</v>
      </c>
      <c r="AE797" t="s">
        <v>46</v>
      </c>
      <c r="AF797" s="4"/>
    </row>
    <row r="798" spans="1:32" x14ac:dyDescent="0.3">
      <c r="A798" t="s">
        <v>889</v>
      </c>
      <c r="B798">
        <v>18</v>
      </c>
      <c r="C798" t="str">
        <f t="shared" si="12"/>
        <v>Teenager</v>
      </c>
      <c r="D798" t="s">
        <v>28</v>
      </c>
      <c r="E798">
        <v>7.1</v>
      </c>
      <c r="G798" t="s">
        <v>60</v>
      </c>
      <c r="H798" t="s">
        <v>61</v>
      </c>
      <c r="I798" t="s">
        <v>50</v>
      </c>
      <c r="J798">
        <v>4.4000000000000004</v>
      </c>
      <c r="L798" t="s">
        <v>32</v>
      </c>
      <c r="M798" t="s">
        <v>74</v>
      </c>
      <c r="N798" t="s">
        <v>34</v>
      </c>
      <c r="O798">
        <v>1.49</v>
      </c>
      <c r="Q798" t="s">
        <v>35</v>
      </c>
      <c r="R798" t="s">
        <v>42</v>
      </c>
      <c r="S798" t="b">
        <v>1</v>
      </c>
      <c r="T798" t="b">
        <v>1</v>
      </c>
      <c r="U798" t="b">
        <v>0</v>
      </c>
      <c r="V798" t="b">
        <v>1</v>
      </c>
      <c r="W798" t="b">
        <v>1</v>
      </c>
      <c r="X798">
        <v>0.4</v>
      </c>
      <c r="Y798">
        <v>6.3</v>
      </c>
      <c r="Z798">
        <v>4</v>
      </c>
      <c r="AA798">
        <v>6.8</v>
      </c>
      <c r="AB798" s="3">
        <v>94.86</v>
      </c>
      <c r="AC798" s="3"/>
      <c r="AD798">
        <v>2</v>
      </c>
      <c r="AE798" t="s">
        <v>58</v>
      </c>
      <c r="AF798" s="4"/>
    </row>
    <row r="799" spans="1:32" x14ac:dyDescent="0.3">
      <c r="A799" t="s">
        <v>890</v>
      </c>
      <c r="B799">
        <v>20</v>
      </c>
      <c r="C799" t="str">
        <f t="shared" si="12"/>
        <v>Young Adults</v>
      </c>
      <c r="D799" t="s">
        <v>28</v>
      </c>
      <c r="E799">
        <v>2.9</v>
      </c>
      <c r="G799" t="s">
        <v>76</v>
      </c>
      <c r="H799" t="s">
        <v>126</v>
      </c>
      <c r="I799" t="s">
        <v>86</v>
      </c>
      <c r="J799">
        <v>7.7</v>
      </c>
      <c r="L799" t="s">
        <v>43</v>
      </c>
      <c r="M799" t="s">
        <v>33</v>
      </c>
      <c r="N799" t="s">
        <v>84</v>
      </c>
      <c r="O799">
        <v>2.13</v>
      </c>
      <c r="P799">
        <v>7</v>
      </c>
      <c r="Q799" t="s">
        <v>69</v>
      </c>
      <c r="R799" t="s">
        <v>36</v>
      </c>
      <c r="S799" t="b">
        <v>0</v>
      </c>
      <c r="T799" t="b">
        <v>0</v>
      </c>
      <c r="U799" t="b">
        <v>0</v>
      </c>
      <c r="V799" t="b">
        <v>0</v>
      </c>
      <c r="W799" t="b">
        <v>0</v>
      </c>
      <c r="X799">
        <v>0.6</v>
      </c>
      <c r="Y799">
        <v>8.6999999999999993</v>
      </c>
      <c r="Z799">
        <v>1</v>
      </c>
      <c r="AA799">
        <v>8.9</v>
      </c>
      <c r="AB799" s="3">
        <v>41.86</v>
      </c>
      <c r="AC799" s="3"/>
      <c r="AD799">
        <v>8</v>
      </c>
      <c r="AE799" t="s">
        <v>46</v>
      </c>
      <c r="AF799" s="4"/>
    </row>
    <row r="800" spans="1:32" x14ac:dyDescent="0.3">
      <c r="A800" t="s">
        <v>891</v>
      </c>
      <c r="B800">
        <v>22</v>
      </c>
      <c r="C800" t="str">
        <f t="shared" si="12"/>
        <v>Young Adults</v>
      </c>
      <c r="D800" t="s">
        <v>53</v>
      </c>
      <c r="E800">
        <v>6.7</v>
      </c>
      <c r="G800" t="s">
        <v>54</v>
      </c>
      <c r="H800" t="s">
        <v>98</v>
      </c>
      <c r="I800" t="s">
        <v>50</v>
      </c>
      <c r="J800">
        <v>4</v>
      </c>
      <c r="L800" t="s">
        <v>51</v>
      </c>
      <c r="M800" t="s">
        <v>33</v>
      </c>
      <c r="N800" t="s">
        <v>34</v>
      </c>
      <c r="O800">
        <v>3.55</v>
      </c>
      <c r="P800">
        <v>4</v>
      </c>
      <c r="Q800" t="s">
        <v>35</v>
      </c>
      <c r="R800" t="s">
        <v>57</v>
      </c>
      <c r="S800" t="b">
        <v>1</v>
      </c>
      <c r="T800" t="b">
        <v>0</v>
      </c>
      <c r="U800" t="b">
        <v>0</v>
      </c>
      <c r="V800" t="b">
        <v>1</v>
      </c>
      <c r="W800" t="b">
        <v>1</v>
      </c>
      <c r="X800">
        <v>3</v>
      </c>
      <c r="Y800">
        <v>4.5999999999999996</v>
      </c>
      <c r="Z800">
        <v>4</v>
      </c>
      <c r="AA800">
        <v>8.1</v>
      </c>
      <c r="AB800" s="3">
        <v>59.16</v>
      </c>
      <c r="AC800" s="3"/>
      <c r="AD800">
        <v>11</v>
      </c>
      <c r="AE800" t="s">
        <v>64</v>
      </c>
      <c r="AF800" s="4"/>
    </row>
    <row r="801" spans="1:32" x14ac:dyDescent="0.3">
      <c r="A801" t="s">
        <v>892</v>
      </c>
      <c r="B801">
        <v>27</v>
      </c>
      <c r="C801" t="str">
        <f t="shared" si="12"/>
        <v>Young Adults</v>
      </c>
      <c r="D801" t="s">
        <v>28</v>
      </c>
      <c r="E801">
        <v>7.6</v>
      </c>
      <c r="G801" t="s">
        <v>76</v>
      </c>
      <c r="H801" t="s">
        <v>110</v>
      </c>
      <c r="I801" t="s">
        <v>86</v>
      </c>
      <c r="J801">
        <v>3.3</v>
      </c>
      <c r="L801" t="s">
        <v>51</v>
      </c>
      <c r="M801" t="s">
        <v>45</v>
      </c>
      <c r="N801" t="s">
        <v>43</v>
      </c>
      <c r="P801">
        <v>5</v>
      </c>
      <c r="Q801" t="s">
        <v>56</v>
      </c>
      <c r="R801" t="s">
        <v>45</v>
      </c>
      <c r="S801" t="b">
        <v>1</v>
      </c>
      <c r="T801" t="b">
        <v>0</v>
      </c>
      <c r="U801" t="b">
        <v>0</v>
      </c>
      <c r="V801" t="b">
        <v>1</v>
      </c>
      <c r="W801" t="b">
        <v>1</v>
      </c>
      <c r="X801">
        <v>2.2000000000000002</v>
      </c>
      <c r="Y801">
        <v>4.5999999999999996</v>
      </c>
      <c r="Z801">
        <v>4</v>
      </c>
      <c r="AA801">
        <v>2.8</v>
      </c>
      <c r="AB801" s="3">
        <v>114.21</v>
      </c>
      <c r="AC801" s="3"/>
      <c r="AD801">
        <v>15</v>
      </c>
      <c r="AE801" t="s">
        <v>64</v>
      </c>
      <c r="AF801" s="4"/>
    </row>
    <row r="802" spans="1:32" x14ac:dyDescent="0.3">
      <c r="A802" t="s">
        <v>893</v>
      </c>
      <c r="B802">
        <v>17</v>
      </c>
      <c r="C802" t="str">
        <f t="shared" si="12"/>
        <v>Teenager</v>
      </c>
      <c r="D802" t="s">
        <v>28</v>
      </c>
      <c r="E802">
        <v>6.6</v>
      </c>
      <c r="G802" t="s">
        <v>76</v>
      </c>
      <c r="H802" t="s">
        <v>110</v>
      </c>
      <c r="I802" t="s">
        <v>86</v>
      </c>
      <c r="J802">
        <v>5.8</v>
      </c>
      <c r="L802" t="s">
        <v>32</v>
      </c>
      <c r="M802" t="s">
        <v>36</v>
      </c>
      <c r="N802" t="s">
        <v>34</v>
      </c>
      <c r="O802">
        <v>3.68</v>
      </c>
      <c r="Q802" t="s">
        <v>35</v>
      </c>
      <c r="R802" t="s">
        <v>45</v>
      </c>
      <c r="S802" t="b">
        <v>1</v>
      </c>
      <c r="T802" t="b">
        <v>0</v>
      </c>
      <c r="U802" t="b">
        <v>0</v>
      </c>
      <c r="V802" t="b">
        <v>1</v>
      </c>
      <c r="W802" t="b">
        <v>1</v>
      </c>
      <c r="X802">
        <v>0.3</v>
      </c>
      <c r="Y802">
        <v>5.3</v>
      </c>
      <c r="Z802">
        <v>5</v>
      </c>
      <c r="AA802">
        <v>6.4</v>
      </c>
      <c r="AB802" s="3">
        <v>59.22</v>
      </c>
      <c r="AC802" s="3"/>
      <c r="AD802">
        <v>4</v>
      </c>
      <c r="AE802" t="s">
        <v>64</v>
      </c>
      <c r="AF802" s="4"/>
    </row>
    <row r="803" spans="1:32" x14ac:dyDescent="0.3">
      <c r="A803" t="s">
        <v>894</v>
      </c>
      <c r="B803">
        <v>19</v>
      </c>
      <c r="C803" t="str">
        <f t="shared" si="12"/>
        <v>Teenager</v>
      </c>
      <c r="D803" t="s">
        <v>28</v>
      </c>
      <c r="E803">
        <v>5.3</v>
      </c>
      <c r="G803" t="s">
        <v>54</v>
      </c>
      <c r="H803" t="s">
        <v>98</v>
      </c>
      <c r="I803" t="s">
        <v>31</v>
      </c>
      <c r="J803">
        <v>5.5</v>
      </c>
      <c r="L803" t="s">
        <v>51</v>
      </c>
      <c r="M803" t="s">
        <v>36</v>
      </c>
      <c r="N803" t="s">
        <v>62</v>
      </c>
      <c r="O803">
        <v>2.2599999999999998</v>
      </c>
      <c r="P803">
        <v>2</v>
      </c>
      <c r="Q803" t="s">
        <v>63</v>
      </c>
      <c r="R803" t="s">
        <v>42</v>
      </c>
      <c r="S803" t="b">
        <v>0</v>
      </c>
      <c r="T803" t="b">
        <v>0</v>
      </c>
      <c r="U803" t="b">
        <v>0</v>
      </c>
      <c r="V803" t="b">
        <v>0</v>
      </c>
      <c r="W803" t="b">
        <v>0</v>
      </c>
      <c r="X803">
        <v>0.2</v>
      </c>
      <c r="Y803">
        <v>5.6</v>
      </c>
      <c r="Z803">
        <v>3</v>
      </c>
      <c r="AA803">
        <v>9.1999999999999993</v>
      </c>
      <c r="AB803" s="3">
        <v>112.89</v>
      </c>
      <c r="AC803" s="3"/>
      <c r="AD803">
        <v>6</v>
      </c>
      <c r="AE803" t="s">
        <v>46</v>
      </c>
      <c r="AF803" s="4"/>
    </row>
    <row r="804" spans="1:32" x14ac:dyDescent="0.3">
      <c r="A804" t="s">
        <v>895</v>
      </c>
      <c r="B804">
        <v>17</v>
      </c>
      <c r="C804" t="str">
        <f t="shared" si="12"/>
        <v>Teenager</v>
      </c>
      <c r="D804" t="s">
        <v>152</v>
      </c>
      <c r="E804">
        <v>5.6</v>
      </c>
      <c r="G804" t="s">
        <v>54</v>
      </c>
      <c r="H804" t="s">
        <v>55</v>
      </c>
      <c r="I804" t="s">
        <v>50</v>
      </c>
      <c r="J804">
        <v>6.3</v>
      </c>
      <c r="L804" t="s">
        <v>32</v>
      </c>
      <c r="M804" t="s">
        <v>45</v>
      </c>
      <c r="N804" t="s">
        <v>84</v>
      </c>
      <c r="O804">
        <v>1.82</v>
      </c>
      <c r="Q804" t="s">
        <v>105</v>
      </c>
      <c r="R804" t="s">
        <v>45</v>
      </c>
      <c r="S804" t="b">
        <v>0</v>
      </c>
      <c r="T804" t="b">
        <v>1</v>
      </c>
      <c r="U804" t="b">
        <v>0</v>
      </c>
      <c r="V804" t="b">
        <v>1</v>
      </c>
      <c r="W804" t="b">
        <v>0</v>
      </c>
      <c r="X804">
        <v>2.5</v>
      </c>
      <c r="Y804">
        <v>7.3</v>
      </c>
      <c r="Z804">
        <v>3</v>
      </c>
      <c r="AA804">
        <v>9.9</v>
      </c>
      <c r="AB804" s="3">
        <v>148.83000000000001</v>
      </c>
      <c r="AC804" s="3"/>
      <c r="AD804">
        <v>5</v>
      </c>
      <c r="AE804" t="s">
        <v>64</v>
      </c>
      <c r="AF804" s="4"/>
    </row>
    <row r="805" spans="1:32" x14ac:dyDescent="0.3">
      <c r="A805" t="s">
        <v>896</v>
      </c>
      <c r="B805">
        <v>15</v>
      </c>
      <c r="C805" t="str">
        <f t="shared" si="12"/>
        <v>Teenager</v>
      </c>
      <c r="D805" t="s">
        <v>28</v>
      </c>
      <c r="E805">
        <v>3.4</v>
      </c>
      <c r="G805" t="s">
        <v>39</v>
      </c>
      <c r="H805" t="s">
        <v>120</v>
      </c>
      <c r="I805" t="s">
        <v>71</v>
      </c>
      <c r="J805">
        <v>8.4</v>
      </c>
      <c r="L805" t="s">
        <v>43</v>
      </c>
      <c r="M805" t="s">
        <v>33</v>
      </c>
      <c r="N805" t="s">
        <v>34</v>
      </c>
      <c r="O805">
        <v>3.17</v>
      </c>
      <c r="Q805" t="s">
        <v>66</v>
      </c>
      <c r="R805" t="s">
        <v>42</v>
      </c>
      <c r="S805" t="b">
        <v>0</v>
      </c>
      <c r="T805" t="b">
        <v>0</v>
      </c>
      <c r="U805" t="b">
        <v>0</v>
      </c>
      <c r="V805" t="b">
        <v>0</v>
      </c>
      <c r="W805" t="b">
        <v>0</v>
      </c>
      <c r="X805">
        <v>1</v>
      </c>
      <c r="Y805">
        <v>7.2</v>
      </c>
      <c r="Z805">
        <v>3</v>
      </c>
      <c r="AA805">
        <v>11.9</v>
      </c>
      <c r="AB805" s="3">
        <v>28.03</v>
      </c>
      <c r="AC805" s="3"/>
      <c r="AD805">
        <v>4</v>
      </c>
      <c r="AE805" t="s">
        <v>46</v>
      </c>
      <c r="AF805" s="4"/>
    </row>
    <row r="806" spans="1:32" x14ac:dyDescent="0.3">
      <c r="A806" t="s">
        <v>897</v>
      </c>
      <c r="B806">
        <v>15</v>
      </c>
      <c r="C806" t="str">
        <f t="shared" si="12"/>
        <v>Teenager</v>
      </c>
      <c r="D806" t="s">
        <v>28</v>
      </c>
      <c r="E806">
        <v>8.1999999999999993</v>
      </c>
      <c r="G806" t="s">
        <v>82</v>
      </c>
      <c r="H806" t="s">
        <v>83</v>
      </c>
      <c r="I806" t="s">
        <v>86</v>
      </c>
      <c r="J806">
        <v>5.3</v>
      </c>
      <c r="L806" t="s">
        <v>51</v>
      </c>
      <c r="M806" t="s">
        <v>74</v>
      </c>
      <c r="N806" t="s">
        <v>34</v>
      </c>
      <c r="O806">
        <v>2.36</v>
      </c>
      <c r="Q806" t="s">
        <v>35</v>
      </c>
      <c r="R806" t="s">
        <v>45</v>
      </c>
      <c r="S806" t="b">
        <v>0</v>
      </c>
      <c r="T806" t="b">
        <v>0</v>
      </c>
      <c r="U806" t="b">
        <v>0</v>
      </c>
      <c r="V806" t="b">
        <v>1</v>
      </c>
      <c r="W806" t="b">
        <v>0</v>
      </c>
      <c r="X806">
        <v>1.6</v>
      </c>
      <c r="Y806">
        <v>5.8</v>
      </c>
      <c r="Z806">
        <v>5</v>
      </c>
      <c r="AA806">
        <v>4.5999999999999996</v>
      </c>
      <c r="AB806" s="3">
        <v>88.12</v>
      </c>
      <c r="AC806" s="3"/>
      <c r="AD806">
        <v>1</v>
      </c>
      <c r="AE806" t="s">
        <v>46</v>
      </c>
      <c r="AF806" s="4"/>
    </row>
    <row r="807" spans="1:32" x14ac:dyDescent="0.3">
      <c r="A807" t="s">
        <v>898</v>
      </c>
      <c r="B807">
        <v>22</v>
      </c>
      <c r="C807" t="str">
        <f t="shared" si="12"/>
        <v>Young Adults</v>
      </c>
      <c r="D807" t="s">
        <v>28</v>
      </c>
      <c r="E807">
        <v>10.5</v>
      </c>
      <c r="G807" t="s">
        <v>48</v>
      </c>
      <c r="H807" t="s">
        <v>214</v>
      </c>
      <c r="I807" t="s">
        <v>71</v>
      </c>
      <c r="J807">
        <v>4.8</v>
      </c>
      <c r="L807" t="s">
        <v>32</v>
      </c>
      <c r="M807" t="s">
        <v>74</v>
      </c>
      <c r="N807" t="s">
        <v>51</v>
      </c>
      <c r="O807">
        <v>1.41</v>
      </c>
      <c r="P807">
        <v>6</v>
      </c>
      <c r="Q807" t="s">
        <v>44</v>
      </c>
      <c r="R807" t="s">
        <v>45</v>
      </c>
      <c r="S807" t="b">
        <v>1</v>
      </c>
      <c r="T807" t="b">
        <v>1</v>
      </c>
      <c r="U807" t="b">
        <v>1</v>
      </c>
      <c r="V807" t="b">
        <v>1</v>
      </c>
      <c r="W807" t="b">
        <v>0</v>
      </c>
      <c r="X807">
        <v>3.1</v>
      </c>
      <c r="Y807">
        <v>4.9000000000000004</v>
      </c>
      <c r="Z807">
        <v>6</v>
      </c>
      <c r="AA807">
        <v>0.1</v>
      </c>
      <c r="AB807" s="3">
        <v>443.88</v>
      </c>
      <c r="AC807" s="3"/>
      <c r="AD807">
        <v>11</v>
      </c>
      <c r="AE807" t="s">
        <v>37</v>
      </c>
      <c r="AF807" s="4"/>
    </row>
    <row r="808" spans="1:32" x14ac:dyDescent="0.3">
      <c r="A808" t="s">
        <v>899</v>
      </c>
      <c r="B808">
        <v>22</v>
      </c>
      <c r="C808" t="str">
        <f t="shared" si="12"/>
        <v>Young Adults</v>
      </c>
      <c r="D808" t="s">
        <v>28</v>
      </c>
      <c r="E808">
        <v>7.4</v>
      </c>
      <c r="G808" t="s">
        <v>54</v>
      </c>
      <c r="H808" t="s">
        <v>98</v>
      </c>
      <c r="I808" t="s">
        <v>31</v>
      </c>
      <c r="J808">
        <v>3.2</v>
      </c>
      <c r="L808" t="s">
        <v>32</v>
      </c>
      <c r="M808" t="s">
        <v>74</v>
      </c>
      <c r="N808" t="s">
        <v>34</v>
      </c>
      <c r="O808">
        <v>2.8</v>
      </c>
      <c r="P808">
        <v>5</v>
      </c>
      <c r="Q808" t="s">
        <v>63</v>
      </c>
      <c r="R808" t="s">
        <v>45</v>
      </c>
      <c r="S808" t="b">
        <v>0</v>
      </c>
      <c r="T808" t="b">
        <v>1</v>
      </c>
      <c r="U808" t="b">
        <v>0</v>
      </c>
      <c r="V808" t="b">
        <v>1</v>
      </c>
      <c r="W808" t="b">
        <v>0</v>
      </c>
      <c r="X808">
        <v>2.6</v>
      </c>
      <c r="Y808">
        <v>8.1999999999999993</v>
      </c>
      <c r="Z808">
        <v>4</v>
      </c>
      <c r="AA808">
        <v>4.5999999999999996</v>
      </c>
      <c r="AB808" s="3">
        <v>20.41</v>
      </c>
      <c r="AC808" s="3"/>
      <c r="AD808">
        <v>6</v>
      </c>
      <c r="AE808" t="s">
        <v>64</v>
      </c>
      <c r="AF808" s="4"/>
    </row>
    <row r="809" spans="1:32" x14ac:dyDescent="0.3">
      <c r="A809" t="s">
        <v>900</v>
      </c>
      <c r="B809">
        <v>27</v>
      </c>
      <c r="C809" t="str">
        <f t="shared" si="12"/>
        <v>Young Adults</v>
      </c>
      <c r="D809" t="s">
        <v>28</v>
      </c>
      <c r="E809">
        <v>4.7</v>
      </c>
      <c r="G809" t="s">
        <v>60</v>
      </c>
      <c r="H809" t="s">
        <v>102</v>
      </c>
      <c r="I809" t="s">
        <v>86</v>
      </c>
      <c r="J809">
        <v>5.9</v>
      </c>
      <c r="L809" t="s">
        <v>51</v>
      </c>
      <c r="M809" t="s">
        <v>36</v>
      </c>
      <c r="N809" t="s">
        <v>34</v>
      </c>
      <c r="P809">
        <v>6</v>
      </c>
      <c r="Q809" t="s">
        <v>105</v>
      </c>
      <c r="R809" t="s">
        <v>42</v>
      </c>
      <c r="S809" t="b">
        <v>0</v>
      </c>
      <c r="T809" t="b">
        <v>0</v>
      </c>
      <c r="U809" t="b">
        <v>0</v>
      </c>
      <c r="V809" t="b">
        <v>1</v>
      </c>
      <c r="W809" t="b">
        <v>0</v>
      </c>
      <c r="X809">
        <v>1.5</v>
      </c>
      <c r="Y809">
        <v>5.9</v>
      </c>
      <c r="Z809">
        <v>1</v>
      </c>
      <c r="AA809">
        <v>11.6</v>
      </c>
      <c r="AB809" s="3">
        <v>121.89</v>
      </c>
      <c r="AC809" s="3"/>
      <c r="AD809">
        <v>6</v>
      </c>
      <c r="AE809" t="s">
        <v>46</v>
      </c>
      <c r="AF809" s="4"/>
    </row>
    <row r="810" spans="1:32" x14ac:dyDescent="0.3">
      <c r="A810" t="s">
        <v>901</v>
      </c>
      <c r="B810">
        <v>16</v>
      </c>
      <c r="C810" t="str">
        <f t="shared" si="12"/>
        <v>Teenager</v>
      </c>
      <c r="D810" t="s">
        <v>28</v>
      </c>
      <c r="E810">
        <v>5</v>
      </c>
      <c r="G810" t="s">
        <v>29</v>
      </c>
      <c r="H810" t="s">
        <v>118</v>
      </c>
      <c r="I810" t="s">
        <v>31</v>
      </c>
      <c r="J810">
        <v>6.1</v>
      </c>
      <c r="L810" t="s">
        <v>41</v>
      </c>
      <c r="M810" t="s">
        <v>33</v>
      </c>
      <c r="N810" t="s">
        <v>34</v>
      </c>
      <c r="O810">
        <v>3.18</v>
      </c>
      <c r="Q810" t="s">
        <v>35</v>
      </c>
      <c r="R810" t="s">
        <v>42</v>
      </c>
      <c r="S810" t="b">
        <v>0</v>
      </c>
      <c r="T810" t="b">
        <v>0</v>
      </c>
      <c r="U810" t="b">
        <v>0</v>
      </c>
      <c r="V810" t="b">
        <v>1</v>
      </c>
      <c r="W810" t="b">
        <v>0</v>
      </c>
      <c r="X810">
        <v>1.5</v>
      </c>
      <c r="Y810">
        <v>8.8000000000000007</v>
      </c>
      <c r="Z810">
        <v>2</v>
      </c>
      <c r="AA810">
        <v>9.6999999999999993</v>
      </c>
      <c r="AB810" s="3">
        <v>90.52</v>
      </c>
      <c r="AC810" s="3"/>
      <c r="AD810">
        <v>2</v>
      </c>
      <c r="AE810" t="s">
        <v>46</v>
      </c>
      <c r="AF810" s="4"/>
    </row>
    <row r="811" spans="1:32" x14ac:dyDescent="0.3">
      <c r="A811" t="s">
        <v>902</v>
      </c>
      <c r="B811">
        <v>22</v>
      </c>
      <c r="C811" t="str">
        <f t="shared" si="12"/>
        <v>Young Adults</v>
      </c>
      <c r="D811" t="s">
        <v>28</v>
      </c>
      <c r="E811">
        <v>4.9000000000000004</v>
      </c>
      <c r="G811" t="s">
        <v>82</v>
      </c>
      <c r="H811" t="s">
        <v>83</v>
      </c>
      <c r="I811" t="s">
        <v>86</v>
      </c>
      <c r="J811">
        <v>5.3</v>
      </c>
      <c r="L811" t="s">
        <v>51</v>
      </c>
      <c r="M811" t="s">
        <v>45</v>
      </c>
      <c r="N811" t="s">
        <v>34</v>
      </c>
      <c r="O811">
        <v>3.98</v>
      </c>
      <c r="P811">
        <v>9</v>
      </c>
      <c r="Q811" t="s">
        <v>63</v>
      </c>
      <c r="R811" t="s">
        <v>45</v>
      </c>
      <c r="S811" t="b">
        <v>0</v>
      </c>
      <c r="T811" t="b">
        <v>0</v>
      </c>
      <c r="U811" t="b">
        <v>0</v>
      </c>
      <c r="V811" t="b">
        <v>1</v>
      </c>
      <c r="W811" t="b">
        <v>0</v>
      </c>
      <c r="X811">
        <v>0.4</v>
      </c>
      <c r="Y811">
        <v>8.9</v>
      </c>
      <c r="Z811">
        <v>5</v>
      </c>
      <c r="AA811">
        <v>8.9</v>
      </c>
      <c r="AB811" s="3">
        <v>40.15</v>
      </c>
      <c r="AC811" s="3"/>
      <c r="AD811">
        <v>6</v>
      </c>
      <c r="AE811" t="s">
        <v>46</v>
      </c>
      <c r="AF811" s="4"/>
    </row>
    <row r="812" spans="1:32" x14ac:dyDescent="0.3">
      <c r="A812" t="s">
        <v>903</v>
      </c>
      <c r="B812">
        <v>14</v>
      </c>
      <c r="C812" t="str">
        <f t="shared" si="12"/>
        <v>Teenager</v>
      </c>
      <c r="D812" t="s">
        <v>28</v>
      </c>
      <c r="E812">
        <v>8.6999999999999993</v>
      </c>
      <c r="G812" t="s">
        <v>54</v>
      </c>
      <c r="H812" t="s">
        <v>98</v>
      </c>
      <c r="I812" t="s">
        <v>31</v>
      </c>
      <c r="J812">
        <v>5.0999999999999996</v>
      </c>
      <c r="L812" t="s">
        <v>51</v>
      </c>
      <c r="M812" t="s">
        <v>74</v>
      </c>
      <c r="N812" t="s">
        <v>34</v>
      </c>
      <c r="O812">
        <v>2.0699999999999998</v>
      </c>
      <c r="Q812" t="s">
        <v>69</v>
      </c>
      <c r="R812" t="s">
        <v>33</v>
      </c>
      <c r="S812" t="b">
        <v>0</v>
      </c>
      <c r="T812" t="b">
        <v>1</v>
      </c>
      <c r="U812" t="b">
        <v>1</v>
      </c>
      <c r="V812" t="b">
        <v>1</v>
      </c>
      <c r="W812" t="b">
        <v>1</v>
      </c>
      <c r="X812">
        <v>1.5</v>
      </c>
      <c r="Y812">
        <v>7.2</v>
      </c>
      <c r="Z812">
        <v>6</v>
      </c>
      <c r="AA812">
        <v>5.2</v>
      </c>
      <c r="AB812" s="3">
        <v>259.52</v>
      </c>
      <c r="AC812" s="3"/>
      <c r="AD812">
        <v>3</v>
      </c>
      <c r="AE812" t="s">
        <v>37</v>
      </c>
      <c r="AF812" s="4"/>
    </row>
    <row r="813" spans="1:32" x14ac:dyDescent="0.3">
      <c r="A813" t="s">
        <v>904</v>
      </c>
      <c r="B813">
        <v>19</v>
      </c>
      <c r="C813" t="str">
        <f t="shared" si="12"/>
        <v>Teenager</v>
      </c>
      <c r="D813" t="s">
        <v>28</v>
      </c>
      <c r="E813">
        <v>1.7</v>
      </c>
      <c r="G813" t="s">
        <v>54</v>
      </c>
      <c r="H813" t="s">
        <v>98</v>
      </c>
      <c r="I813" t="s">
        <v>50</v>
      </c>
      <c r="J813">
        <v>7.4</v>
      </c>
      <c r="L813" t="s">
        <v>51</v>
      </c>
      <c r="M813" t="s">
        <v>33</v>
      </c>
      <c r="N813" t="s">
        <v>43</v>
      </c>
      <c r="O813">
        <v>2.27</v>
      </c>
      <c r="P813">
        <v>3</v>
      </c>
      <c r="Q813" t="s">
        <v>66</v>
      </c>
      <c r="R813" t="s">
        <v>42</v>
      </c>
      <c r="S813" t="b">
        <v>0</v>
      </c>
      <c r="T813" t="b">
        <v>0</v>
      </c>
      <c r="U813" t="b">
        <v>0</v>
      </c>
      <c r="V813" t="b">
        <v>0</v>
      </c>
      <c r="W813" t="b">
        <v>0</v>
      </c>
      <c r="X813">
        <v>0.5</v>
      </c>
      <c r="Y813">
        <v>9.3000000000000007</v>
      </c>
      <c r="Z813">
        <v>1</v>
      </c>
      <c r="AA813">
        <v>11.2</v>
      </c>
      <c r="AB813" s="3">
        <v>16.37</v>
      </c>
      <c r="AC813" s="3"/>
      <c r="AD813">
        <v>5</v>
      </c>
      <c r="AE813" t="s">
        <v>46</v>
      </c>
      <c r="AF813" s="4"/>
    </row>
    <row r="814" spans="1:32" x14ac:dyDescent="0.3">
      <c r="A814" t="s">
        <v>905</v>
      </c>
      <c r="B814">
        <v>18</v>
      </c>
      <c r="C814" t="str">
        <f t="shared" si="12"/>
        <v>Teenager</v>
      </c>
      <c r="D814" t="s">
        <v>28</v>
      </c>
      <c r="E814">
        <v>6.8</v>
      </c>
      <c r="G814" t="s">
        <v>29</v>
      </c>
      <c r="H814" t="s">
        <v>73</v>
      </c>
      <c r="I814" t="s">
        <v>31</v>
      </c>
      <c r="J814">
        <v>5.2</v>
      </c>
      <c r="L814" t="s">
        <v>78</v>
      </c>
      <c r="M814" t="s">
        <v>74</v>
      </c>
      <c r="N814" t="s">
        <v>129</v>
      </c>
      <c r="O814">
        <v>3.29</v>
      </c>
      <c r="Q814" t="s">
        <v>35</v>
      </c>
      <c r="R814" t="s">
        <v>45</v>
      </c>
      <c r="S814" t="b">
        <v>1</v>
      </c>
      <c r="T814" t="b">
        <v>0</v>
      </c>
      <c r="U814" t="b">
        <v>0</v>
      </c>
      <c r="V814" t="b">
        <v>0</v>
      </c>
      <c r="W814" t="b">
        <v>1</v>
      </c>
      <c r="X814">
        <v>0.2</v>
      </c>
      <c r="Y814">
        <v>6.8</v>
      </c>
      <c r="Z814">
        <v>6</v>
      </c>
      <c r="AA814">
        <v>7.9</v>
      </c>
      <c r="AB814" s="3">
        <v>26.83</v>
      </c>
      <c r="AC814" s="3"/>
      <c r="AD814">
        <v>7</v>
      </c>
      <c r="AE814" t="s">
        <v>64</v>
      </c>
      <c r="AF814" s="4"/>
    </row>
    <row r="815" spans="1:32" x14ac:dyDescent="0.3">
      <c r="A815" t="s">
        <v>906</v>
      </c>
      <c r="B815">
        <v>24</v>
      </c>
      <c r="C815" t="str">
        <f t="shared" si="12"/>
        <v>Young Adults</v>
      </c>
      <c r="D815" t="s">
        <v>28</v>
      </c>
      <c r="E815">
        <v>8.9</v>
      </c>
      <c r="G815" t="s">
        <v>76</v>
      </c>
      <c r="H815" t="s">
        <v>77</v>
      </c>
      <c r="I815" t="s">
        <v>31</v>
      </c>
      <c r="J815">
        <v>4.7</v>
      </c>
      <c r="L815" t="s">
        <v>32</v>
      </c>
      <c r="M815" t="s">
        <v>36</v>
      </c>
      <c r="N815" t="s">
        <v>43</v>
      </c>
      <c r="P815">
        <v>4</v>
      </c>
      <c r="Q815" t="s">
        <v>80</v>
      </c>
      <c r="R815" t="s">
        <v>45</v>
      </c>
      <c r="S815" t="b">
        <v>1</v>
      </c>
      <c r="T815" t="b">
        <v>1</v>
      </c>
      <c r="U815" t="b">
        <v>0</v>
      </c>
      <c r="V815" t="b">
        <v>1</v>
      </c>
      <c r="W815" t="b">
        <v>1</v>
      </c>
      <c r="X815">
        <v>5</v>
      </c>
      <c r="Y815">
        <v>4.3</v>
      </c>
      <c r="Z815">
        <v>7</v>
      </c>
      <c r="AA815">
        <v>2.8</v>
      </c>
      <c r="AB815" s="3">
        <v>391.6</v>
      </c>
      <c r="AC815" s="3"/>
      <c r="AD815">
        <v>5</v>
      </c>
      <c r="AE815" t="s">
        <v>37</v>
      </c>
      <c r="AF815" s="4"/>
    </row>
    <row r="816" spans="1:32" x14ac:dyDescent="0.3">
      <c r="A816" t="s">
        <v>907</v>
      </c>
      <c r="B816">
        <v>25</v>
      </c>
      <c r="C816" t="str">
        <f t="shared" si="12"/>
        <v>Young Adults</v>
      </c>
      <c r="D816" t="s">
        <v>28</v>
      </c>
      <c r="E816">
        <v>4.2</v>
      </c>
      <c r="G816" t="s">
        <v>54</v>
      </c>
      <c r="H816" t="s">
        <v>89</v>
      </c>
      <c r="I816" t="s">
        <v>71</v>
      </c>
      <c r="J816">
        <v>5.3</v>
      </c>
      <c r="L816" t="s">
        <v>43</v>
      </c>
      <c r="M816" t="s">
        <v>45</v>
      </c>
      <c r="N816" t="s">
        <v>84</v>
      </c>
      <c r="P816">
        <v>5</v>
      </c>
      <c r="Q816" t="s">
        <v>80</v>
      </c>
      <c r="R816" t="s">
        <v>45</v>
      </c>
      <c r="S816" t="b">
        <v>0</v>
      </c>
      <c r="T816" t="b">
        <v>0</v>
      </c>
      <c r="U816" t="b">
        <v>0</v>
      </c>
      <c r="V816" t="b">
        <v>0</v>
      </c>
      <c r="W816" t="b">
        <v>0</v>
      </c>
      <c r="X816">
        <v>1.1000000000000001</v>
      </c>
      <c r="Y816">
        <v>8.5</v>
      </c>
      <c r="Z816">
        <v>2</v>
      </c>
      <c r="AA816">
        <v>12.8</v>
      </c>
      <c r="AB816" s="3">
        <v>48.39</v>
      </c>
      <c r="AC816" s="3"/>
      <c r="AD816">
        <v>13</v>
      </c>
      <c r="AE816" t="s">
        <v>46</v>
      </c>
      <c r="AF816" s="4"/>
    </row>
    <row r="817" spans="1:32" x14ac:dyDescent="0.3">
      <c r="A817" t="s">
        <v>908</v>
      </c>
      <c r="B817">
        <v>18</v>
      </c>
      <c r="C817" t="str">
        <f t="shared" si="12"/>
        <v>Teenager</v>
      </c>
      <c r="D817" t="s">
        <v>28</v>
      </c>
      <c r="E817">
        <v>6.9</v>
      </c>
      <c r="G817" t="s">
        <v>82</v>
      </c>
      <c r="H817" t="s">
        <v>167</v>
      </c>
      <c r="I817" t="s">
        <v>71</v>
      </c>
      <c r="J817">
        <v>5.7</v>
      </c>
      <c r="L817" t="s">
        <v>51</v>
      </c>
      <c r="M817" t="s">
        <v>45</v>
      </c>
      <c r="N817" t="s">
        <v>34</v>
      </c>
      <c r="O817">
        <v>3.77</v>
      </c>
      <c r="Q817" t="s">
        <v>80</v>
      </c>
      <c r="R817" t="s">
        <v>33</v>
      </c>
      <c r="S817" t="b">
        <v>1</v>
      </c>
      <c r="T817" t="b">
        <v>1</v>
      </c>
      <c r="U817" t="b">
        <v>0</v>
      </c>
      <c r="V817" t="b">
        <v>0</v>
      </c>
      <c r="W817" t="b">
        <v>0</v>
      </c>
      <c r="X817">
        <v>3.6</v>
      </c>
      <c r="Y817">
        <v>7.5</v>
      </c>
      <c r="Z817">
        <v>3</v>
      </c>
      <c r="AA817">
        <v>9.4</v>
      </c>
      <c r="AB817" s="3">
        <v>146.82</v>
      </c>
      <c r="AC817" s="3"/>
      <c r="AD817">
        <v>7</v>
      </c>
      <c r="AE817" t="s">
        <v>58</v>
      </c>
      <c r="AF817" s="4"/>
    </row>
    <row r="818" spans="1:32" x14ac:dyDescent="0.3">
      <c r="A818" t="s">
        <v>909</v>
      </c>
      <c r="B818">
        <v>27</v>
      </c>
      <c r="C818" t="str">
        <f t="shared" si="12"/>
        <v>Young Adults</v>
      </c>
      <c r="D818" t="s">
        <v>28</v>
      </c>
      <c r="E818">
        <v>6</v>
      </c>
      <c r="G818" t="s">
        <v>39</v>
      </c>
      <c r="H818" t="s">
        <v>40</v>
      </c>
      <c r="I818" t="s">
        <v>50</v>
      </c>
      <c r="J818">
        <v>6.3</v>
      </c>
      <c r="L818" t="s">
        <v>32</v>
      </c>
      <c r="M818" t="s">
        <v>42</v>
      </c>
      <c r="N818" t="s">
        <v>84</v>
      </c>
      <c r="P818">
        <v>10</v>
      </c>
      <c r="Q818" t="s">
        <v>69</v>
      </c>
      <c r="R818" t="s">
        <v>57</v>
      </c>
      <c r="S818" t="b">
        <v>0</v>
      </c>
      <c r="T818" t="b">
        <v>1</v>
      </c>
      <c r="U818" t="b">
        <v>0</v>
      </c>
      <c r="V818" t="b">
        <v>1</v>
      </c>
      <c r="W818" t="b">
        <v>1</v>
      </c>
      <c r="X818">
        <v>1.1000000000000001</v>
      </c>
      <c r="Y818">
        <v>5.6</v>
      </c>
      <c r="Z818">
        <v>3</v>
      </c>
      <c r="AA818">
        <v>9.4</v>
      </c>
      <c r="AB818" s="3">
        <v>107.64</v>
      </c>
      <c r="AC818" s="3"/>
      <c r="AD818">
        <v>10</v>
      </c>
      <c r="AE818" t="s">
        <v>64</v>
      </c>
      <c r="AF818" s="4"/>
    </row>
    <row r="819" spans="1:32" x14ac:dyDescent="0.3">
      <c r="A819" t="s">
        <v>910</v>
      </c>
      <c r="B819">
        <v>19</v>
      </c>
      <c r="C819" t="str">
        <f t="shared" si="12"/>
        <v>Teenager</v>
      </c>
      <c r="D819" t="s">
        <v>28</v>
      </c>
      <c r="E819">
        <v>11</v>
      </c>
      <c r="G819" t="s">
        <v>29</v>
      </c>
      <c r="H819" t="s">
        <v>30</v>
      </c>
      <c r="I819" t="s">
        <v>71</v>
      </c>
      <c r="J819">
        <v>5.3</v>
      </c>
      <c r="L819" t="s">
        <v>78</v>
      </c>
      <c r="M819" t="s">
        <v>33</v>
      </c>
      <c r="N819" t="s">
        <v>129</v>
      </c>
      <c r="O819">
        <v>1.88</v>
      </c>
      <c r="P819">
        <v>9</v>
      </c>
      <c r="Q819" t="s">
        <v>69</v>
      </c>
      <c r="R819" t="s">
        <v>45</v>
      </c>
      <c r="S819" t="b">
        <v>0</v>
      </c>
      <c r="T819" t="b">
        <v>0</v>
      </c>
      <c r="U819" t="b">
        <v>0</v>
      </c>
      <c r="V819" t="b">
        <v>1</v>
      </c>
      <c r="W819" t="b">
        <v>0</v>
      </c>
      <c r="X819">
        <v>1.4</v>
      </c>
      <c r="Y819">
        <v>4.7</v>
      </c>
      <c r="Z819">
        <v>6</v>
      </c>
      <c r="AA819">
        <v>0</v>
      </c>
      <c r="AB819" s="3">
        <v>341.34</v>
      </c>
      <c r="AC819" s="3"/>
      <c r="AD819">
        <v>1</v>
      </c>
      <c r="AE819" t="s">
        <v>64</v>
      </c>
      <c r="AF819" s="4"/>
    </row>
    <row r="820" spans="1:32" x14ac:dyDescent="0.3">
      <c r="A820" t="s">
        <v>911</v>
      </c>
      <c r="B820">
        <v>18</v>
      </c>
      <c r="C820" t="str">
        <f t="shared" si="12"/>
        <v>Teenager</v>
      </c>
      <c r="D820" t="s">
        <v>28</v>
      </c>
      <c r="E820">
        <v>11.9</v>
      </c>
      <c r="G820" t="s">
        <v>39</v>
      </c>
      <c r="H820" t="s">
        <v>40</v>
      </c>
      <c r="I820" t="s">
        <v>50</v>
      </c>
      <c r="J820">
        <v>5.7</v>
      </c>
      <c r="L820" t="s">
        <v>43</v>
      </c>
      <c r="M820" t="s">
        <v>74</v>
      </c>
      <c r="N820" t="s">
        <v>62</v>
      </c>
      <c r="O820">
        <v>1.03</v>
      </c>
      <c r="Q820" t="s">
        <v>80</v>
      </c>
      <c r="R820" t="s">
        <v>57</v>
      </c>
      <c r="S820" t="b">
        <v>1</v>
      </c>
      <c r="T820" t="b">
        <v>1</v>
      </c>
      <c r="U820" t="b">
        <v>0</v>
      </c>
      <c r="V820" t="b">
        <v>1</v>
      </c>
      <c r="W820" t="b">
        <v>0</v>
      </c>
      <c r="X820">
        <v>0.7</v>
      </c>
      <c r="Y820">
        <v>3.6</v>
      </c>
      <c r="Z820">
        <v>7</v>
      </c>
      <c r="AA820">
        <v>1.7</v>
      </c>
      <c r="AB820" s="3">
        <v>97.11</v>
      </c>
      <c r="AC820" s="3"/>
      <c r="AD820">
        <v>8</v>
      </c>
      <c r="AE820" t="s">
        <v>37</v>
      </c>
      <c r="AF820" s="4"/>
    </row>
    <row r="821" spans="1:32" x14ac:dyDescent="0.3">
      <c r="A821" t="s">
        <v>912</v>
      </c>
      <c r="B821">
        <v>18</v>
      </c>
      <c r="C821" t="str">
        <f t="shared" si="12"/>
        <v>Teenager</v>
      </c>
      <c r="D821" t="s">
        <v>28</v>
      </c>
      <c r="E821">
        <v>6.3</v>
      </c>
      <c r="G821" t="s">
        <v>54</v>
      </c>
      <c r="H821" t="s">
        <v>55</v>
      </c>
      <c r="I821" t="s">
        <v>50</v>
      </c>
      <c r="J821">
        <v>6</v>
      </c>
      <c r="L821" t="s">
        <v>41</v>
      </c>
      <c r="M821" t="s">
        <v>45</v>
      </c>
      <c r="N821" t="s">
        <v>62</v>
      </c>
      <c r="O821">
        <v>3.41</v>
      </c>
      <c r="Q821" t="s">
        <v>44</v>
      </c>
      <c r="R821" t="s">
        <v>42</v>
      </c>
      <c r="S821" t="b">
        <v>0</v>
      </c>
      <c r="T821" t="b">
        <v>1</v>
      </c>
      <c r="U821" t="b">
        <v>0</v>
      </c>
      <c r="V821" t="b">
        <v>1</v>
      </c>
      <c r="W821" t="b">
        <v>0</v>
      </c>
      <c r="X821">
        <v>0.2</v>
      </c>
      <c r="Y821">
        <v>6.2</v>
      </c>
      <c r="Z821">
        <v>3</v>
      </c>
      <c r="AA821">
        <v>5.8</v>
      </c>
      <c r="AB821" s="3">
        <v>147.18</v>
      </c>
      <c r="AC821" s="3"/>
      <c r="AD821">
        <v>5</v>
      </c>
      <c r="AE821" t="s">
        <v>64</v>
      </c>
      <c r="AF821" s="4"/>
    </row>
    <row r="822" spans="1:32" x14ac:dyDescent="0.3">
      <c r="A822" t="s">
        <v>913</v>
      </c>
      <c r="B822">
        <v>21</v>
      </c>
      <c r="C822" t="str">
        <f t="shared" si="12"/>
        <v>Young Adults</v>
      </c>
      <c r="D822" t="s">
        <v>28</v>
      </c>
      <c r="E822">
        <v>2.2000000000000002</v>
      </c>
      <c r="G822" t="s">
        <v>29</v>
      </c>
      <c r="H822" t="s">
        <v>104</v>
      </c>
      <c r="I822" t="s">
        <v>71</v>
      </c>
      <c r="J822">
        <v>7.7</v>
      </c>
      <c r="L822" t="s">
        <v>41</v>
      </c>
      <c r="M822" t="s">
        <v>45</v>
      </c>
      <c r="N822" t="s">
        <v>84</v>
      </c>
      <c r="O822">
        <v>3.16</v>
      </c>
      <c r="P822">
        <v>1</v>
      </c>
      <c r="Q822" t="s">
        <v>69</v>
      </c>
      <c r="R822" t="s">
        <v>45</v>
      </c>
      <c r="S822" t="b">
        <v>0</v>
      </c>
      <c r="T822" t="b">
        <v>0</v>
      </c>
      <c r="U822" t="b">
        <v>0</v>
      </c>
      <c r="V822" t="b">
        <v>0</v>
      </c>
      <c r="W822" t="b">
        <v>0</v>
      </c>
      <c r="X822">
        <v>0</v>
      </c>
      <c r="Y822">
        <v>9.8000000000000007</v>
      </c>
      <c r="Z822">
        <v>1</v>
      </c>
      <c r="AA822">
        <v>14.8</v>
      </c>
      <c r="AB822" s="3">
        <v>0.44</v>
      </c>
      <c r="AC822" s="3"/>
      <c r="AD822">
        <v>5</v>
      </c>
      <c r="AE822" t="s">
        <v>46</v>
      </c>
      <c r="AF822" s="4"/>
    </row>
    <row r="823" spans="1:32" x14ac:dyDescent="0.3">
      <c r="A823" t="s">
        <v>914</v>
      </c>
      <c r="B823">
        <v>23</v>
      </c>
      <c r="C823" t="str">
        <f t="shared" si="12"/>
        <v>Young Adults</v>
      </c>
      <c r="D823" t="s">
        <v>53</v>
      </c>
      <c r="E823">
        <v>6.2</v>
      </c>
      <c r="G823" t="s">
        <v>39</v>
      </c>
      <c r="H823" t="s">
        <v>40</v>
      </c>
      <c r="I823" t="s">
        <v>86</v>
      </c>
      <c r="J823">
        <v>5.3</v>
      </c>
      <c r="L823" t="s">
        <v>43</v>
      </c>
      <c r="M823" t="s">
        <v>33</v>
      </c>
      <c r="N823" t="s">
        <v>43</v>
      </c>
      <c r="P823">
        <v>10</v>
      </c>
      <c r="Q823" t="s">
        <v>35</v>
      </c>
      <c r="R823" t="s">
        <v>57</v>
      </c>
      <c r="S823" t="b">
        <v>0</v>
      </c>
      <c r="T823" t="b">
        <v>1</v>
      </c>
      <c r="U823" t="b">
        <v>0</v>
      </c>
      <c r="V823" t="b">
        <v>0</v>
      </c>
      <c r="W823" t="b">
        <v>0</v>
      </c>
      <c r="X823">
        <v>2.7</v>
      </c>
      <c r="Y823">
        <v>8.6</v>
      </c>
      <c r="Z823">
        <v>3</v>
      </c>
      <c r="AA823">
        <v>5.9</v>
      </c>
      <c r="AB823" s="3">
        <v>130.71</v>
      </c>
      <c r="AC823" s="3"/>
      <c r="AD823">
        <v>5</v>
      </c>
      <c r="AE823" t="s">
        <v>64</v>
      </c>
      <c r="AF823" s="4"/>
    </row>
    <row r="824" spans="1:32" x14ac:dyDescent="0.3">
      <c r="A824" t="s">
        <v>915</v>
      </c>
      <c r="B824">
        <v>22</v>
      </c>
      <c r="C824" t="str">
        <f t="shared" si="12"/>
        <v>Young Adults</v>
      </c>
      <c r="D824" t="s">
        <v>53</v>
      </c>
      <c r="E824">
        <v>9.3000000000000007</v>
      </c>
      <c r="G824" t="s">
        <v>48</v>
      </c>
      <c r="H824" t="s">
        <v>68</v>
      </c>
      <c r="I824" t="s">
        <v>50</v>
      </c>
      <c r="J824">
        <v>5.4</v>
      </c>
      <c r="L824" t="s">
        <v>32</v>
      </c>
      <c r="M824" t="s">
        <v>45</v>
      </c>
      <c r="N824" t="s">
        <v>51</v>
      </c>
      <c r="O824">
        <v>3.56</v>
      </c>
      <c r="P824">
        <v>10</v>
      </c>
      <c r="Q824" t="s">
        <v>80</v>
      </c>
      <c r="R824" t="s">
        <v>45</v>
      </c>
      <c r="S824" t="b">
        <v>1</v>
      </c>
      <c r="T824" t="b">
        <v>1</v>
      </c>
      <c r="U824" t="b">
        <v>1</v>
      </c>
      <c r="V824" t="b">
        <v>1</v>
      </c>
      <c r="W824" t="b">
        <v>1</v>
      </c>
      <c r="X824">
        <v>1.5</v>
      </c>
      <c r="Y824">
        <v>3.7</v>
      </c>
      <c r="Z824">
        <v>6</v>
      </c>
      <c r="AA824">
        <v>4</v>
      </c>
      <c r="AB824" s="3">
        <v>377.17</v>
      </c>
      <c r="AC824" s="3"/>
      <c r="AD824">
        <v>1</v>
      </c>
      <c r="AE824" t="s">
        <v>37</v>
      </c>
      <c r="AF824" s="4"/>
    </row>
    <row r="825" spans="1:32" x14ac:dyDescent="0.3">
      <c r="A825" t="s">
        <v>916</v>
      </c>
      <c r="B825">
        <v>20</v>
      </c>
      <c r="C825" t="str">
        <f t="shared" si="12"/>
        <v>Young Adults</v>
      </c>
      <c r="D825" t="s">
        <v>28</v>
      </c>
      <c r="E825">
        <v>5.6</v>
      </c>
      <c r="G825" t="s">
        <v>39</v>
      </c>
      <c r="H825" t="s">
        <v>120</v>
      </c>
      <c r="I825" t="s">
        <v>50</v>
      </c>
      <c r="J825">
        <v>5.9</v>
      </c>
      <c r="L825" t="s">
        <v>41</v>
      </c>
      <c r="M825" t="s">
        <v>36</v>
      </c>
      <c r="N825" t="s">
        <v>51</v>
      </c>
      <c r="O825">
        <v>3.33</v>
      </c>
      <c r="P825">
        <v>9</v>
      </c>
      <c r="Q825" t="s">
        <v>35</v>
      </c>
      <c r="R825" t="s">
        <v>42</v>
      </c>
      <c r="S825" t="b">
        <v>0</v>
      </c>
      <c r="T825" t="b">
        <v>1</v>
      </c>
      <c r="U825" t="b">
        <v>0</v>
      </c>
      <c r="V825" t="b">
        <v>1</v>
      </c>
      <c r="W825" t="b">
        <v>1</v>
      </c>
      <c r="X825">
        <v>1.9</v>
      </c>
      <c r="Y825">
        <v>8</v>
      </c>
      <c r="Z825">
        <v>4</v>
      </c>
      <c r="AA825">
        <v>9</v>
      </c>
      <c r="AB825" s="3">
        <v>141.66999999999999</v>
      </c>
      <c r="AC825" s="3"/>
      <c r="AD825">
        <v>1</v>
      </c>
      <c r="AE825" t="s">
        <v>64</v>
      </c>
      <c r="AF825" s="4"/>
    </row>
    <row r="826" spans="1:32" x14ac:dyDescent="0.3">
      <c r="A826" t="s">
        <v>917</v>
      </c>
      <c r="B826">
        <v>20</v>
      </c>
      <c r="C826" t="str">
        <f t="shared" si="12"/>
        <v>Young Adults</v>
      </c>
      <c r="D826" t="s">
        <v>28</v>
      </c>
      <c r="E826">
        <v>6.2</v>
      </c>
      <c r="G826" t="s">
        <v>60</v>
      </c>
      <c r="H826" t="s">
        <v>200</v>
      </c>
      <c r="I826" t="s">
        <v>31</v>
      </c>
      <c r="J826">
        <v>5.6</v>
      </c>
      <c r="L826" t="s">
        <v>43</v>
      </c>
      <c r="M826" t="s">
        <v>74</v>
      </c>
      <c r="N826" t="s">
        <v>43</v>
      </c>
      <c r="O826">
        <v>2.19</v>
      </c>
      <c r="P826">
        <v>3</v>
      </c>
      <c r="Q826" t="s">
        <v>69</v>
      </c>
      <c r="R826" t="s">
        <v>57</v>
      </c>
      <c r="S826" t="b">
        <v>0</v>
      </c>
      <c r="T826" t="b">
        <v>1</v>
      </c>
      <c r="U826" t="b">
        <v>0</v>
      </c>
      <c r="V826" t="b">
        <v>1</v>
      </c>
      <c r="W826" t="b">
        <v>1</v>
      </c>
      <c r="X826">
        <v>0.2</v>
      </c>
      <c r="Y826">
        <v>8.5</v>
      </c>
      <c r="Z826">
        <v>3</v>
      </c>
      <c r="AA826">
        <v>10</v>
      </c>
      <c r="AB826" s="3">
        <v>142.94999999999999</v>
      </c>
      <c r="AC826" s="3"/>
      <c r="AD826">
        <v>6</v>
      </c>
      <c r="AE826" t="s">
        <v>64</v>
      </c>
      <c r="AF826" s="4"/>
    </row>
    <row r="827" spans="1:32" x14ac:dyDescent="0.3">
      <c r="A827" t="s">
        <v>918</v>
      </c>
      <c r="B827">
        <v>19</v>
      </c>
      <c r="C827" t="str">
        <f t="shared" si="12"/>
        <v>Teenager</v>
      </c>
      <c r="D827" t="s">
        <v>53</v>
      </c>
      <c r="E827">
        <v>7.1</v>
      </c>
      <c r="G827" t="s">
        <v>39</v>
      </c>
      <c r="H827" t="s">
        <v>120</v>
      </c>
      <c r="I827" t="s">
        <v>86</v>
      </c>
      <c r="J827">
        <v>5.0999999999999996</v>
      </c>
      <c r="L827" t="s">
        <v>32</v>
      </c>
      <c r="M827" t="s">
        <v>36</v>
      </c>
      <c r="N827" t="s">
        <v>62</v>
      </c>
      <c r="O827">
        <v>1.38</v>
      </c>
      <c r="P827">
        <v>6</v>
      </c>
      <c r="Q827" t="s">
        <v>35</v>
      </c>
      <c r="R827" t="s">
        <v>57</v>
      </c>
      <c r="S827" t="b">
        <v>1</v>
      </c>
      <c r="T827" t="b">
        <v>0</v>
      </c>
      <c r="U827" t="b">
        <v>0</v>
      </c>
      <c r="V827" t="b">
        <v>1</v>
      </c>
      <c r="W827" t="b">
        <v>1</v>
      </c>
      <c r="X827">
        <v>1</v>
      </c>
      <c r="Y827">
        <v>5.2</v>
      </c>
      <c r="Z827">
        <v>3</v>
      </c>
      <c r="AA827">
        <v>9.6</v>
      </c>
      <c r="AB827" s="3">
        <v>83.29</v>
      </c>
      <c r="AC827" s="3"/>
      <c r="AD827">
        <v>6</v>
      </c>
      <c r="AE827" t="s">
        <v>64</v>
      </c>
      <c r="AF827" s="4"/>
    </row>
    <row r="828" spans="1:32" x14ac:dyDescent="0.3">
      <c r="A828" t="s">
        <v>919</v>
      </c>
      <c r="B828">
        <v>30</v>
      </c>
      <c r="C828" t="str">
        <f t="shared" si="12"/>
        <v>Young Adults</v>
      </c>
      <c r="D828" t="s">
        <v>28</v>
      </c>
      <c r="E828">
        <v>7</v>
      </c>
      <c r="G828" t="s">
        <v>60</v>
      </c>
      <c r="H828" t="s">
        <v>102</v>
      </c>
      <c r="I828" t="s">
        <v>71</v>
      </c>
      <c r="J828">
        <v>3.7</v>
      </c>
      <c r="L828" t="s">
        <v>41</v>
      </c>
      <c r="M828" t="s">
        <v>45</v>
      </c>
      <c r="N828" t="s">
        <v>34</v>
      </c>
      <c r="P828">
        <v>1</v>
      </c>
      <c r="Q828" t="s">
        <v>35</v>
      </c>
      <c r="R828" t="s">
        <v>57</v>
      </c>
      <c r="S828" t="b">
        <v>1</v>
      </c>
      <c r="T828" t="b">
        <v>1</v>
      </c>
      <c r="U828" t="b">
        <v>0</v>
      </c>
      <c r="V828" t="b">
        <v>0</v>
      </c>
      <c r="W828" t="b">
        <v>1</v>
      </c>
      <c r="X828">
        <v>4.7</v>
      </c>
      <c r="Y828">
        <v>8.5</v>
      </c>
      <c r="Z828">
        <v>4</v>
      </c>
      <c r="AA828">
        <v>6.8</v>
      </c>
      <c r="AB828" s="3">
        <v>44.15</v>
      </c>
      <c r="AC828" s="3"/>
      <c r="AD828">
        <v>5</v>
      </c>
      <c r="AE828" t="s">
        <v>58</v>
      </c>
      <c r="AF828" s="4"/>
    </row>
    <row r="829" spans="1:32" x14ac:dyDescent="0.3">
      <c r="A829" t="s">
        <v>920</v>
      </c>
      <c r="B829">
        <v>16</v>
      </c>
      <c r="C829" t="str">
        <f t="shared" si="12"/>
        <v>Teenager</v>
      </c>
      <c r="D829" t="s">
        <v>28</v>
      </c>
      <c r="E829">
        <v>3.7</v>
      </c>
      <c r="G829" t="s">
        <v>82</v>
      </c>
      <c r="H829" t="s">
        <v>134</v>
      </c>
      <c r="I829" t="s">
        <v>50</v>
      </c>
      <c r="J829">
        <v>6.6</v>
      </c>
      <c r="L829" t="s">
        <v>43</v>
      </c>
      <c r="M829" t="s">
        <v>74</v>
      </c>
      <c r="N829" t="s">
        <v>43</v>
      </c>
      <c r="O829">
        <v>2.89</v>
      </c>
      <c r="Q829" t="s">
        <v>69</v>
      </c>
      <c r="R829" t="s">
        <v>42</v>
      </c>
      <c r="S829" t="b">
        <v>0</v>
      </c>
      <c r="T829" t="b">
        <v>0</v>
      </c>
      <c r="U829" t="b">
        <v>0</v>
      </c>
      <c r="V829" t="b">
        <v>0</v>
      </c>
      <c r="W829" t="b">
        <v>0</v>
      </c>
      <c r="X829">
        <v>0.4</v>
      </c>
      <c r="Y829">
        <v>9.1999999999999993</v>
      </c>
      <c r="Z829">
        <v>3</v>
      </c>
      <c r="AA829">
        <v>12.8</v>
      </c>
      <c r="AB829" s="3">
        <v>6.16</v>
      </c>
      <c r="AC829" s="3"/>
      <c r="AD829">
        <v>4</v>
      </c>
      <c r="AE829" t="s">
        <v>46</v>
      </c>
      <c r="AF829" s="4"/>
    </row>
    <row r="830" spans="1:32" x14ac:dyDescent="0.3">
      <c r="A830" t="s">
        <v>921</v>
      </c>
      <c r="B830">
        <v>23</v>
      </c>
      <c r="C830" t="str">
        <f t="shared" si="12"/>
        <v>Young Adults</v>
      </c>
      <c r="D830" t="s">
        <v>28</v>
      </c>
      <c r="E830">
        <v>3.3</v>
      </c>
      <c r="G830" t="s">
        <v>60</v>
      </c>
      <c r="H830" t="s">
        <v>102</v>
      </c>
      <c r="I830" t="s">
        <v>71</v>
      </c>
      <c r="J830">
        <v>7.4</v>
      </c>
      <c r="L830" t="s">
        <v>41</v>
      </c>
      <c r="M830" t="s">
        <v>45</v>
      </c>
      <c r="N830" t="s">
        <v>84</v>
      </c>
      <c r="P830">
        <v>3</v>
      </c>
      <c r="Q830" t="s">
        <v>66</v>
      </c>
      <c r="R830" t="s">
        <v>45</v>
      </c>
      <c r="S830" t="b">
        <v>0</v>
      </c>
      <c r="T830" t="b">
        <v>0</v>
      </c>
      <c r="U830" t="b">
        <v>0</v>
      </c>
      <c r="V830" t="b">
        <v>0</v>
      </c>
      <c r="W830" t="b">
        <v>0</v>
      </c>
      <c r="X830">
        <v>0.6</v>
      </c>
      <c r="Y830">
        <v>6.8</v>
      </c>
      <c r="Z830">
        <v>1</v>
      </c>
      <c r="AA830">
        <v>8.8000000000000007</v>
      </c>
      <c r="AB830" s="3">
        <v>44.8</v>
      </c>
      <c r="AC830" s="3"/>
      <c r="AD830">
        <v>6</v>
      </c>
      <c r="AE830" t="s">
        <v>46</v>
      </c>
      <c r="AF830" s="4"/>
    </row>
    <row r="831" spans="1:32" x14ac:dyDescent="0.3">
      <c r="A831" t="s">
        <v>922</v>
      </c>
      <c r="B831">
        <v>21</v>
      </c>
      <c r="C831" t="str">
        <f t="shared" si="12"/>
        <v>Young Adults</v>
      </c>
      <c r="D831" t="s">
        <v>28</v>
      </c>
      <c r="E831">
        <v>7.6</v>
      </c>
      <c r="G831" t="s">
        <v>29</v>
      </c>
      <c r="H831" t="s">
        <v>118</v>
      </c>
      <c r="I831" t="s">
        <v>71</v>
      </c>
      <c r="J831">
        <v>5.7</v>
      </c>
      <c r="L831" t="s">
        <v>51</v>
      </c>
      <c r="M831" t="s">
        <v>42</v>
      </c>
      <c r="N831" t="s">
        <v>43</v>
      </c>
      <c r="O831">
        <v>3.53</v>
      </c>
      <c r="P831">
        <v>6</v>
      </c>
      <c r="Q831" t="s">
        <v>35</v>
      </c>
      <c r="R831" t="s">
        <v>45</v>
      </c>
      <c r="S831" t="b">
        <v>0</v>
      </c>
      <c r="T831" t="b">
        <v>1</v>
      </c>
      <c r="U831" t="b">
        <v>0</v>
      </c>
      <c r="V831" t="b">
        <v>1</v>
      </c>
      <c r="W831" t="b">
        <v>0</v>
      </c>
      <c r="X831">
        <v>0.8</v>
      </c>
      <c r="Y831">
        <v>6.4</v>
      </c>
      <c r="Z831">
        <v>3</v>
      </c>
      <c r="AA831">
        <v>7.1</v>
      </c>
      <c r="AB831" s="3">
        <v>80.72</v>
      </c>
      <c r="AC831" s="3"/>
      <c r="AD831">
        <v>2</v>
      </c>
      <c r="AE831" t="s">
        <v>64</v>
      </c>
      <c r="AF831" s="4"/>
    </row>
    <row r="832" spans="1:32" x14ac:dyDescent="0.3">
      <c r="A832" t="s">
        <v>923</v>
      </c>
      <c r="B832">
        <v>22</v>
      </c>
      <c r="C832" t="str">
        <f t="shared" si="12"/>
        <v>Young Adults</v>
      </c>
      <c r="D832" t="s">
        <v>53</v>
      </c>
      <c r="E832">
        <v>6.4</v>
      </c>
      <c r="G832" t="s">
        <v>60</v>
      </c>
      <c r="H832" t="s">
        <v>96</v>
      </c>
      <c r="I832" t="s">
        <v>50</v>
      </c>
      <c r="J832">
        <v>5.4</v>
      </c>
      <c r="L832" t="s">
        <v>32</v>
      </c>
      <c r="M832" t="s">
        <v>33</v>
      </c>
      <c r="N832" t="s">
        <v>62</v>
      </c>
      <c r="O832">
        <v>2.1800000000000002</v>
      </c>
      <c r="P832">
        <v>2</v>
      </c>
      <c r="Q832" t="s">
        <v>121</v>
      </c>
      <c r="R832" t="s">
        <v>33</v>
      </c>
      <c r="S832" t="b">
        <v>0</v>
      </c>
      <c r="T832" t="b">
        <v>1</v>
      </c>
      <c r="U832" t="b">
        <v>0</v>
      </c>
      <c r="V832" t="b">
        <v>1</v>
      </c>
      <c r="W832" t="b">
        <v>0</v>
      </c>
      <c r="X832">
        <v>1.6</v>
      </c>
      <c r="Y832">
        <v>7.3</v>
      </c>
      <c r="Z832">
        <v>4</v>
      </c>
      <c r="AA832">
        <v>10.3</v>
      </c>
      <c r="AB832" s="3">
        <v>18.13</v>
      </c>
      <c r="AC832" s="3"/>
      <c r="AD832">
        <v>5</v>
      </c>
      <c r="AE832" t="s">
        <v>64</v>
      </c>
      <c r="AF832" s="4"/>
    </row>
    <row r="833" spans="1:32" x14ac:dyDescent="0.3">
      <c r="A833" t="s">
        <v>924</v>
      </c>
      <c r="B833">
        <v>24</v>
      </c>
      <c r="C833" t="str">
        <f t="shared" si="12"/>
        <v>Young Adults</v>
      </c>
      <c r="D833" t="s">
        <v>28</v>
      </c>
      <c r="E833">
        <v>5</v>
      </c>
      <c r="G833" t="s">
        <v>60</v>
      </c>
      <c r="H833" t="s">
        <v>96</v>
      </c>
      <c r="I833" t="s">
        <v>71</v>
      </c>
      <c r="J833">
        <v>5.0999999999999996</v>
      </c>
      <c r="L833" t="s">
        <v>51</v>
      </c>
      <c r="M833" t="s">
        <v>36</v>
      </c>
      <c r="N833" t="s">
        <v>34</v>
      </c>
      <c r="P833">
        <v>7</v>
      </c>
      <c r="Q833" t="s">
        <v>80</v>
      </c>
      <c r="R833" t="s">
        <v>45</v>
      </c>
      <c r="S833" t="b">
        <v>0</v>
      </c>
      <c r="T833" t="b">
        <v>0</v>
      </c>
      <c r="U833" t="b">
        <v>0</v>
      </c>
      <c r="V833" t="b">
        <v>1</v>
      </c>
      <c r="W833" t="b">
        <v>0</v>
      </c>
      <c r="X833">
        <v>0</v>
      </c>
      <c r="Y833">
        <v>8.4</v>
      </c>
      <c r="Z833">
        <v>4</v>
      </c>
      <c r="AA833">
        <v>11.4</v>
      </c>
      <c r="AB833" s="3">
        <v>120.77</v>
      </c>
      <c r="AC833" s="3"/>
      <c r="AD833">
        <v>2</v>
      </c>
      <c r="AE833" t="s">
        <v>46</v>
      </c>
      <c r="AF833" s="4"/>
    </row>
    <row r="834" spans="1:32" x14ac:dyDescent="0.3">
      <c r="A834" t="s">
        <v>925</v>
      </c>
      <c r="B834">
        <v>19</v>
      </c>
      <c r="C834" t="str">
        <f t="shared" si="12"/>
        <v>Teenager</v>
      </c>
      <c r="D834" t="s">
        <v>53</v>
      </c>
      <c r="E834">
        <v>4.2</v>
      </c>
      <c r="G834" t="s">
        <v>82</v>
      </c>
      <c r="H834" t="s">
        <v>134</v>
      </c>
      <c r="I834" t="s">
        <v>31</v>
      </c>
      <c r="J834">
        <v>5.3</v>
      </c>
      <c r="L834" t="s">
        <v>32</v>
      </c>
      <c r="M834" t="s">
        <v>36</v>
      </c>
      <c r="N834" t="s">
        <v>62</v>
      </c>
      <c r="O834">
        <v>3.38</v>
      </c>
      <c r="P834">
        <v>8</v>
      </c>
      <c r="Q834" t="s">
        <v>69</v>
      </c>
      <c r="R834" t="s">
        <v>33</v>
      </c>
      <c r="S834" t="b">
        <v>0</v>
      </c>
      <c r="T834" t="b">
        <v>0</v>
      </c>
      <c r="U834" t="b">
        <v>0</v>
      </c>
      <c r="V834" t="b">
        <v>0</v>
      </c>
      <c r="W834" t="b">
        <v>0</v>
      </c>
      <c r="X834">
        <v>0.8</v>
      </c>
      <c r="Y834">
        <v>7.5</v>
      </c>
      <c r="Z834">
        <v>1</v>
      </c>
      <c r="AA834">
        <v>8.3000000000000007</v>
      </c>
      <c r="AB834" s="3">
        <v>28.98</v>
      </c>
      <c r="AC834" s="3"/>
      <c r="AD834">
        <v>5</v>
      </c>
      <c r="AE834" t="s">
        <v>46</v>
      </c>
      <c r="AF834" s="4"/>
    </row>
    <row r="835" spans="1:32" x14ac:dyDescent="0.3">
      <c r="A835" t="s">
        <v>926</v>
      </c>
      <c r="B835">
        <v>23</v>
      </c>
      <c r="C835" t="str">
        <f t="shared" ref="C835:C898" si="13">IF(B835&lt;=19,"Teenager",IF(B835&lt;=30,"Young Adults",IF(B835&gt;30,"Old Adults")))</f>
        <v>Young Adults</v>
      </c>
      <c r="D835" t="s">
        <v>53</v>
      </c>
      <c r="E835">
        <v>10.199999999999999</v>
      </c>
      <c r="G835" t="s">
        <v>82</v>
      </c>
      <c r="H835" t="s">
        <v>167</v>
      </c>
      <c r="I835" t="s">
        <v>86</v>
      </c>
      <c r="J835">
        <v>5.0999999999999996</v>
      </c>
      <c r="L835" t="s">
        <v>32</v>
      </c>
      <c r="M835" t="s">
        <v>36</v>
      </c>
      <c r="N835" t="s">
        <v>34</v>
      </c>
      <c r="P835">
        <v>5</v>
      </c>
      <c r="Q835" t="s">
        <v>35</v>
      </c>
      <c r="R835" t="s">
        <v>33</v>
      </c>
      <c r="S835" t="b">
        <v>1</v>
      </c>
      <c r="T835" t="b">
        <v>0</v>
      </c>
      <c r="U835" t="b">
        <v>1</v>
      </c>
      <c r="V835" t="b">
        <v>1</v>
      </c>
      <c r="W835" t="b">
        <v>1</v>
      </c>
      <c r="X835">
        <v>1</v>
      </c>
      <c r="Y835">
        <v>3.1</v>
      </c>
      <c r="Z835">
        <v>8</v>
      </c>
      <c r="AA835">
        <v>0.7</v>
      </c>
      <c r="AB835" s="3">
        <v>307.08</v>
      </c>
      <c r="AC835" s="3"/>
      <c r="AD835">
        <v>9</v>
      </c>
      <c r="AE835" t="s">
        <v>37</v>
      </c>
      <c r="AF835" s="4"/>
    </row>
    <row r="836" spans="1:32" x14ac:dyDescent="0.3">
      <c r="A836" t="s">
        <v>927</v>
      </c>
      <c r="B836">
        <v>19</v>
      </c>
      <c r="C836" t="str">
        <f t="shared" si="13"/>
        <v>Teenager</v>
      </c>
      <c r="D836" t="s">
        <v>28</v>
      </c>
      <c r="E836">
        <v>5.0999999999999996</v>
      </c>
      <c r="G836" t="s">
        <v>39</v>
      </c>
      <c r="H836" t="s">
        <v>120</v>
      </c>
      <c r="I836" t="s">
        <v>71</v>
      </c>
      <c r="J836">
        <v>6.5</v>
      </c>
      <c r="L836" t="s">
        <v>41</v>
      </c>
      <c r="M836" t="s">
        <v>45</v>
      </c>
      <c r="N836" t="s">
        <v>34</v>
      </c>
      <c r="O836">
        <v>2.29</v>
      </c>
      <c r="P836">
        <v>3</v>
      </c>
      <c r="Q836" t="s">
        <v>66</v>
      </c>
      <c r="R836" t="s">
        <v>36</v>
      </c>
      <c r="S836" t="b">
        <v>0</v>
      </c>
      <c r="T836" t="b">
        <v>0</v>
      </c>
      <c r="U836" t="b">
        <v>0</v>
      </c>
      <c r="V836" t="b">
        <v>1</v>
      </c>
      <c r="W836" t="b">
        <v>0</v>
      </c>
      <c r="X836">
        <v>1.4</v>
      </c>
      <c r="Y836">
        <v>7.1</v>
      </c>
      <c r="Z836">
        <v>3</v>
      </c>
      <c r="AA836">
        <v>9.3000000000000007</v>
      </c>
      <c r="AB836" s="3">
        <v>111.43</v>
      </c>
      <c r="AC836" s="3"/>
      <c r="AD836">
        <v>7</v>
      </c>
      <c r="AE836" t="s">
        <v>46</v>
      </c>
      <c r="AF836" s="4"/>
    </row>
    <row r="837" spans="1:32" x14ac:dyDescent="0.3">
      <c r="A837" t="s">
        <v>928</v>
      </c>
      <c r="B837">
        <v>20</v>
      </c>
      <c r="C837" t="str">
        <f t="shared" si="13"/>
        <v>Young Adults</v>
      </c>
      <c r="D837" t="s">
        <v>53</v>
      </c>
      <c r="E837">
        <v>8.1</v>
      </c>
      <c r="G837" t="s">
        <v>60</v>
      </c>
      <c r="H837" t="s">
        <v>200</v>
      </c>
      <c r="I837" t="s">
        <v>71</v>
      </c>
      <c r="J837">
        <v>5.7</v>
      </c>
      <c r="L837" t="s">
        <v>32</v>
      </c>
      <c r="M837" t="s">
        <v>36</v>
      </c>
      <c r="N837" t="s">
        <v>51</v>
      </c>
      <c r="O837">
        <v>1.79</v>
      </c>
      <c r="P837">
        <v>5</v>
      </c>
      <c r="Q837" t="s">
        <v>69</v>
      </c>
      <c r="R837" t="s">
        <v>36</v>
      </c>
      <c r="S837" t="b">
        <v>1</v>
      </c>
      <c r="T837" t="b">
        <v>1</v>
      </c>
      <c r="U837" t="b">
        <v>1</v>
      </c>
      <c r="V837" t="b">
        <v>0</v>
      </c>
      <c r="W837" t="b">
        <v>1</v>
      </c>
      <c r="X837">
        <v>0.8</v>
      </c>
      <c r="Y837">
        <v>7.8</v>
      </c>
      <c r="Z837">
        <v>6</v>
      </c>
      <c r="AA837">
        <v>7.9</v>
      </c>
      <c r="AB837" s="3">
        <v>47.01</v>
      </c>
      <c r="AC837" s="3"/>
      <c r="AD837">
        <v>7</v>
      </c>
      <c r="AE837" t="s">
        <v>37</v>
      </c>
      <c r="AF837" s="4"/>
    </row>
    <row r="838" spans="1:32" x14ac:dyDescent="0.3">
      <c r="A838" t="s">
        <v>929</v>
      </c>
      <c r="B838">
        <v>19</v>
      </c>
      <c r="C838" t="str">
        <f t="shared" si="13"/>
        <v>Teenager</v>
      </c>
      <c r="D838" t="s">
        <v>28</v>
      </c>
      <c r="E838">
        <v>6.9</v>
      </c>
      <c r="G838" t="s">
        <v>29</v>
      </c>
      <c r="H838" t="s">
        <v>30</v>
      </c>
      <c r="I838" t="s">
        <v>31</v>
      </c>
      <c r="J838">
        <v>3.5</v>
      </c>
      <c r="L838" t="s">
        <v>32</v>
      </c>
      <c r="M838" t="s">
        <v>33</v>
      </c>
      <c r="N838" t="s">
        <v>51</v>
      </c>
      <c r="O838">
        <v>2.0699999999999998</v>
      </c>
      <c r="P838">
        <v>2</v>
      </c>
      <c r="Q838" t="s">
        <v>80</v>
      </c>
      <c r="R838" t="s">
        <v>33</v>
      </c>
      <c r="S838" t="b">
        <v>1</v>
      </c>
      <c r="T838" t="b">
        <v>1</v>
      </c>
      <c r="U838" t="b">
        <v>0</v>
      </c>
      <c r="V838" t="b">
        <v>1</v>
      </c>
      <c r="W838" t="b">
        <v>0</v>
      </c>
      <c r="X838">
        <v>4.3</v>
      </c>
      <c r="Y838">
        <v>5.2</v>
      </c>
      <c r="Z838">
        <v>3</v>
      </c>
      <c r="AA838">
        <v>7.6</v>
      </c>
      <c r="AB838" s="3">
        <v>127.17</v>
      </c>
      <c r="AC838" s="3"/>
      <c r="AD838">
        <v>7</v>
      </c>
      <c r="AE838" t="s">
        <v>58</v>
      </c>
      <c r="AF838" s="4"/>
    </row>
    <row r="839" spans="1:32" x14ac:dyDescent="0.3">
      <c r="A839" t="s">
        <v>930</v>
      </c>
      <c r="B839">
        <v>24</v>
      </c>
      <c r="C839" t="str">
        <f t="shared" si="13"/>
        <v>Young Adults</v>
      </c>
      <c r="D839" t="s">
        <v>28</v>
      </c>
      <c r="E839">
        <v>4.5</v>
      </c>
      <c r="G839" t="s">
        <v>29</v>
      </c>
      <c r="H839" t="s">
        <v>73</v>
      </c>
      <c r="I839" t="s">
        <v>50</v>
      </c>
      <c r="J839">
        <v>6.6</v>
      </c>
      <c r="L839" t="s">
        <v>41</v>
      </c>
      <c r="M839" t="s">
        <v>33</v>
      </c>
      <c r="N839" t="s">
        <v>62</v>
      </c>
      <c r="P839">
        <v>5</v>
      </c>
      <c r="Q839" t="s">
        <v>66</v>
      </c>
      <c r="R839" t="s">
        <v>45</v>
      </c>
      <c r="S839" t="b">
        <v>0</v>
      </c>
      <c r="T839" t="b">
        <v>0</v>
      </c>
      <c r="U839" t="b">
        <v>0</v>
      </c>
      <c r="V839" t="b">
        <v>1</v>
      </c>
      <c r="W839" t="b">
        <v>0</v>
      </c>
      <c r="X839">
        <v>2.2000000000000002</v>
      </c>
      <c r="Y839">
        <v>8.5</v>
      </c>
      <c r="Z839">
        <v>2</v>
      </c>
      <c r="AA839">
        <v>6.3</v>
      </c>
      <c r="AB839" s="3">
        <v>145.25</v>
      </c>
      <c r="AC839" s="3"/>
      <c r="AD839">
        <v>3</v>
      </c>
      <c r="AE839" t="s">
        <v>46</v>
      </c>
      <c r="AF839" s="4"/>
    </row>
    <row r="840" spans="1:32" x14ac:dyDescent="0.3">
      <c r="A840" t="s">
        <v>931</v>
      </c>
      <c r="B840">
        <v>18</v>
      </c>
      <c r="C840" t="str">
        <f t="shared" si="13"/>
        <v>Teenager</v>
      </c>
      <c r="D840" t="s">
        <v>53</v>
      </c>
      <c r="E840">
        <v>6.1</v>
      </c>
      <c r="G840" t="s">
        <v>54</v>
      </c>
      <c r="H840" t="s">
        <v>89</v>
      </c>
      <c r="I840" t="s">
        <v>50</v>
      </c>
      <c r="J840">
        <v>6.6</v>
      </c>
      <c r="L840" t="s">
        <v>41</v>
      </c>
      <c r="M840" t="s">
        <v>42</v>
      </c>
      <c r="N840" t="s">
        <v>84</v>
      </c>
      <c r="O840">
        <v>3.87</v>
      </c>
      <c r="Q840" t="s">
        <v>66</v>
      </c>
      <c r="R840" t="s">
        <v>45</v>
      </c>
      <c r="S840" t="b">
        <v>0</v>
      </c>
      <c r="T840" t="b">
        <v>1</v>
      </c>
      <c r="U840" t="b">
        <v>0</v>
      </c>
      <c r="V840" t="b">
        <v>1</v>
      </c>
      <c r="W840" t="b">
        <v>0</v>
      </c>
      <c r="X840">
        <v>2.2000000000000002</v>
      </c>
      <c r="Y840">
        <v>7.4</v>
      </c>
      <c r="Z840">
        <v>4</v>
      </c>
      <c r="AA840">
        <v>6.9</v>
      </c>
      <c r="AB840" s="3">
        <v>31.46</v>
      </c>
      <c r="AC840" s="3"/>
      <c r="AD840">
        <v>4</v>
      </c>
      <c r="AE840" t="s">
        <v>64</v>
      </c>
      <c r="AF840" s="4"/>
    </row>
    <row r="841" spans="1:32" x14ac:dyDescent="0.3">
      <c r="A841" t="s">
        <v>932</v>
      </c>
      <c r="B841">
        <v>27</v>
      </c>
      <c r="C841" t="str">
        <f t="shared" si="13"/>
        <v>Young Adults</v>
      </c>
      <c r="D841" t="s">
        <v>152</v>
      </c>
      <c r="E841">
        <v>8.8000000000000007</v>
      </c>
      <c r="G841" t="s">
        <v>48</v>
      </c>
      <c r="H841" t="s">
        <v>68</v>
      </c>
      <c r="I841" t="s">
        <v>71</v>
      </c>
      <c r="J841">
        <v>3.4</v>
      </c>
      <c r="L841" t="s">
        <v>32</v>
      </c>
      <c r="M841" t="s">
        <v>42</v>
      </c>
      <c r="N841" t="s">
        <v>62</v>
      </c>
      <c r="P841">
        <v>10</v>
      </c>
      <c r="Q841" t="s">
        <v>44</v>
      </c>
      <c r="R841" t="s">
        <v>57</v>
      </c>
      <c r="S841" t="b">
        <v>1</v>
      </c>
      <c r="T841" t="b">
        <v>1</v>
      </c>
      <c r="U841" t="b">
        <v>1</v>
      </c>
      <c r="V841" t="b">
        <v>0</v>
      </c>
      <c r="W841" t="b">
        <v>1</v>
      </c>
      <c r="X841">
        <v>0.5</v>
      </c>
      <c r="Y841">
        <v>6</v>
      </c>
      <c r="Z841">
        <v>6</v>
      </c>
      <c r="AA841">
        <v>5.2</v>
      </c>
      <c r="AB841" s="3">
        <v>66.849999999999994</v>
      </c>
      <c r="AC841" s="3"/>
      <c r="AD841">
        <v>7</v>
      </c>
      <c r="AE841" t="s">
        <v>37</v>
      </c>
      <c r="AF841" s="4"/>
    </row>
    <row r="842" spans="1:32" x14ac:dyDescent="0.3">
      <c r="A842" t="s">
        <v>933</v>
      </c>
      <c r="B842">
        <v>19</v>
      </c>
      <c r="C842" t="str">
        <f t="shared" si="13"/>
        <v>Teenager</v>
      </c>
      <c r="D842" t="s">
        <v>53</v>
      </c>
      <c r="E842">
        <v>5.3</v>
      </c>
      <c r="G842" t="s">
        <v>76</v>
      </c>
      <c r="H842" t="s">
        <v>110</v>
      </c>
      <c r="I842" t="s">
        <v>50</v>
      </c>
      <c r="J842">
        <v>5.7</v>
      </c>
      <c r="L842" t="s">
        <v>41</v>
      </c>
      <c r="M842" t="s">
        <v>45</v>
      </c>
      <c r="N842" t="s">
        <v>34</v>
      </c>
      <c r="O842">
        <v>1.54</v>
      </c>
      <c r="P842">
        <v>9</v>
      </c>
      <c r="Q842" t="s">
        <v>80</v>
      </c>
      <c r="R842" t="s">
        <v>36</v>
      </c>
      <c r="S842" t="b">
        <v>0</v>
      </c>
      <c r="T842" t="b">
        <v>0</v>
      </c>
      <c r="U842" t="b">
        <v>0</v>
      </c>
      <c r="V842" t="b">
        <v>1</v>
      </c>
      <c r="W842" t="b">
        <v>0</v>
      </c>
      <c r="X842">
        <v>1.9</v>
      </c>
      <c r="Y842">
        <v>5.7</v>
      </c>
      <c r="Z842">
        <v>5</v>
      </c>
      <c r="AA842">
        <v>6.6</v>
      </c>
      <c r="AB842" s="3">
        <v>36.25</v>
      </c>
      <c r="AC842" s="3"/>
      <c r="AD842">
        <v>2</v>
      </c>
      <c r="AE842" t="s">
        <v>46</v>
      </c>
      <c r="AF842" s="4"/>
    </row>
    <row r="843" spans="1:32" x14ac:dyDescent="0.3">
      <c r="A843" t="s">
        <v>934</v>
      </c>
      <c r="B843">
        <v>16</v>
      </c>
      <c r="C843" t="str">
        <f t="shared" si="13"/>
        <v>Teenager</v>
      </c>
      <c r="D843" t="s">
        <v>28</v>
      </c>
      <c r="E843">
        <v>9</v>
      </c>
      <c r="G843" t="s">
        <v>48</v>
      </c>
      <c r="H843" t="s">
        <v>68</v>
      </c>
      <c r="I843" t="s">
        <v>50</v>
      </c>
      <c r="J843">
        <v>5.8</v>
      </c>
      <c r="L843" t="s">
        <v>51</v>
      </c>
      <c r="M843" t="s">
        <v>42</v>
      </c>
      <c r="N843" t="s">
        <v>51</v>
      </c>
      <c r="O843">
        <v>2.8</v>
      </c>
      <c r="Q843" t="s">
        <v>44</v>
      </c>
      <c r="R843" t="s">
        <v>42</v>
      </c>
      <c r="S843" t="b">
        <v>1</v>
      </c>
      <c r="T843" t="b">
        <v>1</v>
      </c>
      <c r="U843" t="b">
        <v>1</v>
      </c>
      <c r="V843" t="b">
        <v>0</v>
      </c>
      <c r="W843" t="b">
        <v>1</v>
      </c>
      <c r="X843">
        <v>0.3</v>
      </c>
      <c r="Y843">
        <v>7</v>
      </c>
      <c r="Z843">
        <v>6</v>
      </c>
      <c r="AA843">
        <v>3.8</v>
      </c>
      <c r="AB843" s="3">
        <v>315.72000000000003</v>
      </c>
      <c r="AC843" s="3"/>
      <c r="AD843">
        <v>5</v>
      </c>
      <c r="AE843" t="s">
        <v>37</v>
      </c>
      <c r="AF843" s="4"/>
    </row>
    <row r="844" spans="1:32" x14ac:dyDescent="0.3">
      <c r="A844" t="s">
        <v>935</v>
      </c>
      <c r="B844">
        <v>23</v>
      </c>
      <c r="C844" t="str">
        <f t="shared" si="13"/>
        <v>Young Adults</v>
      </c>
      <c r="D844" t="s">
        <v>28</v>
      </c>
      <c r="E844">
        <v>8.3000000000000007</v>
      </c>
      <c r="G844" t="s">
        <v>82</v>
      </c>
      <c r="H844" t="s">
        <v>83</v>
      </c>
      <c r="I844" t="s">
        <v>31</v>
      </c>
      <c r="J844">
        <v>3.8</v>
      </c>
      <c r="L844" t="s">
        <v>32</v>
      </c>
      <c r="M844" t="s">
        <v>74</v>
      </c>
      <c r="N844" t="s">
        <v>129</v>
      </c>
      <c r="P844">
        <v>4</v>
      </c>
      <c r="Q844" t="s">
        <v>80</v>
      </c>
      <c r="R844" t="s">
        <v>33</v>
      </c>
      <c r="S844" t="b">
        <v>0</v>
      </c>
      <c r="T844" t="b">
        <v>0</v>
      </c>
      <c r="U844" t="b">
        <v>0</v>
      </c>
      <c r="V844" t="b">
        <v>1</v>
      </c>
      <c r="W844" t="b">
        <v>0</v>
      </c>
      <c r="X844">
        <v>7.6</v>
      </c>
      <c r="Y844">
        <v>7.6</v>
      </c>
      <c r="Z844">
        <v>5</v>
      </c>
      <c r="AA844">
        <v>3.1</v>
      </c>
      <c r="AB844" s="3">
        <v>14.06</v>
      </c>
      <c r="AC844" s="3"/>
      <c r="AD844">
        <v>10</v>
      </c>
      <c r="AE844" t="s">
        <v>46</v>
      </c>
      <c r="AF844" s="4"/>
    </row>
    <row r="845" spans="1:32" x14ac:dyDescent="0.3">
      <c r="A845" t="s">
        <v>936</v>
      </c>
      <c r="B845">
        <v>20</v>
      </c>
      <c r="C845" t="str">
        <f t="shared" si="13"/>
        <v>Young Adults</v>
      </c>
      <c r="D845" t="s">
        <v>28</v>
      </c>
      <c r="E845">
        <v>0.7</v>
      </c>
      <c r="G845" t="s">
        <v>48</v>
      </c>
      <c r="H845" t="s">
        <v>49</v>
      </c>
      <c r="I845" t="s">
        <v>86</v>
      </c>
      <c r="J845">
        <v>7</v>
      </c>
      <c r="L845" t="s">
        <v>43</v>
      </c>
      <c r="M845" t="s">
        <v>74</v>
      </c>
      <c r="N845" t="s">
        <v>43</v>
      </c>
      <c r="O845">
        <v>2.36</v>
      </c>
      <c r="P845">
        <v>5</v>
      </c>
      <c r="Q845" t="s">
        <v>69</v>
      </c>
      <c r="R845" t="s">
        <v>42</v>
      </c>
      <c r="S845" t="b">
        <v>0</v>
      </c>
      <c r="T845" t="b">
        <v>0</v>
      </c>
      <c r="U845" t="b">
        <v>0</v>
      </c>
      <c r="V845" t="b">
        <v>0</v>
      </c>
      <c r="W845" t="b">
        <v>0</v>
      </c>
      <c r="X845">
        <v>0.4</v>
      </c>
      <c r="Y845">
        <v>8.3000000000000007</v>
      </c>
      <c r="Z845">
        <v>1</v>
      </c>
      <c r="AA845">
        <v>14.2</v>
      </c>
      <c r="AB845" s="3">
        <v>16.79</v>
      </c>
      <c r="AC845" s="3"/>
      <c r="AD845">
        <v>2</v>
      </c>
      <c r="AE845" t="s">
        <v>46</v>
      </c>
      <c r="AF845" s="4"/>
    </row>
    <row r="846" spans="1:32" x14ac:dyDescent="0.3">
      <c r="A846" t="s">
        <v>937</v>
      </c>
      <c r="B846">
        <v>19</v>
      </c>
      <c r="C846" t="str">
        <f t="shared" si="13"/>
        <v>Teenager</v>
      </c>
      <c r="D846" t="s">
        <v>28</v>
      </c>
      <c r="E846">
        <v>10.9</v>
      </c>
      <c r="G846" t="s">
        <v>82</v>
      </c>
      <c r="H846" t="s">
        <v>83</v>
      </c>
      <c r="I846" t="s">
        <v>71</v>
      </c>
      <c r="J846">
        <v>5.7</v>
      </c>
      <c r="L846" t="s">
        <v>32</v>
      </c>
      <c r="M846" t="s">
        <v>74</v>
      </c>
      <c r="N846" t="s">
        <v>43</v>
      </c>
      <c r="O846">
        <v>2.39</v>
      </c>
      <c r="P846">
        <v>5</v>
      </c>
      <c r="Q846" t="s">
        <v>35</v>
      </c>
      <c r="R846" t="s">
        <v>36</v>
      </c>
      <c r="S846" t="b">
        <v>1</v>
      </c>
      <c r="T846" t="b">
        <v>0</v>
      </c>
      <c r="U846" t="b">
        <v>1</v>
      </c>
      <c r="V846" t="b">
        <v>1</v>
      </c>
      <c r="W846" t="b">
        <v>1</v>
      </c>
      <c r="X846">
        <v>3.7</v>
      </c>
      <c r="Y846">
        <v>4.5999999999999996</v>
      </c>
      <c r="Z846">
        <v>7</v>
      </c>
      <c r="AA846">
        <v>0</v>
      </c>
      <c r="AB846" s="3">
        <v>486.86</v>
      </c>
      <c r="AC846" s="3"/>
      <c r="AD846">
        <v>8</v>
      </c>
      <c r="AE846" t="s">
        <v>37</v>
      </c>
      <c r="AF846" s="4"/>
    </row>
    <row r="847" spans="1:32" x14ac:dyDescent="0.3">
      <c r="A847" t="s">
        <v>938</v>
      </c>
      <c r="B847">
        <v>21</v>
      </c>
      <c r="C847" t="str">
        <f t="shared" si="13"/>
        <v>Young Adults</v>
      </c>
      <c r="D847" t="s">
        <v>53</v>
      </c>
      <c r="E847">
        <v>10.1</v>
      </c>
      <c r="G847" t="s">
        <v>82</v>
      </c>
      <c r="H847" t="s">
        <v>167</v>
      </c>
      <c r="I847" t="s">
        <v>31</v>
      </c>
      <c r="J847">
        <v>4.0999999999999996</v>
      </c>
      <c r="L847" t="s">
        <v>51</v>
      </c>
      <c r="M847" t="s">
        <v>74</v>
      </c>
      <c r="N847" t="s">
        <v>34</v>
      </c>
      <c r="O847">
        <v>3.04</v>
      </c>
      <c r="P847">
        <v>2</v>
      </c>
      <c r="Q847" t="s">
        <v>35</v>
      </c>
      <c r="R847" t="s">
        <v>42</v>
      </c>
      <c r="S847" t="b">
        <v>0</v>
      </c>
      <c r="T847" t="b">
        <v>0</v>
      </c>
      <c r="U847" t="b">
        <v>1</v>
      </c>
      <c r="V847" t="b">
        <v>1</v>
      </c>
      <c r="W847" t="b">
        <v>1</v>
      </c>
      <c r="X847">
        <v>2.4</v>
      </c>
      <c r="Y847">
        <v>5.2</v>
      </c>
      <c r="Z847">
        <v>8</v>
      </c>
      <c r="AA847">
        <v>0.8</v>
      </c>
      <c r="AB847" s="3">
        <v>216.97</v>
      </c>
      <c r="AC847" s="3"/>
      <c r="AD847">
        <v>9</v>
      </c>
      <c r="AE847" t="s">
        <v>58</v>
      </c>
      <c r="AF847" s="4"/>
    </row>
    <row r="848" spans="1:32" x14ac:dyDescent="0.3">
      <c r="A848" t="s">
        <v>939</v>
      </c>
      <c r="B848">
        <v>20</v>
      </c>
      <c r="C848" t="str">
        <f t="shared" si="13"/>
        <v>Young Adults</v>
      </c>
      <c r="D848" t="s">
        <v>53</v>
      </c>
      <c r="E848">
        <v>5.7</v>
      </c>
      <c r="G848" t="s">
        <v>76</v>
      </c>
      <c r="H848" t="s">
        <v>126</v>
      </c>
      <c r="I848" t="s">
        <v>86</v>
      </c>
      <c r="J848">
        <v>6.1</v>
      </c>
      <c r="L848" t="s">
        <v>41</v>
      </c>
      <c r="M848" t="s">
        <v>42</v>
      </c>
      <c r="N848" t="s">
        <v>34</v>
      </c>
      <c r="O848">
        <v>3.04</v>
      </c>
      <c r="P848">
        <v>9</v>
      </c>
      <c r="Q848" t="s">
        <v>105</v>
      </c>
      <c r="R848" t="s">
        <v>33</v>
      </c>
      <c r="S848" t="b">
        <v>0</v>
      </c>
      <c r="T848" t="b">
        <v>0</v>
      </c>
      <c r="U848" t="b">
        <v>0</v>
      </c>
      <c r="V848" t="b">
        <v>1</v>
      </c>
      <c r="W848" t="b">
        <v>1</v>
      </c>
      <c r="X848">
        <v>0.7</v>
      </c>
      <c r="Y848">
        <v>5</v>
      </c>
      <c r="Z848">
        <v>4</v>
      </c>
      <c r="AA848">
        <v>6.2</v>
      </c>
      <c r="AB848" s="3">
        <v>45.63</v>
      </c>
      <c r="AC848" s="3"/>
      <c r="AD848">
        <v>4</v>
      </c>
      <c r="AE848" t="s">
        <v>46</v>
      </c>
      <c r="AF848" s="4"/>
    </row>
    <row r="849" spans="1:32" x14ac:dyDescent="0.3">
      <c r="A849" t="s">
        <v>940</v>
      </c>
      <c r="B849">
        <v>21</v>
      </c>
      <c r="C849" t="str">
        <f t="shared" si="13"/>
        <v>Young Adults</v>
      </c>
      <c r="D849" t="s">
        <v>28</v>
      </c>
      <c r="E849">
        <v>7</v>
      </c>
      <c r="G849" t="s">
        <v>76</v>
      </c>
      <c r="H849" t="s">
        <v>110</v>
      </c>
      <c r="I849" t="s">
        <v>71</v>
      </c>
      <c r="J849">
        <v>5.9</v>
      </c>
      <c r="L849" t="s">
        <v>78</v>
      </c>
      <c r="M849" t="s">
        <v>42</v>
      </c>
      <c r="N849" t="s">
        <v>129</v>
      </c>
      <c r="O849">
        <v>3.46</v>
      </c>
      <c r="P849">
        <v>6</v>
      </c>
      <c r="Q849" t="s">
        <v>80</v>
      </c>
      <c r="R849" t="s">
        <v>45</v>
      </c>
      <c r="S849" t="b">
        <v>1</v>
      </c>
      <c r="T849" t="b">
        <v>1</v>
      </c>
      <c r="U849" t="b">
        <v>0</v>
      </c>
      <c r="V849" t="b">
        <v>1</v>
      </c>
      <c r="W849" t="b">
        <v>1</v>
      </c>
      <c r="X849">
        <v>1.4</v>
      </c>
      <c r="Y849">
        <v>5.6</v>
      </c>
      <c r="Z849">
        <v>5</v>
      </c>
      <c r="AA849">
        <v>6.1</v>
      </c>
      <c r="AB849" s="3">
        <v>100.91</v>
      </c>
      <c r="AC849" s="3"/>
      <c r="AD849">
        <v>11</v>
      </c>
      <c r="AE849" t="s">
        <v>58</v>
      </c>
      <c r="AF849" s="4"/>
    </row>
    <row r="850" spans="1:32" x14ac:dyDescent="0.3">
      <c r="A850" t="s">
        <v>941</v>
      </c>
      <c r="B850">
        <v>23</v>
      </c>
      <c r="C850" t="str">
        <f t="shared" si="13"/>
        <v>Young Adults</v>
      </c>
      <c r="D850" t="s">
        <v>28</v>
      </c>
      <c r="E850">
        <v>7.3</v>
      </c>
      <c r="G850" t="s">
        <v>39</v>
      </c>
      <c r="H850" t="s">
        <v>93</v>
      </c>
      <c r="I850" t="s">
        <v>50</v>
      </c>
      <c r="J850">
        <v>5.6</v>
      </c>
      <c r="L850" t="s">
        <v>32</v>
      </c>
      <c r="M850" t="s">
        <v>45</v>
      </c>
      <c r="N850" t="s">
        <v>51</v>
      </c>
      <c r="P850">
        <v>4</v>
      </c>
      <c r="Q850" t="s">
        <v>80</v>
      </c>
      <c r="R850" t="s">
        <v>33</v>
      </c>
      <c r="S850" t="b">
        <v>0</v>
      </c>
      <c r="T850" t="b">
        <v>0</v>
      </c>
      <c r="U850" t="b">
        <v>0</v>
      </c>
      <c r="V850" t="b">
        <v>0</v>
      </c>
      <c r="W850" t="b">
        <v>1</v>
      </c>
      <c r="X850">
        <v>0.4</v>
      </c>
      <c r="Y850">
        <v>8.5</v>
      </c>
      <c r="Z850">
        <v>3</v>
      </c>
      <c r="AA850">
        <v>5.2</v>
      </c>
      <c r="AB850" s="3">
        <v>29.85</v>
      </c>
      <c r="AC850" s="3"/>
      <c r="AD850">
        <v>9</v>
      </c>
      <c r="AE850" t="s">
        <v>46</v>
      </c>
      <c r="AF850" s="4"/>
    </row>
    <row r="851" spans="1:32" x14ac:dyDescent="0.3">
      <c r="A851" t="s">
        <v>942</v>
      </c>
      <c r="B851">
        <v>21</v>
      </c>
      <c r="C851" t="str">
        <f t="shared" si="13"/>
        <v>Young Adults</v>
      </c>
      <c r="D851" t="s">
        <v>53</v>
      </c>
      <c r="E851">
        <v>6.1</v>
      </c>
      <c r="G851" t="s">
        <v>82</v>
      </c>
      <c r="H851" t="s">
        <v>167</v>
      </c>
      <c r="I851" t="s">
        <v>31</v>
      </c>
      <c r="J851">
        <v>6.4</v>
      </c>
      <c r="L851" t="s">
        <v>32</v>
      </c>
      <c r="M851" t="s">
        <v>36</v>
      </c>
      <c r="N851" t="s">
        <v>51</v>
      </c>
      <c r="O851">
        <v>3.62</v>
      </c>
      <c r="P851">
        <v>8</v>
      </c>
      <c r="Q851" t="s">
        <v>44</v>
      </c>
      <c r="R851" t="s">
        <v>45</v>
      </c>
      <c r="S851" t="b">
        <v>0</v>
      </c>
      <c r="T851" t="b">
        <v>1</v>
      </c>
      <c r="U851" t="b">
        <v>0</v>
      </c>
      <c r="V851" t="b">
        <v>0</v>
      </c>
      <c r="W851" t="b">
        <v>1</v>
      </c>
      <c r="X851">
        <v>1.9</v>
      </c>
      <c r="Y851">
        <v>5.0999999999999996</v>
      </c>
      <c r="Z851">
        <v>4</v>
      </c>
      <c r="AA851">
        <v>9.4</v>
      </c>
      <c r="AB851" s="3">
        <v>102.56</v>
      </c>
      <c r="AC851" s="3"/>
      <c r="AD851">
        <v>11</v>
      </c>
      <c r="AE851" t="s">
        <v>64</v>
      </c>
      <c r="AF851" s="4"/>
    </row>
    <row r="852" spans="1:32" x14ac:dyDescent="0.3">
      <c r="A852" t="s">
        <v>943</v>
      </c>
      <c r="B852">
        <v>23</v>
      </c>
      <c r="C852" t="str">
        <f t="shared" si="13"/>
        <v>Young Adults</v>
      </c>
      <c r="D852" t="s">
        <v>28</v>
      </c>
      <c r="E852">
        <v>7.1</v>
      </c>
      <c r="G852" t="s">
        <v>39</v>
      </c>
      <c r="H852" t="s">
        <v>93</v>
      </c>
      <c r="I852" t="s">
        <v>50</v>
      </c>
      <c r="J852">
        <v>3.7</v>
      </c>
      <c r="L852" t="s">
        <v>43</v>
      </c>
      <c r="M852" t="s">
        <v>36</v>
      </c>
      <c r="N852" t="s">
        <v>62</v>
      </c>
      <c r="P852">
        <v>5</v>
      </c>
      <c r="Q852" t="s">
        <v>69</v>
      </c>
      <c r="R852" t="s">
        <v>36</v>
      </c>
      <c r="S852" t="b">
        <v>1</v>
      </c>
      <c r="T852" t="b">
        <v>1</v>
      </c>
      <c r="U852" t="b">
        <v>0</v>
      </c>
      <c r="V852" t="b">
        <v>1</v>
      </c>
      <c r="W852" t="b">
        <v>0</v>
      </c>
      <c r="X852">
        <v>0.6</v>
      </c>
      <c r="Y852">
        <v>6.4</v>
      </c>
      <c r="Z852">
        <v>4</v>
      </c>
      <c r="AA852">
        <v>4.5</v>
      </c>
      <c r="AB852" s="3">
        <v>89.72</v>
      </c>
      <c r="AC852" s="3"/>
      <c r="AD852">
        <v>5</v>
      </c>
      <c r="AE852" t="s">
        <v>58</v>
      </c>
      <c r="AF852" s="4"/>
    </row>
    <row r="853" spans="1:32" x14ac:dyDescent="0.3">
      <c r="A853" t="s">
        <v>944</v>
      </c>
      <c r="B853">
        <v>15</v>
      </c>
      <c r="C853" t="str">
        <f t="shared" si="13"/>
        <v>Teenager</v>
      </c>
      <c r="D853" t="s">
        <v>53</v>
      </c>
      <c r="E853">
        <v>4.0999999999999996</v>
      </c>
      <c r="G853" t="s">
        <v>54</v>
      </c>
      <c r="H853" t="s">
        <v>55</v>
      </c>
      <c r="I853" t="s">
        <v>50</v>
      </c>
      <c r="J853">
        <v>6.2</v>
      </c>
      <c r="L853" t="s">
        <v>41</v>
      </c>
      <c r="M853" t="s">
        <v>42</v>
      </c>
      <c r="N853" t="s">
        <v>84</v>
      </c>
      <c r="O853">
        <v>2.62</v>
      </c>
      <c r="Q853" t="s">
        <v>35</v>
      </c>
      <c r="R853" t="s">
        <v>36</v>
      </c>
      <c r="S853" t="b">
        <v>0</v>
      </c>
      <c r="T853" t="b">
        <v>0</v>
      </c>
      <c r="U853" t="b">
        <v>0</v>
      </c>
      <c r="V853" t="b">
        <v>0</v>
      </c>
      <c r="W853" t="b">
        <v>0</v>
      </c>
      <c r="X853">
        <v>1</v>
      </c>
      <c r="Y853">
        <v>9.6</v>
      </c>
      <c r="Z853">
        <v>3</v>
      </c>
      <c r="AA853">
        <v>9.5</v>
      </c>
      <c r="AB853" s="3">
        <v>47</v>
      </c>
      <c r="AC853" s="3"/>
      <c r="AD853">
        <v>1</v>
      </c>
      <c r="AE853" t="s">
        <v>46</v>
      </c>
      <c r="AF853" s="4"/>
    </row>
    <row r="854" spans="1:32" x14ac:dyDescent="0.3">
      <c r="A854" t="s">
        <v>945</v>
      </c>
      <c r="B854">
        <v>23</v>
      </c>
      <c r="C854" t="str">
        <f t="shared" si="13"/>
        <v>Young Adults</v>
      </c>
      <c r="D854" t="s">
        <v>53</v>
      </c>
      <c r="E854">
        <v>4.5</v>
      </c>
      <c r="G854" t="s">
        <v>76</v>
      </c>
      <c r="H854" t="s">
        <v>77</v>
      </c>
      <c r="I854" t="s">
        <v>71</v>
      </c>
      <c r="J854">
        <v>5.7</v>
      </c>
      <c r="L854" t="s">
        <v>32</v>
      </c>
      <c r="M854" t="s">
        <v>45</v>
      </c>
      <c r="N854" t="s">
        <v>62</v>
      </c>
      <c r="P854">
        <v>9</v>
      </c>
      <c r="Q854" t="s">
        <v>80</v>
      </c>
      <c r="R854" t="s">
        <v>33</v>
      </c>
      <c r="S854" t="b">
        <v>0</v>
      </c>
      <c r="T854" t="b">
        <v>0</v>
      </c>
      <c r="U854" t="b">
        <v>0</v>
      </c>
      <c r="V854" t="b">
        <v>1</v>
      </c>
      <c r="W854" t="b">
        <v>0</v>
      </c>
      <c r="X854">
        <v>0.4</v>
      </c>
      <c r="Y854">
        <v>7.1</v>
      </c>
      <c r="Z854">
        <v>3</v>
      </c>
      <c r="AA854">
        <v>7.4</v>
      </c>
      <c r="AB854" s="3">
        <v>40.72</v>
      </c>
      <c r="AC854" s="3"/>
      <c r="AD854">
        <v>12</v>
      </c>
      <c r="AE854" t="s">
        <v>46</v>
      </c>
      <c r="AF854" s="4"/>
    </row>
    <row r="855" spans="1:32" x14ac:dyDescent="0.3">
      <c r="A855" t="s">
        <v>946</v>
      </c>
      <c r="B855">
        <v>21</v>
      </c>
      <c r="C855" t="str">
        <f t="shared" si="13"/>
        <v>Young Adults</v>
      </c>
      <c r="D855" t="s">
        <v>152</v>
      </c>
      <c r="E855">
        <v>5.2</v>
      </c>
      <c r="G855" t="s">
        <v>54</v>
      </c>
      <c r="H855" t="s">
        <v>98</v>
      </c>
      <c r="I855" t="s">
        <v>50</v>
      </c>
      <c r="J855">
        <v>5.9</v>
      </c>
      <c r="L855" t="s">
        <v>51</v>
      </c>
      <c r="M855" t="s">
        <v>42</v>
      </c>
      <c r="N855" t="s">
        <v>62</v>
      </c>
      <c r="O855">
        <v>3.62</v>
      </c>
      <c r="P855">
        <v>6</v>
      </c>
      <c r="Q855" t="s">
        <v>35</v>
      </c>
      <c r="R855" t="s">
        <v>57</v>
      </c>
      <c r="S855" t="b">
        <v>0</v>
      </c>
      <c r="T855" t="b">
        <v>0</v>
      </c>
      <c r="U855" t="b">
        <v>0</v>
      </c>
      <c r="V855" t="b">
        <v>1</v>
      </c>
      <c r="W855" t="b">
        <v>0</v>
      </c>
      <c r="X855">
        <v>1.3</v>
      </c>
      <c r="Y855">
        <v>6.8</v>
      </c>
      <c r="Z855">
        <v>3</v>
      </c>
      <c r="AA855">
        <v>8.5</v>
      </c>
      <c r="AB855" s="3">
        <v>27.48</v>
      </c>
      <c r="AC855" s="3"/>
      <c r="AD855">
        <v>3</v>
      </c>
      <c r="AE855" t="s">
        <v>46</v>
      </c>
      <c r="AF855" s="4"/>
    </row>
    <row r="856" spans="1:32" x14ac:dyDescent="0.3">
      <c r="A856" t="s">
        <v>947</v>
      </c>
      <c r="B856">
        <v>18</v>
      </c>
      <c r="C856" t="str">
        <f t="shared" si="13"/>
        <v>Teenager</v>
      </c>
      <c r="D856" t="s">
        <v>28</v>
      </c>
      <c r="E856">
        <v>2.2999999999999998</v>
      </c>
      <c r="G856" t="s">
        <v>82</v>
      </c>
      <c r="H856" t="s">
        <v>83</v>
      </c>
      <c r="I856" t="s">
        <v>50</v>
      </c>
      <c r="J856">
        <v>7.9</v>
      </c>
      <c r="L856" t="s">
        <v>43</v>
      </c>
      <c r="M856" t="s">
        <v>42</v>
      </c>
      <c r="N856" t="s">
        <v>84</v>
      </c>
      <c r="O856">
        <v>3.38</v>
      </c>
      <c r="Q856" t="s">
        <v>69</v>
      </c>
      <c r="R856" t="s">
        <v>57</v>
      </c>
      <c r="S856" t="b">
        <v>0</v>
      </c>
      <c r="T856" t="b">
        <v>0</v>
      </c>
      <c r="U856" t="b">
        <v>0</v>
      </c>
      <c r="V856" t="b">
        <v>0</v>
      </c>
      <c r="W856" t="b">
        <v>0</v>
      </c>
      <c r="X856">
        <v>0.6</v>
      </c>
      <c r="Y856">
        <v>10.8</v>
      </c>
      <c r="Z856">
        <v>1</v>
      </c>
      <c r="AA856">
        <v>13.8</v>
      </c>
      <c r="AB856" s="3">
        <v>40.47</v>
      </c>
      <c r="AC856" s="3"/>
      <c r="AD856">
        <v>2</v>
      </c>
      <c r="AE856" t="s">
        <v>46</v>
      </c>
      <c r="AF856" s="4"/>
    </row>
    <row r="857" spans="1:32" x14ac:dyDescent="0.3">
      <c r="A857" t="s">
        <v>948</v>
      </c>
      <c r="B857">
        <v>26</v>
      </c>
      <c r="C857" t="str">
        <f t="shared" si="13"/>
        <v>Young Adults</v>
      </c>
      <c r="D857" t="s">
        <v>152</v>
      </c>
      <c r="E857">
        <v>9.1</v>
      </c>
      <c r="G857" t="s">
        <v>39</v>
      </c>
      <c r="H857" t="s">
        <v>40</v>
      </c>
      <c r="I857" t="s">
        <v>86</v>
      </c>
      <c r="J857">
        <v>5.7</v>
      </c>
      <c r="L857" t="s">
        <v>51</v>
      </c>
      <c r="M857" t="s">
        <v>36</v>
      </c>
      <c r="N857" t="s">
        <v>34</v>
      </c>
      <c r="P857">
        <v>9</v>
      </c>
      <c r="Q857" t="s">
        <v>105</v>
      </c>
      <c r="R857" t="s">
        <v>36</v>
      </c>
      <c r="S857" t="b">
        <v>0</v>
      </c>
      <c r="T857" t="b">
        <v>0</v>
      </c>
      <c r="U857" t="b">
        <v>0</v>
      </c>
      <c r="V857" t="b">
        <v>1</v>
      </c>
      <c r="W857" t="b">
        <v>0</v>
      </c>
      <c r="X857">
        <v>0.9</v>
      </c>
      <c r="Y857">
        <v>6.7</v>
      </c>
      <c r="Z857">
        <v>6</v>
      </c>
      <c r="AA857">
        <v>3.2</v>
      </c>
      <c r="AB857" s="3">
        <v>413.14</v>
      </c>
      <c r="AC857" s="3"/>
      <c r="AD857">
        <v>9</v>
      </c>
      <c r="AE857" t="s">
        <v>64</v>
      </c>
      <c r="AF857" s="4"/>
    </row>
    <row r="858" spans="1:32" x14ac:dyDescent="0.3">
      <c r="A858" t="s">
        <v>949</v>
      </c>
      <c r="B858">
        <v>18</v>
      </c>
      <c r="C858" t="str">
        <f t="shared" si="13"/>
        <v>Teenager</v>
      </c>
      <c r="D858" t="s">
        <v>28</v>
      </c>
      <c r="E858">
        <v>8.1999999999999993</v>
      </c>
      <c r="G858" t="s">
        <v>76</v>
      </c>
      <c r="H858" t="s">
        <v>110</v>
      </c>
      <c r="I858" t="s">
        <v>71</v>
      </c>
      <c r="J858">
        <v>5.2</v>
      </c>
      <c r="L858" t="s">
        <v>32</v>
      </c>
      <c r="M858" t="s">
        <v>36</v>
      </c>
      <c r="N858" t="s">
        <v>34</v>
      </c>
      <c r="O858">
        <v>3.83</v>
      </c>
      <c r="Q858" t="s">
        <v>44</v>
      </c>
      <c r="R858" t="s">
        <v>42</v>
      </c>
      <c r="S858" t="b">
        <v>0</v>
      </c>
      <c r="T858" t="b">
        <v>1</v>
      </c>
      <c r="U858" t="b">
        <v>1</v>
      </c>
      <c r="V858" t="b">
        <v>1</v>
      </c>
      <c r="W858" t="b">
        <v>0</v>
      </c>
      <c r="X858">
        <v>0.7</v>
      </c>
      <c r="Y858">
        <v>6.1</v>
      </c>
      <c r="Z858">
        <v>8</v>
      </c>
      <c r="AA858">
        <v>2.6</v>
      </c>
      <c r="AB858" s="3">
        <v>75.11</v>
      </c>
      <c r="AC858" s="3"/>
      <c r="AD858">
        <v>3</v>
      </c>
      <c r="AE858" t="s">
        <v>58</v>
      </c>
      <c r="AF858" s="4"/>
    </row>
    <row r="859" spans="1:32" x14ac:dyDescent="0.3">
      <c r="A859" t="s">
        <v>950</v>
      </c>
      <c r="B859">
        <v>20</v>
      </c>
      <c r="C859" t="str">
        <f t="shared" si="13"/>
        <v>Young Adults</v>
      </c>
      <c r="D859" t="s">
        <v>28</v>
      </c>
      <c r="E859">
        <v>4.5</v>
      </c>
      <c r="G859" t="s">
        <v>76</v>
      </c>
      <c r="H859" t="s">
        <v>77</v>
      </c>
      <c r="I859" t="s">
        <v>71</v>
      </c>
      <c r="J859">
        <v>6.6</v>
      </c>
      <c r="L859" t="s">
        <v>41</v>
      </c>
      <c r="M859" t="s">
        <v>45</v>
      </c>
      <c r="N859" t="s">
        <v>43</v>
      </c>
      <c r="O859">
        <v>2.23</v>
      </c>
      <c r="P859">
        <v>6</v>
      </c>
      <c r="Q859" t="s">
        <v>80</v>
      </c>
      <c r="R859" t="s">
        <v>45</v>
      </c>
      <c r="S859" t="b">
        <v>0</v>
      </c>
      <c r="T859" t="b">
        <v>0</v>
      </c>
      <c r="U859" t="b">
        <v>0</v>
      </c>
      <c r="V859" t="b">
        <v>1</v>
      </c>
      <c r="W859" t="b">
        <v>0</v>
      </c>
      <c r="X859">
        <v>0.1</v>
      </c>
      <c r="Y859">
        <v>6.2</v>
      </c>
      <c r="Z859">
        <v>4</v>
      </c>
      <c r="AA859">
        <v>10.6</v>
      </c>
      <c r="AB859" s="3">
        <v>25.62</v>
      </c>
      <c r="AC859" s="3"/>
      <c r="AD859">
        <v>1</v>
      </c>
      <c r="AE859" t="s">
        <v>46</v>
      </c>
      <c r="AF859" s="4"/>
    </row>
    <row r="860" spans="1:32" x14ac:dyDescent="0.3">
      <c r="A860" t="s">
        <v>951</v>
      </c>
      <c r="B860">
        <v>30</v>
      </c>
      <c r="C860" t="str">
        <f t="shared" si="13"/>
        <v>Young Adults</v>
      </c>
      <c r="D860" t="s">
        <v>28</v>
      </c>
      <c r="E860">
        <v>6.3</v>
      </c>
      <c r="G860" t="s">
        <v>60</v>
      </c>
      <c r="H860" t="s">
        <v>200</v>
      </c>
      <c r="I860" t="s">
        <v>71</v>
      </c>
      <c r="J860">
        <v>6.5</v>
      </c>
      <c r="L860" t="s">
        <v>43</v>
      </c>
      <c r="M860" t="s">
        <v>42</v>
      </c>
      <c r="N860" t="s">
        <v>84</v>
      </c>
      <c r="P860">
        <v>1</v>
      </c>
      <c r="Q860" t="s">
        <v>63</v>
      </c>
      <c r="R860" t="s">
        <v>33</v>
      </c>
      <c r="S860" t="b">
        <v>0</v>
      </c>
      <c r="T860" t="b">
        <v>1</v>
      </c>
      <c r="U860" t="b">
        <v>0</v>
      </c>
      <c r="V860" t="b">
        <v>1</v>
      </c>
      <c r="W860" t="b">
        <v>0</v>
      </c>
      <c r="X860">
        <v>0.3</v>
      </c>
      <c r="Y860">
        <v>5.0999999999999996</v>
      </c>
      <c r="Z860">
        <v>3</v>
      </c>
      <c r="AA860">
        <v>8.8000000000000007</v>
      </c>
      <c r="AB860" s="3">
        <v>90.63</v>
      </c>
      <c r="AC860" s="3"/>
      <c r="AD860">
        <v>16</v>
      </c>
      <c r="AE860" t="s">
        <v>64</v>
      </c>
      <c r="AF860" s="4"/>
    </row>
    <row r="861" spans="1:32" x14ac:dyDescent="0.3">
      <c r="A861" t="s">
        <v>952</v>
      </c>
      <c r="B861">
        <v>24</v>
      </c>
      <c r="C861" t="str">
        <f t="shared" si="13"/>
        <v>Young Adults</v>
      </c>
      <c r="D861" t="s">
        <v>53</v>
      </c>
      <c r="E861">
        <v>6.1</v>
      </c>
      <c r="G861" t="s">
        <v>76</v>
      </c>
      <c r="H861" t="s">
        <v>126</v>
      </c>
      <c r="I861" t="s">
        <v>31</v>
      </c>
      <c r="J861">
        <v>5.9</v>
      </c>
      <c r="L861" t="s">
        <v>41</v>
      </c>
      <c r="M861" t="s">
        <v>33</v>
      </c>
      <c r="N861" t="s">
        <v>34</v>
      </c>
      <c r="P861">
        <v>1</v>
      </c>
      <c r="Q861" t="s">
        <v>105</v>
      </c>
      <c r="R861" t="s">
        <v>45</v>
      </c>
      <c r="S861" t="b">
        <v>0</v>
      </c>
      <c r="T861" t="b">
        <v>0</v>
      </c>
      <c r="U861" t="b">
        <v>0</v>
      </c>
      <c r="V861" t="b">
        <v>1</v>
      </c>
      <c r="W861" t="b">
        <v>0</v>
      </c>
      <c r="X861">
        <v>2.7</v>
      </c>
      <c r="Y861">
        <v>5.4</v>
      </c>
      <c r="Z861">
        <v>4</v>
      </c>
      <c r="AA861">
        <v>10.4</v>
      </c>
      <c r="AB861" s="3">
        <v>49.79</v>
      </c>
      <c r="AC861" s="3"/>
      <c r="AD861">
        <v>10</v>
      </c>
      <c r="AE861" t="s">
        <v>46</v>
      </c>
      <c r="AF861" s="4"/>
    </row>
    <row r="862" spans="1:32" x14ac:dyDescent="0.3">
      <c r="A862" t="s">
        <v>953</v>
      </c>
      <c r="B862">
        <v>20</v>
      </c>
      <c r="C862" t="str">
        <f t="shared" si="13"/>
        <v>Young Adults</v>
      </c>
      <c r="D862" t="s">
        <v>28</v>
      </c>
      <c r="E862">
        <v>8.1</v>
      </c>
      <c r="G862" t="s">
        <v>29</v>
      </c>
      <c r="H862" t="s">
        <v>30</v>
      </c>
      <c r="I862" t="s">
        <v>71</v>
      </c>
      <c r="J862">
        <v>3.3</v>
      </c>
      <c r="L862" t="s">
        <v>41</v>
      </c>
      <c r="M862" t="s">
        <v>74</v>
      </c>
      <c r="N862" t="s">
        <v>129</v>
      </c>
      <c r="O862">
        <v>3.11</v>
      </c>
      <c r="P862">
        <v>3</v>
      </c>
      <c r="Q862" t="s">
        <v>69</v>
      </c>
      <c r="R862" t="s">
        <v>33</v>
      </c>
      <c r="S862" t="b">
        <v>1</v>
      </c>
      <c r="T862" t="b">
        <v>1</v>
      </c>
      <c r="U862" t="b">
        <v>1</v>
      </c>
      <c r="V862" t="b">
        <v>0</v>
      </c>
      <c r="W862" t="b">
        <v>0</v>
      </c>
      <c r="X862">
        <v>0.3</v>
      </c>
      <c r="Y862">
        <v>6.2</v>
      </c>
      <c r="Z862">
        <v>6</v>
      </c>
      <c r="AA862">
        <v>8</v>
      </c>
      <c r="AB862" s="3">
        <v>84.8</v>
      </c>
      <c r="AC862" s="3"/>
      <c r="AD862">
        <v>8</v>
      </c>
      <c r="AE862" t="s">
        <v>37</v>
      </c>
      <c r="AF862" s="4"/>
    </row>
    <row r="863" spans="1:32" x14ac:dyDescent="0.3">
      <c r="A863" t="s">
        <v>954</v>
      </c>
      <c r="B863">
        <v>23</v>
      </c>
      <c r="C863" t="str">
        <f t="shared" si="13"/>
        <v>Young Adults</v>
      </c>
      <c r="D863" t="s">
        <v>53</v>
      </c>
      <c r="E863">
        <v>5.6</v>
      </c>
      <c r="G863" t="s">
        <v>29</v>
      </c>
      <c r="H863" t="s">
        <v>118</v>
      </c>
      <c r="I863" t="s">
        <v>71</v>
      </c>
      <c r="J863">
        <v>5.2</v>
      </c>
      <c r="L863" t="s">
        <v>41</v>
      </c>
      <c r="M863" t="s">
        <v>36</v>
      </c>
      <c r="N863" t="s">
        <v>34</v>
      </c>
      <c r="P863">
        <v>5</v>
      </c>
      <c r="Q863" t="s">
        <v>66</v>
      </c>
      <c r="R863" t="s">
        <v>36</v>
      </c>
      <c r="S863" t="b">
        <v>0</v>
      </c>
      <c r="T863" t="b">
        <v>1</v>
      </c>
      <c r="U863" t="b">
        <v>0</v>
      </c>
      <c r="V863" t="b">
        <v>0</v>
      </c>
      <c r="W863" t="b">
        <v>1</v>
      </c>
      <c r="X863">
        <v>1.7</v>
      </c>
      <c r="Y863">
        <v>5.2</v>
      </c>
      <c r="Z863">
        <v>4</v>
      </c>
      <c r="AA863">
        <v>9.9</v>
      </c>
      <c r="AB863" s="3">
        <v>98.62</v>
      </c>
      <c r="AC863" s="3"/>
      <c r="AD863">
        <v>13</v>
      </c>
      <c r="AE863" t="s">
        <v>64</v>
      </c>
      <c r="AF863" s="4"/>
    </row>
    <row r="864" spans="1:32" x14ac:dyDescent="0.3">
      <c r="A864" t="s">
        <v>955</v>
      </c>
      <c r="B864">
        <v>19</v>
      </c>
      <c r="C864" t="str">
        <f t="shared" si="13"/>
        <v>Teenager</v>
      </c>
      <c r="D864" t="s">
        <v>28</v>
      </c>
      <c r="E864">
        <v>0.6</v>
      </c>
      <c r="G864" t="s">
        <v>39</v>
      </c>
      <c r="H864" t="s">
        <v>120</v>
      </c>
      <c r="I864" t="s">
        <v>71</v>
      </c>
      <c r="J864">
        <v>7.8</v>
      </c>
      <c r="L864" t="s">
        <v>41</v>
      </c>
      <c r="M864" t="s">
        <v>74</v>
      </c>
      <c r="N864" t="s">
        <v>62</v>
      </c>
      <c r="O864">
        <v>3.18</v>
      </c>
      <c r="P864">
        <v>1</v>
      </c>
      <c r="Q864" t="s">
        <v>80</v>
      </c>
      <c r="R864" t="s">
        <v>33</v>
      </c>
      <c r="S864" t="b">
        <v>0</v>
      </c>
      <c r="T864" t="b">
        <v>0</v>
      </c>
      <c r="U864" t="b">
        <v>0</v>
      </c>
      <c r="V864" t="b">
        <v>0</v>
      </c>
      <c r="W864" t="b">
        <v>0</v>
      </c>
      <c r="X864">
        <v>0</v>
      </c>
      <c r="Y864">
        <v>8.9</v>
      </c>
      <c r="Z864">
        <v>2</v>
      </c>
      <c r="AA864">
        <v>13.2</v>
      </c>
      <c r="AB864" s="3">
        <v>20.329999999999998</v>
      </c>
      <c r="AC864" s="3"/>
      <c r="AD864">
        <v>3</v>
      </c>
      <c r="AE864" t="s">
        <v>46</v>
      </c>
      <c r="AF864" s="4"/>
    </row>
    <row r="865" spans="1:32" x14ac:dyDescent="0.3">
      <c r="A865" t="s">
        <v>956</v>
      </c>
      <c r="B865">
        <v>19</v>
      </c>
      <c r="C865" t="str">
        <f t="shared" si="13"/>
        <v>Teenager</v>
      </c>
      <c r="D865" t="s">
        <v>28</v>
      </c>
      <c r="E865">
        <v>6.6</v>
      </c>
      <c r="G865" t="s">
        <v>39</v>
      </c>
      <c r="H865" t="s">
        <v>93</v>
      </c>
      <c r="I865" t="s">
        <v>31</v>
      </c>
      <c r="J865">
        <v>6</v>
      </c>
      <c r="L865" t="s">
        <v>32</v>
      </c>
      <c r="M865" t="s">
        <v>33</v>
      </c>
      <c r="N865" t="s">
        <v>34</v>
      </c>
      <c r="O865">
        <v>2.36</v>
      </c>
      <c r="P865">
        <v>3</v>
      </c>
      <c r="Q865" t="s">
        <v>66</v>
      </c>
      <c r="R865" t="s">
        <v>42</v>
      </c>
      <c r="S865" t="b">
        <v>1</v>
      </c>
      <c r="T865" t="b">
        <v>0</v>
      </c>
      <c r="U865" t="b">
        <v>0</v>
      </c>
      <c r="V865" t="b">
        <v>1</v>
      </c>
      <c r="W865" t="b">
        <v>0</v>
      </c>
      <c r="X865">
        <v>1.8</v>
      </c>
      <c r="Y865">
        <v>6.7</v>
      </c>
      <c r="Z865">
        <v>5</v>
      </c>
      <c r="AA865">
        <v>6.9</v>
      </c>
      <c r="AB865" s="3">
        <v>60.38</v>
      </c>
      <c r="AC865" s="3"/>
      <c r="AD865">
        <v>4</v>
      </c>
      <c r="AE865" t="s">
        <v>64</v>
      </c>
      <c r="AF865" s="4"/>
    </row>
    <row r="866" spans="1:32" x14ac:dyDescent="0.3">
      <c r="A866" t="s">
        <v>957</v>
      </c>
      <c r="B866">
        <v>18</v>
      </c>
      <c r="C866" t="str">
        <f t="shared" si="13"/>
        <v>Teenager</v>
      </c>
      <c r="D866" t="s">
        <v>28</v>
      </c>
      <c r="E866">
        <v>8</v>
      </c>
      <c r="G866" t="s">
        <v>29</v>
      </c>
      <c r="H866" t="s">
        <v>118</v>
      </c>
      <c r="I866" t="s">
        <v>86</v>
      </c>
      <c r="J866">
        <v>4.5</v>
      </c>
      <c r="L866" t="s">
        <v>41</v>
      </c>
      <c r="M866" t="s">
        <v>45</v>
      </c>
      <c r="N866" t="s">
        <v>34</v>
      </c>
      <c r="O866">
        <v>3</v>
      </c>
      <c r="Q866" t="s">
        <v>44</v>
      </c>
      <c r="R866" t="s">
        <v>33</v>
      </c>
      <c r="S866" t="b">
        <v>1</v>
      </c>
      <c r="T866" t="b">
        <v>1</v>
      </c>
      <c r="U866" t="b">
        <v>0</v>
      </c>
      <c r="V866" t="b">
        <v>1</v>
      </c>
      <c r="W866" t="b">
        <v>1</v>
      </c>
      <c r="X866">
        <v>3.1</v>
      </c>
      <c r="Y866">
        <v>5.3</v>
      </c>
      <c r="Z866">
        <v>5</v>
      </c>
      <c r="AA866">
        <v>3.5</v>
      </c>
      <c r="AB866" s="3">
        <v>14.54</v>
      </c>
      <c r="AC866" s="3"/>
      <c r="AD866">
        <v>8</v>
      </c>
      <c r="AE866" t="s">
        <v>58</v>
      </c>
      <c r="AF866" s="4"/>
    </row>
    <row r="867" spans="1:32" x14ac:dyDescent="0.3">
      <c r="A867" t="s">
        <v>958</v>
      </c>
      <c r="B867">
        <v>19</v>
      </c>
      <c r="C867" t="str">
        <f t="shared" si="13"/>
        <v>Teenager</v>
      </c>
      <c r="D867" t="s">
        <v>28</v>
      </c>
      <c r="E867">
        <v>14.7</v>
      </c>
      <c r="G867" t="s">
        <v>29</v>
      </c>
      <c r="H867" t="s">
        <v>73</v>
      </c>
      <c r="I867" t="s">
        <v>50</v>
      </c>
      <c r="J867">
        <v>3.5</v>
      </c>
      <c r="L867" t="s">
        <v>51</v>
      </c>
      <c r="M867" t="s">
        <v>36</v>
      </c>
      <c r="N867" t="s">
        <v>34</v>
      </c>
      <c r="O867">
        <v>2.2799999999999998</v>
      </c>
      <c r="P867">
        <v>5</v>
      </c>
      <c r="Q867" t="s">
        <v>56</v>
      </c>
      <c r="R867" t="s">
        <v>45</v>
      </c>
      <c r="S867" t="b">
        <v>0</v>
      </c>
      <c r="T867" t="b">
        <v>1</v>
      </c>
      <c r="U867" t="b">
        <v>0</v>
      </c>
      <c r="V867" t="b">
        <v>1</v>
      </c>
      <c r="W867" t="b">
        <v>1</v>
      </c>
      <c r="X867">
        <v>2.1</v>
      </c>
      <c r="Y867">
        <v>1.3</v>
      </c>
      <c r="Z867">
        <v>10</v>
      </c>
      <c r="AA867">
        <v>0</v>
      </c>
      <c r="AB867" s="3">
        <v>178.29</v>
      </c>
      <c r="AC867" s="3"/>
      <c r="AD867">
        <v>1</v>
      </c>
      <c r="AE867" t="s">
        <v>58</v>
      </c>
      <c r="AF867" s="4"/>
    </row>
    <row r="868" spans="1:32" x14ac:dyDescent="0.3">
      <c r="A868" t="s">
        <v>959</v>
      </c>
      <c r="B868">
        <v>23</v>
      </c>
      <c r="C868" t="str">
        <f t="shared" si="13"/>
        <v>Young Adults</v>
      </c>
      <c r="D868" t="s">
        <v>53</v>
      </c>
      <c r="E868">
        <v>8.1999999999999993</v>
      </c>
      <c r="G868" t="s">
        <v>60</v>
      </c>
      <c r="H868" t="s">
        <v>61</v>
      </c>
      <c r="I868" t="s">
        <v>71</v>
      </c>
      <c r="J868">
        <v>5</v>
      </c>
      <c r="L868" t="s">
        <v>41</v>
      </c>
      <c r="M868" t="s">
        <v>45</v>
      </c>
      <c r="N868" t="s">
        <v>34</v>
      </c>
      <c r="P868">
        <v>5</v>
      </c>
      <c r="Q868" t="s">
        <v>80</v>
      </c>
      <c r="R868" t="s">
        <v>42</v>
      </c>
      <c r="S868" t="b">
        <v>1</v>
      </c>
      <c r="T868" t="b">
        <v>1</v>
      </c>
      <c r="U868" t="b">
        <v>1</v>
      </c>
      <c r="V868" t="b">
        <v>1</v>
      </c>
      <c r="W868" t="b">
        <v>0</v>
      </c>
      <c r="X868">
        <v>2.7</v>
      </c>
      <c r="Y868">
        <v>5.7</v>
      </c>
      <c r="Z868">
        <v>5</v>
      </c>
      <c r="AA868">
        <v>8.4</v>
      </c>
      <c r="AB868" s="3">
        <v>140.71</v>
      </c>
      <c r="AC868" s="3"/>
      <c r="AD868">
        <v>8</v>
      </c>
      <c r="AE868" t="s">
        <v>37</v>
      </c>
      <c r="AF868" s="4"/>
    </row>
    <row r="869" spans="1:32" x14ac:dyDescent="0.3">
      <c r="A869" t="s">
        <v>960</v>
      </c>
      <c r="B869">
        <v>19</v>
      </c>
      <c r="C869" t="str">
        <f t="shared" si="13"/>
        <v>Teenager</v>
      </c>
      <c r="D869" t="s">
        <v>53</v>
      </c>
      <c r="E869">
        <v>4.3</v>
      </c>
      <c r="G869" t="s">
        <v>29</v>
      </c>
      <c r="H869" t="s">
        <v>104</v>
      </c>
      <c r="I869" t="s">
        <v>71</v>
      </c>
      <c r="J869">
        <v>6.3</v>
      </c>
      <c r="L869" t="s">
        <v>41</v>
      </c>
      <c r="M869" t="s">
        <v>42</v>
      </c>
      <c r="N869" t="s">
        <v>34</v>
      </c>
      <c r="O869">
        <v>3.87</v>
      </c>
      <c r="P869">
        <v>3</v>
      </c>
      <c r="Q869" t="s">
        <v>44</v>
      </c>
      <c r="R869" t="s">
        <v>57</v>
      </c>
      <c r="S869" t="b">
        <v>0</v>
      </c>
      <c r="T869" t="b">
        <v>0</v>
      </c>
      <c r="U869" t="b">
        <v>0</v>
      </c>
      <c r="V869" t="b">
        <v>0</v>
      </c>
      <c r="W869" t="b">
        <v>0</v>
      </c>
      <c r="X869">
        <v>0.2</v>
      </c>
      <c r="Y869">
        <v>8.5</v>
      </c>
      <c r="Z869">
        <v>2</v>
      </c>
      <c r="AA869">
        <v>8.3000000000000007</v>
      </c>
      <c r="AB869" s="3">
        <v>24.27</v>
      </c>
      <c r="AC869" s="3"/>
      <c r="AD869">
        <v>5</v>
      </c>
      <c r="AE869" t="s">
        <v>46</v>
      </c>
      <c r="AF869" s="4"/>
    </row>
    <row r="870" spans="1:32" x14ac:dyDescent="0.3">
      <c r="A870" t="s">
        <v>961</v>
      </c>
      <c r="B870">
        <v>14</v>
      </c>
      <c r="C870" t="str">
        <f t="shared" si="13"/>
        <v>Teenager</v>
      </c>
      <c r="D870" t="s">
        <v>28</v>
      </c>
      <c r="E870">
        <v>3.8</v>
      </c>
      <c r="G870" t="s">
        <v>48</v>
      </c>
      <c r="H870" t="s">
        <v>49</v>
      </c>
      <c r="I870" t="s">
        <v>71</v>
      </c>
      <c r="J870">
        <v>6.3</v>
      </c>
      <c r="L870" t="s">
        <v>51</v>
      </c>
      <c r="M870" t="s">
        <v>33</v>
      </c>
      <c r="N870" t="s">
        <v>34</v>
      </c>
      <c r="O870">
        <v>1.1200000000000001</v>
      </c>
      <c r="Q870" t="s">
        <v>63</v>
      </c>
      <c r="R870" t="s">
        <v>36</v>
      </c>
      <c r="S870" t="b">
        <v>0</v>
      </c>
      <c r="T870" t="b">
        <v>0</v>
      </c>
      <c r="U870" t="b">
        <v>0</v>
      </c>
      <c r="V870" t="b">
        <v>0</v>
      </c>
      <c r="W870" t="b">
        <v>0</v>
      </c>
      <c r="X870">
        <v>0.6</v>
      </c>
      <c r="Y870">
        <v>9.3000000000000007</v>
      </c>
      <c r="Z870">
        <v>2</v>
      </c>
      <c r="AA870">
        <v>8.9</v>
      </c>
      <c r="AB870" s="3">
        <v>26</v>
      </c>
      <c r="AC870" s="3"/>
      <c r="AD870">
        <v>4</v>
      </c>
      <c r="AE870" t="s">
        <v>46</v>
      </c>
      <c r="AF870" s="4"/>
    </row>
    <row r="871" spans="1:32" x14ac:dyDescent="0.3">
      <c r="A871" t="s">
        <v>962</v>
      </c>
      <c r="B871">
        <v>17</v>
      </c>
      <c r="C871" t="str">
        <f t="shared" si="13"/>
        <v>Teenager</v>
      </c>
      <c r="D871" t="s">
        <v>28</v>
      </c>
      <c r="E871">
        <v>5.8</v>
      </c>
      <c r="G871" t="s">
        <v>29</v>
      </c>
      <c r="H871" t="s">
        <v>73</v>
      </c>
      <c r="I871" t="s">
        <v>50</v>
      </c>
      <c r="J871">
        <v>6.4</v>
      </c>
      <c r="L871" t="s">
        <v>43</v>
      </c>
      <c r="M871" t="s">
        <v>74</v>
      </c>
      <c r="N871" t="s">
        <v>62</v>
      </c>
      <c r="O871">
        <v>1.49</v>
      </c>
      <c r="Q871" t="s">
        <v>69</v>
      </c>
      <c r="R871" t="s">
        <v>45</v>
      </c>
      <c r="S871" t="b">
        <v>0</v>
      </c>
      <c r="T871" t="b">
        <v>0</v>
      </c>
      <c r="U871" t="b">
        <v>0</v>
      </c>
      <c r="V871" t="b">
        <v>1</v>
      </c>
      <c r="W871" t="b">
        <v>1</v>
      </c>
      <c r="X871">
        <v>3.1</v>
      </c>
      <c r="Y871">
        <v>6.8</v>
      </c>
      <c r="Z871">
        <v>4</v>
      </c>
      <c r="AA871">
        <v>5.8</v>
      </c>
      <c r="AB871" s="3">
        <v>10.29</v>
      </c>
      <c r="AC871" s="3"/>
      <c r="AD871">
        <v>6</v>
      </c>
      <c r="AE871" t="s">
        <v>46</v>
      </c>
      <c r="AF871" s="4"/>
    </row>
    <row r="872" spans="1:32" x14ac:dyDescent="0.3">
      <c r="A872" t="s">
        <v>963</v>
      </c>
      <c r="B872">
        <v>13</v>
      </c>
      <c r="C872" t="str">
        <f t="shared" si="13"/>
        <v>Teenager</v>
      </c>
      <c r="D872" t="s">
        <v>28</v>
      </c>
      <c r="E872">
        <v>2.9</v>
      </c>
      <c r="G872" t="s">
        <v>39</v>
      </c>
      <c r="H872" t="s">
        <v>120</v>
      </c>
      <c r="I872" t="s">
        <v>50</v>
      </c>
      <c r="J872">
        <v>8.5</v>
      </c>
      <c r="L872" t="s">
        <v>41</v>
      </c>
      <c r="M872" t="s">
        <v>33</v>
      </c>
      <c r="N872" t="s">
        <v>43</v>
      </c>
      <c r="O872">
        <v>2.27</v>
      </c>
      <c r="Q872" t="s">
        <v>69</v>
      </c>
      <c r="R872" t="s">
        <v>57</v>
      </c>
      <c r="S872" t="b">
        <v>0</v>
      </c>
      <c r="T872" t="b">
        <v>0</v>
      </c>
      <c r="U872" t="b">
        <v>0</v>
      </c>
      <c r="V872" t="b">
        <v>0</v>
      </c>
      <c r="W872" t="b">
        <v>0</v>
      </c>
      <c r="X872">
        <v>0.7</v>
      </c>
      <c r="Y872">
        <v>9.1</v>
      </c>
      <c r="Z872">
        <v>2</v>
      </c>
      <c r="AA872">
        <v>9.8000000000000007</v>
      </c>
      <c r="AB872" s="3">
        <v>36</v>
      </c>
      <c r="AC872" s="3"/>
      <c r="AD872">
        <v>3</v>
      </c>
      <c r="AE872" t="s">
        <v>46</v>
      </c>
      <c r="AF872" s="4"/>
    </row>
    <row r="873" spans="1:32" x14ac:dyDescent="0.3">
      <c r="A873" t="s">
        <v>964</v>
      </c>
      <c r="B873">
        <v>14</v>
      </c>
      <c r="C873" t="str">
        <f t="shared" si="13"/>
        <v>Teenager</v>
      </c>
      <c r="D873" t="s">
        <v>28</v>
      </c>
      <c r="E873">
        <v>4.9000000000000004</v>
      </c>
      <c r="G873" t="s">
        <v>60</v>
      </c>
      <c r="H873" t="s">
        <v>96</v>
      </c>
      <c r="I873" t="s">
        <v>86</v>
      </c>
      <c r="J873">
        <v>6.1</v>
      </c>
      <c r="L873" t="s">
        <v>51</v>
      </c>
      <c r="M873" t="s">
        <v>45</v>
      </c>
      <c r="N873" t="s">
        <v>84</v>
      </c>
      <c r="O873">
        <v>1.78</v>
      </c>
      <c r="Q873" t="s">
        <v>66</v>
      </c>
      <c r="R873" t="s">
        <v>33</v>
      </c>
      <c r="S873" t="b">
        <v>0</v>
      </c>
      <c r="T873" t="b">
        <v>0</v>
      </c>
      <c r="U873" t="b">
        <v>0</v>
      </c>
      <c r="V873" t="b">
        <v>1</v>
      </c>
      <c r="W873" t="b">
        <v>0</v>
      </c>
      <c r="X873">
        <v>0.4</v>
      </c>
      <c r="Y873">
        <v>7.1</v>
      </c>
      <c r="Z873">
        <v>3</v>
      </c>
      <c r="AA873">
        <v>7.9</v>
      </c>
      <c r="AB873" s="3">
        <v>128.35</v>
      </c>
      <c r="AC873" s="3"/>
      <c r="AD873">
        <v>4</v>
      </c>
      <c r="AE873" t="s">
        <v>46</v>
      </c>
      <c r="AF873" s="4"/>
    </row>
    <row r="874" spans="1:32" x14ac:dyDescent="0.3">
      <c r="A874" t="s">
        <v>965</v>
      </c>
      <c r="B874">
        <v>17</v>
      </c>
      <c r="C874" t="str">
        <f t="shared" si="13"/>
        <v>Teenager</v>
      </c>
      <c r="D874" t="s">
        <v>28</v>
      </c>
      <c r="E874">
        <v>6.7</v>
      </c>
      <c r="G874" t="s">
        <v>60</v>
      </c>
      <c r="H874" t="s">
        <v>102</v>
      </c>
      <c r="I874" t="s">
        <v>31</v>
      </c>
      <c r="J874">
        <v>3.4</v>
      </c>
      <c r="L874" t="s">
        <v>43</v>
      </c>
      <c r="M874" t="s">
        <v>42</v>
      </c>
      <c r="N874" t="s">
        <v>34</v>
      </c>
      <c r="O874">
        <v>2.99</v>
      </c>
      <c r="Q874" t="s">
        <v>56</v>
      </c>
      <c r="R874" t="s">
        <v>36</v>
      </c>
      <c r="S874" t="b">
        <v>1</v>
      </c>
      <c r="T874" t="b">
        <v>0</v>
      </c>
      <c r="U874" t="b">
        <v>0</v>
      </c>
      <c r="V874" t="b">
        <v>1</v>
      </c>
      <c r="W874" t="b">
        <v>0</v>
      </c>
      <c r="X874">
        <v>2.7</v>
      </c>
      <c r="Y874">
        <v>7.5</v>
      </c>
      <c r="Z874">
        <v>4</v>
      </c>
      <c r="AA874">
        <v>6.2</v>
      </c>
      <c r="AB874" s="3">
        <v>10.6</v>
      </c>
      <c r="AC874" s="3"/>
      <c r="AD874">
        <v>3</v>
      </c>
      <c r="AE874" t="s">
        <v>64</v>
      </c>
      <c r="AF874" s="4"/>
    </row>
    <row r="875" spans="1:32" x14ac:dyDescent="0.3">
      <c r="A875" t="s">
        <v>966</v>
      </c>
      <c r="B875">
        <v>25</v>
      </c>
      <c r="C875" t="str">
        <f t="shared" si="13"/>
        <v>Young Adults</v>
      </c>
      <c r="D875" t="s">
        <v>53</v>
      </c>
      <c r="E875">
        <v>9.5</v>
      </c>
      <c r="G875" t="s">
        <v>60</v>
      </c>
      <c r="H875" t="s">
        <v>200</v>
      </c>
      <c r="I875" t="s">
        <v>31</v>
      </c>
      <c r="J875">
        <v>4.7</v>
      </c>
      <c r="L875" t="s">
        <v>51</v>
      </c>
      <c r="M875" t="s">
        <v>33</v>
      </c>
      <c r="N875" t="s">
        <v>34</v>
      </c>
      <c r="P875">
        <v>1</v>
      </c>
      <c r="Q875" t="s">
        <v>63</v>
      </c>
      <c r="R875" t="s">
        <v>57</v>
      </c>
      <c r="S875" t="b">
        <v>1</v>
      </c>
      <c r="T875" t="b">
        <v>0</v>
      </c>
      <c r="U875" t="b">
        <v>1</v>
      </c>
      <c r="V875" t="b">
        <v>0</v>
      </c>
      <c r="W875" t="b">
        <v>0</v>
      </c>
      <c r="X875">
        <v>1.1000000000000001</v>
      </c>
      <c r="Y875">
        <v>5.5</v>
      </c>
      <c r="Z875">
        <v>7</v>
      </c>
      <c r="AA875">
        <v>1.9</v>
      </c>
      <c r="AB875" s="3">
        <v>204.58</v>
      </c>
      <c r="AC875" s="3"/>
      <c r="AD875">
        <v>13</v>
      </c>
      <c r="AE875" t="s">
        <v>37</v>
      </c>
      <c r="AF875" s="4"/>
    </row>
    <row r="876" spans="1:32" x14ac:dyDescent="0.3">
      <c r="A876" t="s">
        <v>967</v>
      </c>
      <c r="B876">
        <v>15</v>
      </c>
      <c r="C876" t="str">
        <f t="shared" si="13"/>
        <v>Teenager</v>
      </c>
      <c r="D876" t="s">
        <v>28</v>
      </c>
      <c r="E876">
        <v>5.7</v>
      </c>
      <c r="G876" t="s">
        <v>76</v>
      </c>
      <c r="H876" t="s">
        <v>110</v>
      </c>
      <c r="I876" t="s">
        <v>31</v>
      </c>
      <c r="J876">
        <v>6</v>
      </c>
      <c r="L876" t="s">
        <v>51</v>
      </c>
      <c r="M876" t="s">
        <v>45</v>
      </c>
      <c r="N876" t="s">
        <v>34</v>
      </c>
      <c r="O876">
        <v>2.59</v>
      </c>
      <c r="Q876" t="s">
        <v>56</v>
      </c>
      <c r="R876" t="s">
        <v>36</v>
      </c>
      <c r="S876" t="b">
        <v>0</v>
      </c>
      <c r="T876" t="b">
        <v>0</v>
      </c>
      <c r="U876" t="b">
        <v>0</v>
      </c>
      <c r="V876" t="b">
        <v>0</v>
      </c>
      <c r="W876" t="b">
        <v>1</v>
      </c>
      <c r="X876">
        <v>1.6</v>
      </c>
      <c r="Y876">
        <v>6.5</v>
      </c>
      <c r="Z876">
        <v>4</v>
      </c>
      <c r="AA876">
        <v>7.1</v>
      </c>
      <c r="AB876" s="3">
        <v>30.98</v>
      </c>
      <c r="AC876" s="3"/>
      <c r="AD876">
        <v>2</v>
      </c>
      <c r="AE876" t="s">
        <v>46</v>
      </c>
      <c r="AF876" s="4"/>
    </row>
    <row r="877" spans="1:32" x14ac:dyDescent="0.3">
      <c r="A877" t="s">
        <v>968</v>
      </c>
      <c r="B877">
        <v>20</v>
      </c>
      <c r="C877" t="str">
        <f t="shared" si="13"/>
        <v>Young Adults</v>
      </c>
      <c r="D877" t="s">
        <v>28</v>
      </c>
      <c r="E877">
        <v>7.1</v>
      </c>
      <c r="G877" t="s">
        <v>48</v>
      </c>
      <c r="H877" t="s">
        <v>214</v>
      </c>
      <c r="I877" t="s">
        <v>86</v>
      </c>
      <c r="J877">
        <v>4.2</v>
      </c>
      <c r="L877" t="s">
        <v>41</v>
      </c>
      <c r="M877" t="s">
        <v>74</v>
      </c>
      <c r="N877" t="s">
        <v>129</v>
      </c>
      <c r="O877">
        <v>2.85</v>
      </c>
      <c r="P877">
        <v>7</v>
      </c>
      <c r="Q877" t="s">
        <v>105</v>
      </c>
      <c r="R877" t="s">
        <v>57</v>
      </c>
      <c r="S877" t="b">
        <v>1</v>
      </c>
      <c r="T877" t="b">
        <v>1</v>
      </c>
      <c r="U877" t="b">
        <v>0</v>
      </c>
      <c r="V877" t="b">
        <v>0</v>
      </c>
      <c r="W877" t="b">
        <v>1</v>
      </c>
      <c r="X877">
        <v>1.1000000000000001</v>
      </c>
      <c r="Y877">
        <v>6.6</v>
      </c>
      <c r="Z877">
        <v>4</v>
      </c>
      <c r="AA877">
        <v>6.6</v>
      </c>
      <c r="AB877" s="3">
        <v>78.44</v>
      </c>
      <c r="AC877" s="3"/>
      <c r="AD877">
        <v>2</v>
      </c>
      <c r="AE877" t="s">
        <v>58</v>
      </c>
      <c r="AF877" s="4"/>
    </row>
    <row r="878" spans="1:32" x14ac:dyDescent="0.3">
      <c r="A878" t="s">
        <v>969</v>
      </c>
      <c r="B878">
        <v>27</v>
      </c>
      <c r="C878" t="str">
        <f t="shared" si="13"/>
        <v>Young Adults</v>
      </c>
      <c r="D878" t="s">
        <v>53</v>
      </c>
      <c r="E878">
        <v>7.5</v>
      </c>
      <c r="G878" t="s">
        <v>29</v>
      </c>
      <c r="H878" t="s">
        <v>118</v>
      </c>
      <c r="I878" t="s">
        <v>50</v>
      </c>
      <c r="J878">
        <v>3.4</v>
      </c>
      <c r="L878" t="s">
        <v>51</v>
      </c>
      <c r="M878" t="s">
        <v>45</v>
      </c>
      <c r="N878" t="s">
        <v>62</v>
      </c>
      <c r="P878">
        <v>3</v>
      </c>
      <c r="Q878" t="s">
        <v>44</v>
      </c>
      <c r="R878" t="s">
        <v>33</v>
      </c>
      <c r="S878" t="b">
        <v>0</v>
      </c>
      <c r="T878" t="b">
        <v>1</v>
      </c>
      <c r="U878" t="b">
        <v>0</v>
      </c>
      <c r="V878" t="b">
        <v>1</v>
      </c>
      <c r="W878" t="b">
        <v>1</v>
      </c>
      <c r="X878">
        <v>0.2</v>
      </c>
      <c r="Y878">
        <v>6.4</v>
      </c>
      <c r="Z878">
        <v>5</v>
      </c>
      <c r="AA878">
        <v>4.4000000000000004</v>
      </c>
      <c r="AB878" s="3">
        <v>143.88999999999999</v>
      </c>
      <c r="AC878" s="3"/>
      <c r="AD878">
        <v>12</v>
      </c>
      <c r="AE878" t="s">
        <v>64</v>
      </c>
      <c r="AF878" s="4"/>
    </row>
    <row r="879" spans="1:32" x14ac:dyDescent="0.3">
      <c r="A879" t="s">
        <v>970</v>
      </c>
      <c r="B879">
        <v>22</v>
      </c>
      <c r="C879" t="str">
        <f t="shared" si="13"/>
        <v>Young Adults</v>
      </c>
      <c r="D879" t="s">
        <v>53</v>
      </c>
      <c r="E879">
        <v>4.9000000000000004</v>
      </c>
      <c r="G879" t="s">
        <v>54</v>
      </c>
      <c r="H879" t="s">
        <v>89</v>
      </c>
      <c r="I879" t="s">
        <v>50</v>
      </c>
      <c r="J879">
        <v>6.9</v>
      </c>
      <c r="L879" t="s">
        <v>41</v>
      </c>
      <c r="M879" t="s">
        <v>42</v>
      </c>
      <c r="N879" t="s">
        <v>62</v>
      </c>
      <c r="O879">
        <v>1.42</v>
      </c>
      <c r="P879">
        <v>3</v>
      </c>
      <c r="Q879" t="s">
        <v>66</v>
      </c>
      <c r="R879" t="s">
        <v>33</v>
      </c>
      <c r="S879" t="b">
        <v>0</v>
      </c>
      <c r="T879" t="b">
        <v>0</v>
      </c>
      <c r="U879" t="b">
        <v>0</v>
      </c>
      <c r="V879" t="b">
        <v>1</v>
      </c>
      <c r="W879" t="b">
        <v>0</v>
      </c>
      <c r="X879">
        <v>1</v>
      </c>
      <c r="Y879">
        <v>9</v>
      </c>
      <c r="Z879">
        <v>2</v>
      </c>
      <c r="AA879">
        <v>11.6</v>
      </c>
      <c r="AB879" s="3">
        <v>85.49</v>
      </c>
      <c r="AC879" s="3"/>
      <c r="AD879">
        <v>1</v>
      </c>
      <c r="AE879" t="s">
        <v>46</v>
      </c>
      <c r="AF879" s="4"/>
    </row>
    <row r="880" spans="1:32" x14ac:dyDescent="0.3">
      <c r="A880" t="s">
        <v>971</v>
      </c>
      <c r="B880">
        <v>20</v>
      </c>
      <c r="C880" t="str">
        <f t="shared" si="13"/>
        <v>Young Adults</v>
      </c>
      <c r="D880" t="s">
        <v>53</v>
      </c>
      <c r="E880">
        <v>5</v>
      </c>
      <c r="G880" t="s">
        <v>60</v>
      </c>
      <c r="H880" t="s">
        <v>200</v>
      </c>
      <c r="I880" t="s">
        <v>31</v>
      </c>
      <c r="J880">
        <v>5.9</v>
      </c>
      <c r="L880" t="s">
        <v>51</v>
      </c>
      <c r="M880" t="s">
        <v>36</v>
      </c>
      <c r="N880" t="s">
        <v>62</v>
      </c>
      <c r="O880">
        <v>1.85</v>
      </c>
      <c r="P880">
        <v>1</v>
      </c>
      <c r="Q880" t="s">
        <v>35</v>
      </c>
      <c r="R880" t="s">
        <v>57</v>
      </c>
      <c r="S880" t="b">
        <v>0</v>
      </c>
      <c r="T880" t="b">
        <v>0</v>
      </c>
      <c r="U880" t="b">
        <v>0</v>
      </c>
      <c r="V880" t="b">
        <v>1</v>
      </c>
      <c r="W880" t="b">
        <v>0</v>
      </c>
      <c r="X880">
        <v>0.7</v>
      </c>
      <c r="Y880">
        <v>8.1999999999999993</v>
      </c>
      <c r="Z880">
        <v>3</v>
      </c>
      <c r="AA880">
        <v>9.3000000000000007</v>
      </c>
      <c r="AB880" s="3">
        <v>48.66</v>
      </c>
      <c r="AC880" s="3"/>
      <c r="AD880">
        <v>6</v>
      </c>
      <c r="AE880" t="s">
        <v>46</v>
      </c>
      <c r="AF880" s="4"/>
    </row>
    <row r="881" spans="1:32" x14ac:dyDescent="0.3">
      <c r="A881" t="s">
        <v>972</v>
      </c>
      <c r="B881">
        <v>18</v>
      </c>
      <c r="C881" t="str">
        <f t="shared" si="13"/>
        <v>Teenager</v>
      </c>
      <c r="D881" t="s">
        <v>53</v>
      </c>
      <c r="E881">
        <v>2</v>
      </c>
      <c r="G881" t="s">
        <v>29</v>
      </c>
      <c r="H881" t="s">
        <v>104</v>
      </c>
      <c r="I881" t="s">
        <v>31</v>
      </c>
      <c r="J881">
        <v>8.5</v>
      </c>
      <c r="L881" t="s">
        <v>41</v>
      </c>
      <c r="M881" t="s">
        <v>33</v>
      </c>
      <c r="N881" t="s">
        <v>43</v>
      </c>
      <c r="O881">
        <v>3.34</v>
      </c>
      <c r="Q881" t="s">
        <v>69</v>
      </c>
      <c r="R881" t="s">
        <v>45</v>
      </c>
      <c r="S881" t="b">
        <v>0</v>
      </c>
      <c r="T881" t="b">
        <v>0</v>
      </c>
      <c r="U881" t="b">
        <v>0</v>
      </c>
      <c r="V881" t="b">
        <v>0</v>
      </c>
      <c r="W881" t="b">
        <v>0</v>
      </c>
      <c r="X881">
        <v>0.6</v>
      </c>
      <c r="Y881">
        <v>8.1999999999999993</v>
      </c>
      <c r="Z881">
        <v>1</v>
      </c>
      <c r="AA881">
        <v>13</v>
      </c>
      <c r="AB881" s="3">
        <v>14.51</v>
      </c>
      <c r="AC881" s="3"/>
      <c r="AD881">
        <v>5</v>
      </c>
      <c r="AE881" t="s">
        <v>46</v>
      </c>
      <c r="AF881" s="4"/>
    </row>
    <row r="882" spans="1:32" x14ac:dyDescent="0.3">
      <c r="A882" t="s">
        <v>973</v>
      </c>
      <c r="B882">
        <v>17</v>
      </c>
      <c r="C882" t="str">
        <f t="shared" si="13"/>
        <v>Teenager</v>
      </c>
      <c r="D882" t="s">
        <v>28</v>
      </c>
      <c r="E882">
        <v>5.8</v>
      </c>
      <c r="G882" t="s">
        <v>76</v>
      </c>
      <c r="H882" t="s">
        <v>110</v>
      </c>
      <c r="I882" t="s">
        <v>86</v>
      </c>
      <c r="J882">
        <v>5.8</v>
      </c>
      <c r="L882" t="s">
        <v>41</v>
      </c>
      <c r="M882" t="s">
        <v>42</v>
      </c>
      <c r="N882" t="s">
        <v>62</v>
      </c>
      <c r="O882">
        <v>2.9</v>
      </c>
      <c r="Q882" t="s">
        <v>80</v>
      </c>
      <c r="R882" t="s">
        <v>57</v>
      </c>
      <c r="S882" t="b">
        <v>0</v>
      </c>
      <c r="T882" t="b">
        <v>1</v>
      </c>
      <c r="U882" t="b">
        <v>0</v>
      </c>
      <c r="V882" t="b">
        <v>1</v>
      </c>
      <c r="W882" t="b">
        <v>1</v>
      </c>
      <c r="X882">
        <v>0.7</v>
      </c>
      <c r="Y882">
        <v>7.5</v>
      </c>
      <c r="Z882">
        <v>5</v>
      </c>
      <c r="AA882">
        <v>8</v>
      </c>
      <c r="AB882" s="3">
        <v>40.86</v>
      </c>
      <c r="AC882" s="3"/>
      <c r="AD882">
        <v>7</v>
      </c>
      <c r="AE882" t="s">
        <v>64</v>
      </c>
      <c r="AF882" s="4"/>
    </row>
    <row r="883" spans="1:32" x14ac:dyDescent="0.3">
      <c r="A883" t="s">
        <v>974</v>
      </c>
      <c r="B883">
        <v>19</v>
      </c>
      <c r="C883" t="str">
        <f t="shared" si="13"/>
        <v>Teenager</v>
      </c>
      <c r="D883" t="s">
        <v>28</v>
      </c>
      <c r="E883">
        <v>4.9000000000000004</v>
      </c>
      <c r="G883" t="s">
        <v>76</v>
      </c>
      <c r="H883" t="s">
        <v>110</v>
      </c>
      <c r="I883" t="s">
        <v>31</v>
      </c>
      <c r="J883">
        <v>6.6</v>
      </c>
      <c r="L883" t="s">
        <v>41</v>
      </c>
      <c r="M883" t="s">
        <v>45</v>
      </c>
      <c r="N883" t="s">
        <v>62</v>
      </c>
      <c r="O883">
        <v>1.5</v>
      </c>
      <c r="P883">
        <v>1</v>
      </c>
      <c r="Q883" t="s">
        <v>69</v>
      </c>
      <c r="R883" t="s">
        <v>33</v>
      </c>
      <c r="S883" t="b">
        <v>0</v>
      </c>
      <c r="T883" t="b">
        <v>0</v>
      </c>
      <c r="U883" t="b">
        <v>0</v>
      </c>
      <c r="V883" t="b">
        <v>1</v>
      </c>
      <c r="W883" t="b">
        <v>0</v>
      </c>
      <c r="X883">
        <v>1.1000000000000001</v>
      </c>
      <c r="Y883">
        <v>7.2</v>
      </c>
      <c r="Z883">
        <v>5</v>
      </c>
      <c r="AA883">
        <v>8.8000000000000007</v>
      </c>
      <c r="AB883" s="3">
        <v>104.88</v>
      </c>
      <c r="AC883" s="3"/>
      <c r="AD883">
        <v>3</v>
      </c>
      <c r="AE883" t="s">
        <v>46</v>
      </c>
      <c r="AF883" s="4"/>
    </row>
    <row r="884" spans="1:32" x14ac:dyDescent="0.3">
      <c r="A884" t="s">
        <v>975</v>
      </c>
      <c r="B884">
        <v>25</v>
      </c>
      <c r="C884" t="str">
        <f t="shared" si="13"/>
        <v>Young Adults</v>
      </c>
      <c r="D884" t="s">
        <v>53</v>
      </c>
      <c r="E884">
        <v>1.9</v>
      </c>
      <c r="G884" t="s">
        <v>82</v>
      </c>
      <c r="H884" t="s">
        <v>83</v>
      </c>
      <c r="I884" t="s">
        <v>50</v>
      </c>
      <c r="J884">
        <v>8.5</v>
      </c>
      <c r="L884" t="s">
        <v>43</v>
      </c>
      <c r="M884" t="s">
        <v>74</v>
      </c>
      <c r="N884" t="s">
        <v>43</v>
      </c>
      <c r="P884">
        <v>3</v>
      </c>
      <c r="Q884" t="s">
        <v>105</v>
      </c>
      <c r="R884" t="s">
        <v>36</v>
      </c>
      <c r="S884" t="b">
        <v>0</v>
      </c>
      <c r="T884" t="b">
        <v>0</v>
      </c>
      <c r="U884" t="b">
        <v>0</v>
      </c>
      <c r="V884" t="b">
        <v>0</v>
      </c>
      <c r="W884" t="b">
        <v>0</v>
      </c>
      <c r="X884">
        <v>1.2</v>
      </c>
      <c r="Y884">
        <v>7.5</v>
      </c>
      <c r="Z884">
        <v>1</v>
      </c>
      <c r="AA884">
        <v>13.4</v>
      </c>
      <c r="AB884" s="3">
        <v>19.61</v>
      </c>
      <c r="AC884" s="3"/>
      <c r="AD884">
        <v>1</v>
      </c>
      <c r="AE884" t="s">
        <v>46</v>
      </c>
      <c r="AF884" s="4"/>
    </row>
    <row r="885" spans="1:32" x14ac:dyDescent="0.3">
      <c r="A885" t="s">
        <v>976</v>
      </c>
      <c r="B885">
        <v>25</v>
      </c>
      <c r="C885" t="str">
        <f t="shared" si="13"/>
        <v>Young Adults</v>
      </c>
      <c r="D885" t="s">
        <v>53</v>
      </c>
      <c r="E885">
        <v>4.9000000000000004</v>
      </c>
      <c r="G885" t="s">
        <v>39</v>
      </c>
      <c r="H885" t="s">
        <v>40</v>
      </c>
      <c r="I885" t="s">
        <v>71</v>
      </c>
      <c r="J885">
        <v>6.9</v>
      </c>
      <c r="L885" t="s">
        <v>51</v>
      </c>
      <c r="M885" t="s">
        <v>74</v>
      </c>
      <c r="N885" t="s">
        <v>43</v>
      </c>
      <c r="P885">
        <v>10</v>
      </c>
      <c r="Q885" t="s">
        <v>63</v>
      </c>
      <c r="R885" t="s">
        <v>33</v>
      </c>
      <c r="S885" t="b">
        <v>0</v>
      </c>
      <c r="T885" t="b">
        <v>0</v>
      </c>
      <c r="U885" t="b">
        <v>0</v>
      </c>
      <c r="V885" t="b">
        <v>0</v>
      </c>
      <c r="W885" t="b">
        <v>0</v>
      </c>
      <c r="X885">
        <v>2.1</v>
      </c>
      <c r="Y885">
        <v>6.3</v>
      </c>
      <c r="Z885">
        <v>5</v>
      </c>
      <c r="AA885">
        <v>7.5</v>
      </c>
      <c r="AB885" s="3">
        <v>109.21</v>
      </c>
      <c r="AC885" s="3"/>
      <c r="AD885">
        <v>1</v>
      </c>
      <c r="AE885" t="s">
        <v>46</v>
      </c>
      <c r="AF885" s="4"/>
    </row>
    <row r="886" spans="1:32" x14ac:dyDescent="0.3">
      <c r="A886" t="s">
        <v>977</v>
      </c>
      <c r="B886">
        <v>21</v>
      </c>
      <c r="C886" t="str">
        <f t="shared" si="13"/>
        <v>Young Adults</v>
      </c>
      <c r="D886" t="s">
        <v>28</v>
      </c>
      <c r="E886">
        <v>2.6</v>
      </c>
      <c r="G886" t="s">
        <v>76</v>
      </c>
      <c r="H886" t="s">
        <v>126</v>
      </c>
      <c r="I886" t="s">
        <v>50</v>
      </c>
      <c r="J886">
        <v>7.2</v>
      </c>
      <c r="L886" t="s">
        <v>41</v>
      </c>
      <c r="M886" t="s">
        <v>45</v>
      </c>
      <c r="N886" t="s">
        <v>43</v>
      </c>
      <c r="O886">
        <v>2.2200000000000002</v>
      </c>
      <c r="P886">
        <v>4</v>
      </c>
      <c r="Q886" t="s">
        <v>66</v>
      </c>
      <c r="R886" t="s">
        <v>42</v>
      </c>
      <c r="S886" t="b">
        <v>0</v>
      </c>
      <c r="T886" t="b">
        <v>0</v>
      </c>
      <c r="U886" t="b">
        <v>0</v>
      </c>
      <c r="V886" t="b">
        <v>0</v>
      </c>
      <c r="W886" t="b">
        <v>0</v>
      </c>
      <c r="X886">
        <v>1.4</v>
      </c>
      <c r="Y886">
        <v>7.8</v>
      </c>
      <c r="Z886">
        <v>1</v>
      </c>
      <c r="AA886">
        <v>13.6</v>
      </c>
      <c r="AB886" s="3">
        <v>35.729999999999997</v>
      </c>
      <c r="AC886" s="3"/>
      <c r="AD886">
        <v>8</v>
      </c>
      <c r="AE886" t="s">
        <v>46</v>
      </c>
      <c r="AF886" s="4"/>
    </row>
    <row r="887" spans="1:32" x14ac:dyDescent="0.3">
      <c r="A887" t="s">
        <v>978</v>
      </c>
      <c r="B887">
        <v>17</v>
      </c>
      <c r="C887" t="str">
        <f t="shared" si="13"/>
        <v>Teenager</v>
      </c>
      <c r="D887" t="s">
        <v>28</v>
      </c>
      <c r="E887">
        <v>1</v>
      </c>
      <c r="G887" t="s">
        <v>82</v>
      </c>
      <c r="H887" t="s">
        <v>167</v>
      </c>
      <c r="I887" t="s">
        <v>31</v>
      </c>
      <c r="J887">
        <v>8.1999999999999993</v>
      </c>
      <c r="L887" t="s">
        <v>43</v>
      </c>
      <c r="M887" t="s">
        <v>33</v>
      </c>
      <c r="N887" t="s">
        <v>51</v>
      </c>
      <c r="O887">
        <v>3.18</v>
      </c>
      <c r="Q887" t="s">
        <v>121</v>
      </c>
      <c r="R887" t="s">
        <v>42</v>
      </c>
      <c r="S887" t="b">
        <v>0</v>
      </c>
      <c r="T887" t="b">
        <v>0</v>
      </c>
      <c r="U887" t="b">
        <v>0</v>
      </c>
      <c r="V887" t="b">
        <v>0</v>
      </c>
      <c r="W887" t="b">
        <v>0</v>
      </c>
      <c r="X887">
        <v>0.4</v>
      </c>
      <c r="Y887">
        <v>11.3</v>
      </c>
      <c r="Z887">
        <v>1</v>
      </c>
      <c r="AA887">
        <v>15.7</v>
      </c>
      <c r="AB887" s="3">
        <v>42.85</v>
      </c>
      <c r="AC887" s="3"/>
      <c r="AD887">
        <v>6</v>
      </c>
      <c r="AE887" t="s">
        <v>46</v>
      </c>
      <c r="AF887" s="4"/>
    </row>
    <row r="888" spans="1:32" x14ac:dyDescent="0.3">
      <c r="A888" t="s">
        <v>979</v>
      </c>
      <c r="B888">
        <v>19</v>
      </c>
      <c r="C888" t="str">
        <f t="shared" si="13"/>
        <v>Teenager</v>
      </c>
      <c r="D888" t="s">
        <v>53</v>
      </c>
      <c r="E888">
        <v>3.9</v>
      </c>
      <c r="G888" t="s">
        <v>29</v>
      </c>
      <c r="H888" t="s">
        <v>73</v>
      </c>
      <c r="I888" t="s">
        <v>31</v>
      </c>
      <c r="J888">
        <v>5.9</v>
      </c>
      <c r="L888" t="s">
        <v>51</v>
      </c>
      <c r="M888" t="s">
        <v>74</v>
      </c>
      <c r="N888" t="s">
        <v>34</v>
      </c>
      <c r="O888">
        <v>3.15</v>
      </c>
      <c r="P888">
        <v>7</v>
      </c>
      <c r="Q888" t="s">
        <v>105</v>
      </c>
      <c r="R888" t="s">
        <v>57</v>
      </c>
      <c r="S888" t="b">
        <v>0</v>
      </c>
      <c r="T888" t="b">
        <v>0</v>
      </c>
      <c r="U888" t="b">
        <v>0</v>
      </c>
      <c r="V888" t="b">
        <v>0</v>
      </c>
      <c r="W888" t="b">
        <v>0</v>
      </c>
      <c r="X888">
        <v>0.1</v>
      </c>
      <c r="Y888">
        <v>6.3</v>
      </c>
      <c r="Z888">
        <v>1</v>
      </c>
      <c r="AA888">
        <v>9.4</v>
      </c>
      <c r="AB888" s="3">
        <v>29.14</v>
      </c>
      <c r="AC888" s="3"/>
      <c r="AD888">
        <v>1</v>
      </c>
      <c r="AE888" t="s">
        <v>46</v>
      </c>
      <c r="AF888" s="4"/>
    </row>
    <row r="889" spans="1:32" x14ac:dyDescent="0.3">
      <c r="A889" t="s">
        <v>980</v>
      </c>
      <c r="B889">
        <v>19</v>
      </c>
      <c r="C889" t="str">
        <f t="shared" si="13"/>
        <v>Teenager</v>
      </c>
      <c r="D889" t="s">
        <v>28</v>
      </c>
      <c r="E889">
        <v>6.4</v>
      </c>
      <c r="G889" t="s">
        <v>76</v>
      </c>
      <c r="H889" t="s">
        <v>110</v>
      </c>
      <c r="I889" t="s">
        <v>71</v>
      </c>
      <c r="J889">
        <v>5.6</v>
      </c>
      <c r="L889" t="s">
        <v>41</v>
      </c>
      <c r="M889" t="s">
        <v>36</v>
      </c>
      <c r="N889" t="s">
        <v>62</v>
      </c>
      <c r="O889">
        <v>1.88</v>
      </c>
      <c r="P889">
        <v>10</v>
      </c>
      <c r="Q889" t="s">
        <v>105</v>
      </c>
      <c r="R889" t="s">
        <v>45</v>
      </c>
      <c r="S889" t="b">
        <v>0</v>
      </c>
      <c r="T889" t="b">
        <v>1</v>
      </c>
      <c r="U889" t="b">
        <v>0</v>
      </c>
      <c r="V889" t="b">
        <v>1</v>
      </c>
      <c r="W889" t="b">
        <v>1</v>
      </c>
      <c r="X889">
        <v>1.3</v>
      </c>
      <c r="Y889">
        <v>6</v>
      </c>
      <c r="Z889">
        <v>4</v>
      </c>
      <c r="AA889">
        <v>8</v>
      </c>
      <c r="AB889" s="3">
        <v>126.52</v>
      </c>
      <c r="AC889" s="3"/>
      <c r="AD889">
        <v>7</v>
      </c>
      <c r="AE889" t="s">
        <v>64</v>
      </c>
      <c r="AF889" s="4"/>
    </row>
    <row r="890" spans="1:32" x14ac:dyDescent="0.3">
      <c r="A890" t="s">
        <v>981</v>
      </c>
      <c r="B890">
        <v>15</v>
      </c>
      <c r="C890" t="str">
        <f t="shared" si="13"/>
        <v>Teenager</v>
      </c>
      <c r="D890" t="s">
        <v>53</v>
      </c>
      <c r="E890">
        <v>9.5</v>
      </c>
      <c r="G890" t="s">
        <v>82</v>
      </c>
      <c r="H890" t="s">
        <v>167</v>
      </c>
      <c r="I890" t="s">
        <v>71</v>
      </c>
      <c r="J890">
        <v>4.4000000000000004</v>
      </c>
      <c r="L890" t="s">
        <v>51</v>
      </c>
      <c r="M890" t="s">
        <v>42</v>
      </c>
      <c r="N890" t="s">
        <v>43</v>
      </c>
      <c r="O890">
        <v>1.61</v>
      </c>
      <c r="Q890" t="s">
        <v>44</v>
      </c>
      <c r="R890" t="s">
        <v>36</v>
      </c>
      <c r="S890" t="b">
        <v>0</v>
      </c>
      <c r="T890" t="b">
        <v>0</v>
      </c>
      <c r="U890" t="b">
        <v>0</v>
      </c>
      <c r="V890" t="b">
        <v>1</v>
      </c>
      <c r="W890" t="b">
        <v>1</v>
      </c>
      <c r="X890">
        <v>2.9</v>
      </c>
      <c r="Y890">
        <v>4.7</v>
      </c>
      <c r="Z890">
        <v>6</v>
      </c>
      <c r="AA890">
        <v>2.9</v>
      </c>
      <c r="AB890" s="3">
        <v>133.69</v>
      </c>
      <c r="AC890" s="3"/>
      <c r="AD890">
        <v>5</v>
      </c>
      <c r="AE890" t="s">
        <v>64</v>
      </c>
      <c r="AF890" s="4"/>
    </row>
    <row r="891" spans="1:32" x14ac:dyDescent="0.3">
      <c r="A891" t="s">
        <v>982</v>
      </c>
      <c r="B891">
        <v>20</v>
      </c>
      <c r="C891" t="str">
        <f t="shared" si="13"/>
        <v>Young Adults</v>
      </c>
      <c r="D891" t="s">
        <v>152</v>
      </c>
      <c r="E891">
        <v>7.4</v>
      </c>
      <c r="G891" t="s">
        <v>82</v>
      </c>
      <c r="H891" t="s">
        <v>167</v>
      </c>
      <c r="I891" t="s">
        <v>71</v>
      </c>
      <c r="J891">
        <v>5.6</v>
      </c>
      <c r="L891" t="s">
        <v>78</v>
      </c>
      <c r="M891" t="s">
        <v>36</v>
      </c>
      <c r="N891" t="s">
        <v>34</v>
      </c>
      <c r="O891">
        <v>2.5499999999999998</v>
      </c>
      <c r="P891">
        <v>1</v>
      </c>
      <c r="Q891" t="s">
        <v>63</v>
      </c>
      <c r="R891" t="s">
        <v>33</v>
      </c>
      <c r="S891" t="b">
        <v>1</v>
      </c>
      <c r="T891" t="b">
        <v>1</v>
      </c>
      <c r="U891" t="b">
        <v>0</v>
      </c>
      <c r="V891" t="b">
        <v>1</v>
      </c>
      <c r="W891" t="b">
        <v>1</v>
      </c>
      <c r="X891">
        <v>1.1000000000000001</v>
      </c>
      <c r="Y891">
        <v>6.8</v>
      </c>
      <c r="Z891">
        <v>4</v>
      </c>
      <c r="AA891">
        <v>5.2</v>
      </c>
      <c r="AB891" s="3">
        <v>101.34</v>
      </c>
      <c r="AC891" s="3"/>
      <c r="AD891">
        <v>9</v>
      </c>
      <c r="AE891" t="s">
        <v>58</v>
      </c>
      <c r="AF891" s="4"/>
    </row>
    <row r="892" spans="1:32" x14ac:dyDescent="0.3">
      <c r="A892" t="s">
        <v>983</v>
      </c>
      <c r="B892">
        <v>25</v>
      </c>
      <c r="C892" t="str">
        <f t="shared" si="13"/>
        <v>Young Adults</v>
      </c>
      <c r="D892" t="s">
        <v>53</v>
      </c>
      <c r="E892">
        <v>6.1</v>
      </c>
      <c r="G892" t="s">
        <v>60</v>
      </c>
      <c r="H892" t="s">
        <v>61</v>
      </c>
      <c r="I892" t="s">
        <v>31</v>
      </c>
      <c r="J892">
        <v>6.4</v>
      </c>
      <c r="L892" t="s">
        <v>41</v>
      </c>
      <c r="M892" t="s">
        <v>42</v>
      </c>
      <c r="N892" t="s">
        <v>84</v>
      </c>
      <c r="P892">
        <v>7</v>
      </c>
      <c r="Q892" t="s">
        <v>80</v>
      </c>
      <c r="R892" t="s">
        <v>45</v>
      </c>
      <c r="S892" t="b">
        <v>0</v>
      </c>
      <c r="T892" t="b">
        <v>0</v>
      </c>
      <c r="U892" t="b">
        <v>0</v>
      </c>
      <c r="V892" t="b">
        <v>1</v>
      </c>
      <c r="W892" t="b">
        <v>0</v>
      </c>
      <c r="X892">
        <v>3.3</v>
      </c>
      <c r="Y892">
        <v>5.6</v>
      </c>
      <c r="Z892">
        <v>5</v>
      </c>
      <c r="AA892">
        <v>8.1</v>
      </c>
      <c r="AB892" s="3">
        <v>67.489999999999995</v>
      </c>
      <c r="AC892" s="3"/>
      <c r="AD892">
        <v>4</v>
      </c>
      <c r="AE892" t="s">
        <v>46</v>
      </c>
      <c r="AF892" s="4"/>
    </row>
    <row r="893" spans="1:32" x14ac:dyDescent="0.3">
      <c r="A893" t="s">
        <v>984</v>
      </c>
      <c r="B893">
        <v>28</v>
      </c>
      <c r="C893" t="str">
        <f t="shared" si="13"/>
        <v>Young Adults</v>
      </c>
      <c r="D893" t="s">
        <v>28</v>
      </c>
      <c r="E893">
        <v>5.4</v>
      </c>
      <c r="G893" t="s">
        <v>82</v>
      </c>
      <c r="H893" t="s">
        <v>134</v>
      </c>
      <c r="I893" t="s">
        <v>86</v>
      </c>
      <c r="J893">
        <v>6.4</v>
      </c>
      <c r="L893" t="s">
        <v>51</v>
      </c>
      <c r="M893" t="s">
        <v>42</v>
      </c>
      <c r="N893" t="s">
        <v>43</v>
      </c>
      <c r="P893">
        <v>2</v>
      </c>
      <c r="Q893" t="s">
        <v>44</v>
      </c>
      <c r="R893" t="s">
        <v>36</v>
      </c>
      <c r="S893" t="b">
        <v>0</v>
      </c>
      <c r="T893" t="b">
        <v>0</v>
      </c>
      <c r="U893" t="b">
        <v>0</v>
      </c>
      <c r="V893" t="b">
        <v>0</v>
      </c>
      <c r="W893" t="b">
        <v>0</v>
      </c>
      <c r="X893">
        <v>1.2</v>
      </c>
      <c r="Y893">
        <v>8.3000000000000007</v>
      </c>
      <c r="Z893">
        <v>6</v>
      </c>
      <c r="AA893">
        <v>11.2</v>
      </c>
      <c r="AB893" s="3">
        <v>49.34</v>
      </c>
      <c r="AC893" s="3"/>
      <c r="AD893">
        <v>18</v>
      </c>
      <c r="AE893" t="s">
        <v>46</v>
      </c>
      <c r="AF893" s="4"/>
    </row>
    <row r="894" spans="1:32" x14ac:dyDescent="0.3">
      <c r="A894" t="s">
        <v>985</v>
      </c>
      <c r="B894">
        <v>17</v>
      </c>
      <c r="C894" t="str">
        <f t="shared" si="13"/>
        <v>Teenager</v>
      </c>
      <c r="D894" t="s">
        <v>28</v>
      </c>
      <c r="E894">
        <v>7.2</v>
      </c>
      <c r="G894" t="s">
        <v>82</v>
      </c>
      <c r="H894" t="s">
        <v>167</v>
      </c>
      <c r="I894" t="s">
        <v>31</v>
      </c>
      <c r="J894">
        <v>4.5999999999999996</v>
      </c>
      <c r="L894" t="s">
        <v>32</v>
      </c>
      <c r="M894" t="s">
        <v>42</v>
      </c>
      <c r="N894" t="s">
        <v>51</v>
      </c>
      <c r="O894">
        <v>1.4</v>
      </c>
      <c r="Q894" t="s">
        <v>35</v>
      </c>
      <c r="R894" t="s">
        <v>45</v>
      </c>
      <c r="S894" t="b">
        <v>1</v>
      </c>
      <c r="T894" t="b">
        <v>0</v>
      </c>
      <c r="U894" t="b">
        <v>0</v>
      </c>
      <c r="V894" t="b">
        <v>0</v>
      </c>
      <c r="W894" t="b">
        <v>0</v>
      </c>
      <c r="X894">
        <v>3.1</v>
      </c>
      <c r="Y894">
        <v>6.2</v>
      </c>
      <c r="Z894">
        <v>3</v>
      </c>
      <c r="AA894">
        <v>4.4000000000000004</v>
      </c>
      <c r="AB894" s="3">
        <v>59.25</v>
      </c>
      <c r="AC894" s="3"/>
      <c r="AD894">
        <v>4</v>
      </c>
      <c r="AE894" t="s">
        <v>64</v>
      </c>
      <c r="AF894" s="4"/>
    </row>
    <row r="895" spans="1:32" x14ac:dyDescent="0.3">
      <c r="A895" t="s">
        <v>986</v>
      </c>
      <c r="B895">
        <v>21</v>
      </c>
      <c r="C895" t="str">
        <f t="shared" si="13"/>
        <v>Young Adults</v>
      </c>
      <c r="D895" t="s">
        <v>28</v>
      </c>
      <c r="E895">
        <v>1.7</v>
      </c>
      <c r="G895" t="s">
        <v>76</v>
      </c>
      <c r="H895" t="s">
        <v>110</v>
      </c>
      <c r="I895" t="s">
        <v>86</v>
      </c>
      <c r="J895">
        <v>8.3000000000000007</v>
      </c>
      <c r="L895" t="s">
        <v>51</v>
      </c>
      <c r="M895" t="s">
        <v>42</v>
      </c>
      <c r="N895" t="s">
        <v>34</v>
      </c>
      <c r="O895">
        <v>1.44</v>
      </c>
      <c r="P895">
        <v>9</v>
      </c>
      <c r="Q895" t="s">
        <v>66</v>
      </c>
      <c r="R895" t="s">
        <v>42</v>
      </c>
      <c r="S895" t="b">
        <v>0</v>
      </c>
      <c r="T895" t="b">
        <v>0</v>
      </c>
      <c r="U895" t="b">
        <v>0</v>
      </c>
      <c r="V895" t="b">
        <v>0</v>
      </c>
      <c r="W895" t="b">
        <v>0</v>
      </c>
      <c r="X895">
        <v>0.1</v>
      </c>
      <c r="Y895">
        <v>8.8000000000000007</v>
      </c>
      <c r="Z895">
        <v>1</v>
      </c>
      <c r="AA895">
        <v>13.7</v>
      </c>
      <c r="AB895" s="3">
        <v>0.8</v>
      </c>
      <c r="AC895" s="3"/>
      <c r="AD895">
        <v>9</v>
      </c>
      <c r="AE895" t="s">
        <v>46</v>
      </c>
      <c r="AF895" s="4"/>
    </row>
    <row r="896" spans="1:32" x14ac:dyDescent="0.3">
      <c r="A896" t="s">
        <v>987</v>
      </c>
      <c r="B896">
        <v>20</v>
      </c>
      <c r="C896" t="str">
        <f t="shared" si="13"/>
        <v>Young Adults</v>
      </c>
      <c r="D896" t="s">
        <v>28</v>
      </c>
      <c r="E896">
        <v>9.5</v>
      </c>
      <c r="G896" t="s">
        <v>48</v>
      </c>
      <c r="H896" t="s">
        <v>68</v>
      </c>
      <c r="I896" t="s">
        <v>31</v>
      </c>
      <c r="J896">
        <v>5.4</v>
      </c>
      <c r="L896" t="s">
        <v>51</v>
      </c>
      <c r="M896" t="s">
        <v>74</v>
      </c>
      <c r="N896" t="s">
        <v>51</v>
      </c>
      <c r="O896">
        <v>2.79</v>
      </c>
      <c r="P896">
        <v>2</v>
      </c>
      <c r="Q896" t="s">
        <v>35</v>
      </c>
      <c r="R896" t="s">
        <v>57</v>
      </c>
      <c r="S896" t="b">
        <v>0</v>
      </c>
      <c r="T896" t="b">
        <v>1</v>
      </c>
      <c r="U896" t="b">
        <v>1</v>
      </c>
      <c r="V896" t="b">
        <v>1</v>
      </c>
      <c r="W896" t="b">
        <v>0</v>
      </c>
      <c r="X896">
        <v>2.2999999999999998</v>
      </c>
      <c r="Y896">
        <v>7.5</v>
      </c>
      <c r="Z896">
        <v>6</v>
      </c>
      <c r="AA896">
        <v>2.5</v>
      </c>
      <c r="AB896" s="3">
        <v>72.16</v>
      </c>
      <c r="AC896" s="3"/>
      <c r="AD896">
        <v>7</v>
      </c>
      <c r="AE896" t="s">
        <v>37</v>
      </c>
      <c r="AF896" s="4"/>
    </row>
    <row r="897" spans="1:32" x14ac:dyDescent="0.3">
      <c r="A897" t="s">
        <v>988</v>
      </c>
      <c r="B897">
        <v>30</v>
      </c>
      <c r="C897" t="str">
        <f t="shared" si="13"/>
        <v>Young Adults</v>
      </c>
      <c r="D897" t="s">
        <v>28</v>
      </c>
      <c r="E897">
        <v>14.7</v>
      </c>
      <c r="G897" t="s">
        <v>48</v>
      </c>
      <c r="H897" t="s">
        <v>68</v>
      </c>
      <c r="I897" t="s">
        <v>71</v>
      </c>
      <c r="J897">
        <v>4.2</v>
      </c>
      <c r="L897" t="s">
        <v>51</v>
      </c>
      <c r="M897" t="s">
        <v>33</v>
      </c>
      <c r="N897" t="s">
        <v>129</v>
      </c>
      <c r="P897">
        <v>5</v>
      </c>
      <c r="Q897" t="s">
        <v>63</v>
      </c>
      <c r="R897" t="s">
        <v>57</v>
      </c>
      <c r="S897" t="b">
        <v>0</v>
      </c>
      <c r="T897" t="b">
        <v>1</v>
      </c>
      <c r="U897" t="b">
        <v>1</v>
      </c>
      <c r="V897" t="b">
        <v>0</v>
      </c>
      <c r="W897" t="b">
        <v>1</v>
      </c>
      <c r="X897">
        <v>5</v>
      </c>
      <c r="Y897">
        <v>2.4</v>
      </c>
      <c r="Z897">
        <v>10</v>
      </c>
      <c r="AA897">
        <v>0</v>
      </c>
      <c r="AB897" s="3">
        <v>380.97</v>
      </c>
      <c r="AC897" s="3"/>
      <c r="AD897">
        <v>19</v>
      </c>
      <c r="AE897" t="s">
        <v>37</v>
      </c>
      <c r="AF897" s="4"/>
    </row>
    <row r="898" spans="1:32" x14ac:dyDescent="0.3">
      <c r="A898" t="s">
        <v>989</v>
      </c>
      <c r="B898">
        <v>22</v>
      </c>
      <c r="C898" t="str">
        <f t="shared" si="13"/>
        <v>Young Adults</v>
      </c>
      <c r="D898" t="s">
        <v>152</v>
      </c>
      <c r="E898">
        <v>5.8</v>
      </c>
      <c r="G898" t="s">
        <v>39</v>
      </c>
      <c r="H898" t="s">
        <v>120</v>
      </c>
      <c r="I898" t="s">
        <v>71</v>
      </c>
      <c r="J898">
        <v>6.5</v>
      </c>
      <c r="L898" t="s">
        <v>41</v>
      </c>
      <c r="M898" t="s">
        <v>36</v>
      </c>
      <c r="N898" t="s">
        <v>43</v>
      </c>
      <c r="O898">
        <v>1.1299999999999999</v>
      </c>
      <c r="P898">
        <v>9</v>
      </c>
      <c r="Q898" t="s">
        <v>56</v>
      </c>
      <c r="R898" t="s">
        <v>33</v>
      </c>
      <c r="S898" t="b">
        <v>0</v>
      </c>
      <c r="T898" t="b">
        <v>1</v>
      </c>
      <c r="U898" t="b">
        <v>0</v>
      </c>
      <c r="V898" t="b">
        <v>1</v>
      </c>
      <c r="W898" t="b">
        <v>0</v>
      </c>
      <c r="X898">
        <v>1.2</v>
      </c>
      <c r="Y898">
        <v>7.7</v>
      </c>
      <c r="Z898">
        <v>4</v>
      </c>
      <c r="AA898">
        <v>9.6999999999999993</v>
      </c>
      <c r="AB898" s="3">
        <v>114.03</v>
      </c>
      <c r="AC898" s="3"/>
      <c r="AD898">
        <v>3</v>
      </c>
      <c r="AE898" t="s">
        <v>64</v>
      </c>
      <c r="AF898" s="4"/>
    </row>
    <row r="899" spans="1:32" x14ac:dyDescent="0.3">
      <c r="A899" t="s">
        <v>990</v>
      </c>
      <c r="B899">
        <v>24</v>
      </c>
      <c r="C899" t="str">
        <f t="shared" ref="C899:C962" si="14">IF(B899&lt;=19,"Teenager",IF(B899&lt;=30,"Young Adults",IF(B899&gt;30,"Old Adults")))</f>
        <v>Young Adults</v>
      </c>
      <c r="D899" t="s">
        <v>28</v>
      </c>
      <c r="E899">
        <v>1.9</v>
      </c>
      <c r="G899" t="s">
        <v>82</v>
      </c>
      <c r="H899" t="s">
        <v>167</v>
      </c>
      <c r="I899" t="s">
        <v>86</v>
      </c>
      <c r="J899">
        <v>7.2</v>
      </c>
      <c r="L899" t="s">
        <v>43</v>
      </c>
      <c r="M899" t="s">
        <v>45</v>
      </c>
      <c r="N899" t="s">
        <v>43</v>
      </c>
      <c r="P899">
        <v>6</v>
      </c>
      <c r="Q899" t="s">
        <v>66</v>
      </c>
      <c r="R899" t="s">
        <v>42</v>
      </c>
      <c r="S899" t="b">
        <v>0</v>
      </c>
      <c r="T899" t="b">
        <v>0</v>
      </c>
      <c r="U899" t="b">
        <v>0</v>
      </c>
      <c r="V899" t="b">
        <v>0</v>
      </c>
      <c r="W899" t="b">
        <v>0</v>
      </c>
      <c r="X899">
        <v>0.1</v>
      </c>
      <c r="Y899">
        <v>10.9</v>
      </c>
      <c r="Z899">
        <v>2</v>
      </c>
      <c r="AA899">
        <v>13.5</v>
      </c>
      <c r="AB899" s="3">
        <v>5.62</v>
      </c>
      <c r="AC899" s="3"/>
      <c r="AD899">
        <v>12</v>
      </c>
      <c r="AE899" t="s">
        <v>46</v>
      </c>
      <c r="AF899" s="4"/>
    </row>
    <row r="900" spans="1:32" x14ac:dyDescent="0.3">
      <c r="A900" t="s">
        <v>991</v>
      </c>
      <c r="B900">
        <v>22</v>
      </c>
      <c r="C900" t="str">
        <f t="shared" si="14"/>
        <v>Young Adults</v>
      </c>
      <c r="D900" t="s">
        <v>28</v>
      </c>
      <c r="E900">
        <v>4.3</v>
      </c>
      <c r="G900" t="s">
        <v>29</v>
      </c>
      <c r="H900" t="s">
        <v>104</v>
      </c>
      <c r="I900" t="s">
        <v>50</v>
      </c>
      <c r="J900">
        <v>5.2</v>
      </c>
      <c r="L900" t="s">
        <v>43</v>
      </c>
      <c r="M900" t="s">
        <v>33</v>
      </c>
      <c r="N900" t="s">
        <v>84</v>
      </c>
      <c r="O900">
        <v>2.4700000000000002</v>
      </c>
      <c r="P900">
        <v>9</v>
      </c>
      <c r="Q900" t="s">
        <v>66</v>
      </c>
      <c r="R900" t="s">
        <v>57</v>
      </c>
      <c r="S900" t="b">
        <v>0</v>
      </c>
      <c r="T900" t="b">
        <v>0</v>
      </c>
      <c r="U900" t="b">
        <v>0</v>
      </c>
      <c r="V900" t="b">
        <v>0</v>
      </c>
      <c r="W900" t="b">
        <v>0</v>
      </c>
      <c r="X900">
        <v>1.2</v>
      </c>
      <c r="Y900">
        <v>7.9</v>
      </c>
      <c r="Z900">
        <v>1</v>
      </c>
      <c r="AA900">
        <v>12.5</v>
      </c>
      <c r="AB900" s="3">
        <v>33.26</v>
      </c>
      <c r="AC900" s="3"/>
      <c r="AD900">
        <v>5</v>
      </c>
      <c r="AE900" t="s">
        <v>46</v>
      </c>
      <c r="AF900" s="4"/>
    </row>
    <row r="901" spans="1:32" x14ac:dyDescent="0.3">
      <c r="A901" t="s">
        <v>992</v>
      </c>
      <c r="B901">
        <v>15</v>
      </c>
      <c r="C901" t="str">
        <f t="shared" si="14"/>
        <v>Teenager</v>
      </c>
      <c r="D901" t="s">
        <v>28</v>
      </c>
      <c r="E901">
        <v>6.6</v>
      </c>
      <c r="G901" t="s">
        <v>54</v>
      </c>
      <c r="H901" t="s">
        <v>89</v>
      </c>
      <c r="I901" t="s">
        <v>71</v>
      </c>
      <c r="J901">
        <v>4.0999999999999996</v>
      </c>
      <c r="L901" t="s">
        <v>51</v>
      </c>
      <c r="M901" t="s">
        <v>36</v>
      </c>
      <c r="N901" t="s">
        <v>129</v>
      </c>
      <c r="O901">
        <v>1.3</v>
      </c>
      <c r="Q901" t="s">
        <v>35</v>
      </c>
      <c r="R901" t="s">
        <v>33</v>
      </c>
      <c r="S901" t="b">
        <v>0</v>
      </c>
      <c r="T901" t="b">
        <v>1</v>
      </c>
      <c r="U901" t="b">
        <v>0</v>
      </c>
      <c r="V901" t="b">
        <v>1</v>
      </c>
      <c r="W901" t="b">
        <v>0</v>
      </c>
      <c r="X901">
        <v>3.7</v>
      </c>
      <c r="Y901">
        <v>5.9</v>
      </c>
      <c r="Z901">
        <v>4</v>
      </c>
      <c r="AA901">
        <v>7.6</v>
      </c>
      <c r="AB901" s="3">
        <v>92.99</v>
      </c>
      <c r="AC901" s="3"/>
      <c r="AD901">
        <v>5</v>
      </c>
      <c r="AE901" t="s">
        <v>64</v>
      </c>
      <c r="AF901" s="4"/>
    </row>
    <row r="902" spans="1:32" x14ac:dyDescent="0.3">
      <c r="A902" t="s">
        <v>993</v>
      </c>
      <c r="B902">
        <v>21</v>
      </c>
      <c r="C902" t="str">
        <f t="shared" si="14"/>
        <v>Young Adults</v>
      </c>
      <c r="D902" t="s">
        <v>28</v>
      </c>
      <c r="E902">
        <v>6.3</v>
      </c>
      <c r="G902" t="s">
        <v>76</v>
      </c>
      <c r="H902" t="s">
        <v>77</v>
      </c>
      <c r="I902" t="s">
        <v>31</v>
      </c>
      <c r="J902">
        <v>5.0999999999999996</v>
      </c>
      <c r="L902" t="s">
        <v>51</v>
      </c>
      <c r="M902" t="s">
        <v>74</v>
      </c>
      <c r="N902" t="s">
        <v>43</v>
      </c>
      <c r="O902">
        <v>2.0099999999999998</v>
      </c>
      <c r="P902">
        <v>6</v>
      </c>
      <c r="Q902" t="s">
        <v>44</v>
      </c>
      <c r="R902" t="s">
        <v>33</v>
      </c>
      <c r="S902" t="b">
        <v>0</v>
      </c>
      <c r="T902" t="b">
        <v>1</v>
      </c>
      <c r="U902" t="b">
        <v>0</v>
      </c>
      <c r="V902" t="b">
        <v>1</v>
      </c>
      <c r="W902" t="b">
        <v>1</v>
      </c>
      <c r="X902">
        <v>1.6</v>
      </c>
      <c r="Y902">
        <v>7</v>
      </c>
      <c r="Z902">
        <v>3</v>
      </c>
      <c r="AA902">
        <v>5.3</v>
      </c>
      <c r="AB902" s="3">
        <v>14.97</v>
      </c>
      <c r="AC902" s="3"/>
      <c r="AD902">
        <v>5</v>
      </c>
      <c r="AE902" t="s">
        <v>64</v>
      </c>
      <c r="AF902" s="4"/>
    </row>
    <row r="903" spans="1:32" x14ac:dyDescent="0.3">
      <c r="A903" t="s">
        <v>994</v>
      </c>
      <c r="B903">
        <v>17</v>
      </c>
      <c r="C903" t="str">
        <f t="shared" si="14"/>
        <v>Teenager</v>
      </c>
      <c r="D903" t="s">
        <v>28</v>
      </c>
      <c r="E903">
        <v>2.8</v>
      </c>
      <c r="G903" t="s">
        <v>29</v>
      </c>
      <c r="H903" t="s">
        <v>73</v>
      </c>
      <c r="I903" t="s">
        <v>31</v>
      </c>
      <c r="J903">
        <v>7.2</v>
      </c>
      <c r="L903" t="s">
        <v>43</v>
      </c>
      <c r="M903" t="s">
        <v>42</v>
      </c>
      <c r="N903" t="s">
        <v>43</v>
      </c>
      <c r="O903">
        <v>3.36</v>
      </c>
      <c r="Q903" t="s">
        <v>69</v>
      </c>
      <c r="R903" t="s">
        <v>33</v>
      </c>
      <c r="S903" t="b">
        <v>0</v>
      </c>
      <c r="T903" t="b">
        <v>0</v>
      </c>
      <c r="U903" t="b">
        <v>0</v>
      </c>
      <c r="V903" t="b">
        <v>0</v>
      </c>
      <c r="W903" t="b">
        <v>0</v>
      </c>
      <c r="X903">
        <v>0.6</v>
      </c>
      <c r="Y903">
        <v>10.199999999999999</v>
      </c>
      <c r="Z903">
        <v>2</v>
      </c>
      <c r="AA903">
        <v>10.5</v>
      </c>
      <c r="AB903" s="3">
        <v>49.53</v>
      </c>
      <c r="AC903" s="3"/>
      <c r="AD903">
        <v>5</v>
      </c>
      <c r="AE903" t="s">
        <v>46</v>
      </c>
      <c r="AF903" s="4"/>
    </row>
    <row r="904" spans="1:32" x14ac:dyDescent="0.3">
      <c r="A904" t="s">
        <v>995</v>
      </c>
      <c r="B904">
        <v>15</v>
      </c>
      <c r="C904" t="str">
        <f t="shared" si="14"/>
        <v>Teenager</v>
      </c>
      <c r="D904" t="s">
        <v>28</v>
      </c>
      <c r="E904">
        <v>8.1</v>
      </c>
      <c r="G904" t="s">
        <v>39</v>
      </c>
      <c r="H904" t="s">
        <v>40</v>
      </c>
      <c r="I904" t="s">
        <v>50</v>
      </c>
      <c r="J904">
        <v>4.9000000000000004</v>
      </c>
      <c r="L904" t="s">
        <v>32</v>
      </c>
      <c r="M904" t="s">
        <v>45</v>
      </c>
      <c r="N904" t="s">
        <v>62</v>
      </c>
      <c r="O904">
        <v>2.72</v>
      </c>
      <c r="Q904" t="s">
        <v>63</v>
      </c>
      <c r="R904" t="s">
        <v>57</v>
      </c>
      <c r="S904" t="b">
        <v>0</v>
      </c>
      <c r="T904" t="b">
        <v>1</v>
      </c>
      <c r="U904" t="b">
        <v>1</v>
      </c>
      <c r="V904" t="b">
        <v>1</v>
      </c>
      <c r="W904" t="b">
        <v>0</v>
      </c>
      <c r="X904">
        <v>1.2</v>
      </c>
      <c r="Y904">
        <v>6.4</v>
      </c>
      <c r="Z904">
        <v>4</v>
      </c>
      <c r="AA904">
        <v>6.6</v>
      </c>
      <c r="AB904" s="3">
        <v>60.41</v>
      </c>
      <c r="AC904" s="3"/>
      <c r="AD904">
        <v>3</v>
      </c>
      <c r="AE904" t="s">
        <v>58</v>
      </c>
      <c r="AF904" s="4"/>
    </row>
    <row r="905" spans="1:32" x14ac:dyDescent="0.3">
      <c r="A905" t="s">
        <v>996</v>
      </c>
      <c r="B905">
        <v>27</v>
      </c>
      <c r="C905" t="str">
        <f t="shared" si="14"/>
        <v>Young Adults</v>
      </c>
      <c r="D905" t="s">
        <v>28</v>
      </c>
      <c r="E905">
        <v>6.6</v>
      </c>
      <c r="G905" t="s">
        <v>29</v>
      </c>
      <c r="H905" t="s">
        <v>104</v>
      </c>
      <c r="I905" t="s">
        <v>71</v>
      </c>
      <c r="J905">
        <v>5.0999999999999996</v>
      </c>
      <c r="L905" t="s">
        <v>51</v>
      </c>
      <c r="M905" t="s">
        <v>33</v>
      </c>
      <c r="N905" t="s">
        <v>51</v>
      </c>
      <c r="P905">
        <v>6</v>
      </c>
      <c r="Q905" t="s">
        <v>35</v>
      </c>
      <c r="R905" t="s">
        <v>42</v>
      </c>
      <c r="S905" t="b">
        <v>1</v>
      </c>
      <c r="T905" t="b">
        <v>0</v>
      </c>
      <c r="U905" t="b">
        <v>0</v>
      </c>
      <c r="V905" t="b">
        <v>1</v>
      </c>
      <c r="W905" t="b">
        <v>0</v>
      </c>
      <c r="X905">
        <v>2.5</v>
      </c>
      <c r="Y905">
        <v>6.1</v>
      </c>
      <c r="Z905">
        <v>5</v>
      </c>
      <c r="AA905">
        <v>3.8</v>
      </c>
      <c r="AB905" s="3">
        <v>59.86</v>
      </c>
      <c r="AC905" s="3"/>
      <c r="AD905">
        <v>2</v>
      </c>
      <c r="AE905" t="s">
        <v>64</v>
      </c>
      <c r="AF905" s="4"/>
    </row>
    <row r="906" spans="1:32" x14ac:dyDescent="0.3">
      <c r="A906" t="s">
        <v>997</v>
      </c>
      <c r="B906">
        <v>21</v>
      </c>
      <c r="C906" t="str">
        <f t="shared" si="14"/>
        <v>Young Adults</v>
      </c>
      <c r="D906" t="s">
        <v>53</v>
      </c>
      <c r="E906">
        <v>5.8</v>
      </c>
      <c r="G906" t="s">
        <v>39</v>
      </c>
      <c r="H906" t="s">
        <v>93</v>
      </c>
      <c r="I906" t="s">
        <v>50</v>
      </c>
      <c r="J906">
        <v>6.2</v>
      </c>
      <c r="L906" t="s">
        <v>43</v>
      </c>
      <c r="M906" t="s">
        <v>42</v>
      </c>
      <c r="N906" t="s">
        <v>62</v>
      </c>
      <c r="O906">
        <v>3.39</v>
      </c>
      <c r="P906">
        <v>9</v>
      </c>
      <c r="Q906" t="s">
        <v>105</v>
      </c>
      <c r="R906" t="s">
        <v>45</v>
      </c>
      <c r="S906" t="b">
        <v>0</v>
      </c>
      <c r="T906" t="b">
        <v>1</v>
      </c>
      <c r="U906" t="b">
        <v>0</v>
      </c>
      <c r="V906" t="b">
        <v>1</v>
      </c>
      <c r="W906" t="b">
        <v>1</v>
      </c>
      <c r="X906">
        <v>4.4000000000000004</v>
      </c>
      <c r="Y906">
        <v>5.8</v>
      </c>
      <c r="Z906">
        <v>3</v>
      </c>
      <c r="AA906">
        <v>6.2</v>
      </c>
      <c r="AB906" s="3">
        <v>107.95</v>
      </c>
      <c r="AC906" s="3"/>
      <c r="AD906">
        <v>10</v>
      </c>
      <c r="AE906" t="s">
        <v>64</v>
      </c>
      <c r="AF906" s="4"/>
    </row>
    <row r="907" spans="1:32" x14ac:dyDescent="0.3">
      <c r="A907" t="s">
        <v>998</v>
      </c>
      <c r="B907">
        <v>19</v>
      </c>
      <c r="C907" t="str">
        <f t="shared" si="14"/>
        <v>Teenager</v>
      </c>
      <c r="D907" t="s">
        <v>28</v>
      </c>
      <c r="E907">
        <v>1.9</v>
      </c>
      <c r="G907" t="s">
        <v>48</v>
      </c>
      <c r="H907" t="s">
        <v>68</v>
      </c>
      <c r="I907" t="s">
        <v>50</v>
      </c>
      <c r="J907">
        <v>7.6</v>
      </c>
      <c r="L907" t="s">
        <v>43</v>
      </c>
      <c r="M907" t="s">
        <v>33</v>
      </c>
      <c r="N907" t="s">
        <v>84</v>
      </c>
      <c r="O907">
        <v>1.69</v>
      </c>
      <c r="P907">
        <v>9</v>
      </c>
      <c r="Q907" t="s">
        <v>66</v>
      </c>
      <c r="R907" t="s">
        <v>42</v>
      </c>
      <c r="S907" t="b">
        <v>0</v>
      </c>
      <c r="T907" t="b">
        <v>0</v>
      </c>
      <c r="U907" t="b">
        <v>0</v>
      </c>
      <c r="V907" t="b">
        <v>0</v>
      </c>
      <c r="W907" t="b">
        <v>0</v>
      </c>
      <c r="X907">
        <v>0.5</v>
      </c>
      <c r="Y907">
        <v>10.5</v>
      </c>
      <c r="Z907">
        <v>2</v>
      </c>
      <c r="AA907">
        <v>10.199999999999999</v>
      </c>
      <c r="AB907" s="3">
        <v>16.989999999999998</v>
      </c>
      <c r="AC907" s="3"/>
      <c r="AD907">
        <v>4</v>
      </c>
      <c r="AE907" t="s">
        <v>46</v>
      </c>
      <c r="AF907" s="4"/>
    </row>
    <row r="908" spans="1:32" x14ac:dyDescent="0.3">
      <c r="A908" t="s">
        <v>999</v>
      </c>
      <c r="B908">
        <v>24</v>
      </c>
      <c r="C908" t="str">
        <f t="shared" si="14"/>
        <v>Young Adults</v>
      </c>
      <c r="D908" t="s">
        <v>53</v>
      </c>
      <c r="E908">
        <v>4.3</v>
      </c>
      <c r="G908" t="s">
        <v>39</v>
      </c>
      <c r="H908" t="s">
        <v>40</v>
      </c>
      <c r="I908" t="s">
        <v>71</v>
      </c>
      <c r="J908">
        <v>6.9</v>
      </c>
      <c r="L908" t="s">
        <v>43</v>
      </c>
      <c r="M908" t="s">
        <v>74</v>
      </c>
      <c r="N908" t="s">
        <v>84</v>
      </c>
      <c r="P908">
        <v>6</v>
      </c>
      <c r="Q908" t="s">
        <v>35</v>
      </c>
      <c r="R908" t="s">
        <v>57</v>
      </c>
      <c r="S908" t="b">
        <v>0</v>
      </c>
      <c r="T908" t="b">
        <v>0</v>
      </c>
      <c r="U908" t="b">
        <v>0</v>
      </c>
      <c r="V908" t="b">
        <v>0</v>
      </c>
      <c r="W908" t="b">
        <v>0</v>
      </c>
      <c r="X908">
        <v>0.9</v>
      </c>
      <c r="Y908">
        <v>6.1</v>
      </c>
      <c r="Z908">
        <v>1</v>
      </c>
      <c r="AA908">
        <v>9.6999999999999993</v>
      </c>
      <c r="AB908" s="3">
        <v>33.21</v>
      </c>
      <c r="AC908" s="3"/>
      <c r="AD908">
        <v>13</v>
      </c>
      <c r="AE908" t="s">
        <v>46</v>
      </c>
      <c r="AF908" s="4"/>
    </row>
    <row r="909" spans="1:32" x14ac:dyDescent="0.3">
      <c r="A909" t="s">
        <v>1000</v>
      </c>
      <c r="B909">
        <v>20</v>
      </c>
      <c r="C909" t="str">
        <f t="shared" si="14"/>
        <v>Young Adults</v>
      </c>
      <c r="D909" t="s">
        <v>28</v>
      </c>
      <c r="E909">
        <v>5.4</v>
      </c>
      <c r="G909" t="s">
        <v>76</v>
      </c>
      <c r="H909" t="s">
        <v>126</v>
      </c>
      <c r="I909" t="s">
        <v>31</v>
      </c>
      <c r="J909">
        <v>6.9</v>
      </c>
      <c r="L909" t="s">
        <v>32</v>
      </c>
      <c r="M909" t="s">
        <v>33</v>
      </c>
      <c r="N909" t="s">
        <v>84</v>
      </c>
      <c r="O909">
        <v>2.08</v>
      </c>
      <c r="P909">
        <v>8</v>
      </c>
      <c r="Q909" t="s">
        <v>69</v>
      </c>
      <c r="R909" t="s">
        <v>33</v>
      </c>
      <c r="S909" t="b">
        <v>0</v>
      </c>
      <c r="T909" t="b">
        <v>0</v>
      </c>
      <c r="U909" t="b">
        <v>0</v>
      </c>
      <c r="V909" t="b">
        <v>1</v>
      </c>
      <c r="W909" t="b">
        <v>0</v>
      </c>
      <c r="X909">
        <v>0.1</v>
      </c>
      <c r="Y909">
        <v>8.6</v>
      </c>
      <c r="Z909">
        <v>3</v>
      </c>
      <c r="AA909">
        <v>8.9</v>
      </c>
      <c r="AB909" s="3">
        <v>69.06</v>
      </c>
      <c r="AC909" s="3"/>
      <c r="AD909">
        <v>7</v>
      </c>
      <c r="AE909" t="s">
        <v>46</v>
      </c>
      <c r="AF909" s="4"/>
    </row>
    <row r="910" spans="1:32" x14ac:dyDescent="0.3">
      <c r="A910" t="s">
        <v>1001</v>
      </c>
      <c r="B910">
        <v>18</v>
      </c>
      <c r="C910" t="str">
        <f t="shared" si="14"/>
        <v>Teenager</v>
      </c>
      <c r="D910" t="s">
        <v>28</v>
      </c>
      <c r="E910">
        <v>12</v>
      </c>
      <c r="G910" t="s">
        <v>29</v>
      </c>
      <c r="H910" t="s">
        <v>118</v>
      </c>
      <c r="I910" t="s">
        <v>50</v>
      </c>
      <c r="J910">
        <v>5.8</v>
      </c>
      <c r="L910" t="s">
        <v>32</v>
      </c>
      <c r="M910" t="s">
        <v>42</v>
      </c>
      <c r="N910" t="s">
        <v>51</v>
      </c>
      <c r="O910">
        <v>3.02</v>
      </c>
      <c r="Q910" t="s">
        <v>80</v>
      </c>
      <c r="R910" t="s">
        <v>57</v>
      </c>
      <c r="S910" t="b">
        <v>0</v>
      </c>
      <c r="T910" t="b">
        <v>1</v>
      </c>
      <c r="U910" t="b">
        <v>1</v>
      </c>
      <c r="V910" t="b">
        <v>1</v>
      </c>
      <c r="W910" t="b">
        <v>0</v>
      </c>
      <c r="X910">
        <v>2.2000000000000002</v>
      </c>
      <c r="Y910">
        <v>2.4</v>
      </c>
      <c r="Z910">
        <v>7</v>
      </c>
      <c r="AA910">
        <v>2.2000000000000002</v>
      </c>
      <c r="AB910" s="3">
        <v>405.19</v>
      </c>
      <c r="AC910" s="3"/>
      <c r="AD910">
        <v>3</v>
      </c>
      <c r="AE910" t="s">
        <v>37</v>
      </c>
      <c r="AF910" s="4"/>
    </row>
    <row r="911" spans="1:32" x14ac:dyDescent="0.3">
      <c r="A911" t="s">
        <v>1002</v>
      </c>
      <c r="B911">
        <v>19</v>
      </c>
      <c r="C911" t="str">
        <f t="shared" si="14"/>
        <v>Teenager</v>
      </c>
      <c r="D911" t="s">
        <v>28</v>
      </c>
      <c r="E911">
        <v>8.8000000000000007</v>
      </c>
      <c r="G911" t="s">
        <v>76</v>
      </c>
      <c r="H911" t="s">
        <v>77</v>
      </c>
      <c r="I911" t="s">
        <v>31</v>
      </c>
      <c r="J911">
        <v>3.5</v>
      </c>
      <c r="L911" t="s">
        <v>78</v>
      </c>
      <c r="M911" t="s">
        <v>33</v>
      </c>
      <c r="N911" t="s">
        <v>34</v>
      </c>
      <c r="O911">
        <v>3.73</v>
      </c>
      <c r="P911">
        <v>10</v>
      </c>
      <c r="Q911" t="s">
        <v>44</v>
      </c>
      <c r="R911" t="s">
        <v>33</v>
      </c>
      <c r="S911" t="b">
        <v>1</v>
      </c>
      <c r="T911" t="b">
        <v>0</v>
      </c>
      <c r="U911" t="b">
        <v>1</v>
      </c>
      <c r="V911" t="b">
        <v>1</v>
      </c>
      <c r="W911" t="b">
        <v>0</v>
      </c>
      <c r="X911">
        <v>2.1</v>
      </c>
      <c r="Y911">
        <v>6.5</v>
      </c>
      <c r="Z911">
        <v>6</v>
      </c>
      <c r="AA911">
        <v>1.6</v>
      </c>
      <c r="AB911" s="3">
        <v>456.77</v>
      </c>
      <c r="AC911" s="3"/>
      <c r="AD911">
        <v>9</v>
      </c>
      <c r="AE911" t="s">
        <v>37</v>
      </c>
      <c r="AF911" s="4"/>
    </row>
    <row r="912" spans="1:32" x14ac:dyDescent="0.3">
      <c r="A912" t="s">
        <v>1003</v>
      </c>
      <c r="B912">
        <v>20</v>
      </c>
      <c r="C912" t="str">
        <f t="shared" si="14"/>
        <v>Young Adults</v>
      </c>
      <c r="D912" t="s">
        <v>152</v>
      </c>
      <c r="E912">
        <v>3.9</v>
      </c>
      <c r="G912" t="s">
        <v>54</v>
      </c>
      <c r="H912" t="s">
        <v>89</v>
      </c>
      <c r="I912" t="s">
        <v>50</v>
      </c>
      <c r="J912">
        <v>6.8</v>
      </c>
      <c r="L912" t="s">
        <v>51</v>
      </c>
      <c r="M912" t="s">
        <v>33</v>
      </c>
      <c r="N912" t="s">
        <v>62</v>
      </c>
      <c r="O912">
        <v>3.63</v>
      </c>
      <c r="P912">
        <v>1</v>
      </c>
      <c r="Q912" t="s">
        <v>44</v>
      </c>
      <c r="R912" t="s">
        <v>42</v>
      </c>
      <c r="S912" t="b">
        <v>0</v>
      </c>
      <c r="T912" t="b">
        <v>0</v>
      </c>
      <c r="U912" t="b">
        <v>0</v>
      </c>
      <c r="V912" t="b">
        <v>0</v>
      </c>
      <c r="W912" t="b">
        <v>0</v>
      </c>
      <c r="X912">
        <v>0.9</v>
      </c>
      <c r="Y912">
        <v>6.5</v>
      </c>
      <c r="Z912">
        <v>2</v>
      </c>
      <c r="AA912">
        <v>11.6</v>
      </c>
      <c r="AB912" s="3">
        <v>45.92</v>
      </c>
      <c r="AC912" s="3"/>
      <c r="AD912">
        <v>8</v>
      </c>
      <c r="AE912" t="s">
        <v>46</v>
      </c>
      <c r="AF912" s="4"/>
    </row>
    <row r="913" spans="1:32" x14ac:dyDescent="0.3">
      <c r="A913" t="s">
        <v>1004</v>
      </c>
      <c r="B913">
        <v>21</v>
      </c>
      <c r="C913" t="str">
        <f t="shared" si="14"/>
        <v>Young Adults</v>
      </c>
      <c r="D913" t="s">
        <v>28</v>
      </c>
      <c r="E913">
        <v>11.6</v>
      </c>
      <c r="G913" t="s">
        <v>54</v>
      </c>
      <c r="H913" t="s">
        <v>98</v>
      </c>
      <c r="I913" t="s">
        <v>50</v>
      </c>
      <c r="J913">
        <v>3.7</v>
      </c>
      <c r="L913" t="s">
        <v>51</v>
      </c>
      <c r="M913" t="s">
        <v>36</v>
      </c>
      <c r="N913" t="s">
        <v>129</v>
      </c>
      <c r="O913">
        <v>2.96</v>
      </c>
      <c r="P913">
        <v>8</v>
      </c>
      <c r="Q913" t="s">
        <v>63</v>
      </c>
      <c r="R913" t="s">
        <v>33</v>
      </c>
      <c r="S913" t="b">
        <v>0</v>
      </c>
      <c r="T913" t="b">
        <v>1</v>
      </c>
      <c r="U913" t="b">
        <v>0</v>
      </c>
      <c r="V913" t="b">
        <v>1</v>
      </c>
      <c r="W913" t="b">
        <v>0</v>
      </c>
      <c r="X913">
        <v>3.2</v>
      </c>
      <c r="Y913">
        <v>4.0999999999999996</v>
      </c>
      <c r="Z913">
        <v>8</v>
      </c>
      <c r="AA913">
        <v>3.1</v>
      </c>
      <c r="AB913" s="3">
        <v>131.29</v>
      </c>
      <c r="AC913" s="3"/>
      <c r="AD913">
        <v>9</v>
      </c>
      <c r="AE913" t="s">
        <v>58</v>
      </c>
      <c r="AF913" s="4"/>
    </row>
    <row r="914" spans="1:32" x14ac:dyDescent="0.3">
      <c r="A914" t="s">
        <v>1005</v>
      </c>
      <c r="B914">
        <v>28</v>
      </c>
      <c r="C914" t="str">
        <f t="shared" si="14"/>
        <v>Young Adults</v>
      </c>
      <c r="D914" t="s">
        <v>28</v>
      </c>
      <c r="E914">
        <v>5.2</v>
      </c>
      <c r="G914" t="s">
        <v>48</v>
      </c>
      <c r="H914" t="s">
        <v>68</v>
      </c>
      <c r="I914" t="s">
        <v>31</v>
      </c>
      <c r="J914">
        <v>5.3</v>
      </c>
      <c r="L914" t="s">
        <v>43</v>
      </c>
      <c r="M914" t="s">
        <v>45</v>
      </c>
      <c r="N914" t="s">
        <v>43</v>
      </c>
      <c r="P914">
        <v>2</v>
      </c>
      <c r="Q914" t="s">
        <v>44</v>
      </c>
      <c r="R914" t="s">
        <v>57</v>
      </c>
      <c r="S914" t="b">
        <v>0</v>
      </c>
      <c r="T914" t="b">
        <v>0</v>
      </c>
      <c r="U914" t="b">
        <v>0</v>
      </c>
      <c r="V914" t="b">
        <v>1</v>
      </c>
      <c r="W914" t="b">
        <v>0</v>
      </c>
      <c r="X914">
        <v>2.7</v>
      </c>
      <c r="Y914">
        <v>8.1999999999999993</v>
      </c>
      <c r="Z914">
        <v>3</v>
      </c>
      <c r="AA914">
        <v>9.8000000000000007</v>
      </c>
      <c r="AB914" s="3">
        <v>12.79</v>
      </c>
      <c r="AC914" s="3"/>
      <c r="AD914">
        <v>18</v>
      </c>
      <c r="AE914" t="s">
        <v>46</v>
      </c>
      <c r="AF914" s="4"/>
    </row>
    <row r="915" spans="1:32" x14ac:dyDescent="0.3">
      <c r="A915" t="s">
        <v>1006</v>
      </c>
      <c r="B915">
        <v>19</v>
      </c>
      <c r="C915" t="str">
        <f t="shared" si="14"/>
        <v>Teenager</v>
      </c>
      <c r="D915" t="s">
        <v>28</v>
      </c>
      <c r="E915">
        <v>4.0999999999999996</v>
      </c>
      <c r="G915" t="s">
        <v>48</v>
      </c>
      <c r="H915" t="s">
        <v>49</v>
      </c>
      <c r="I915" t="s">
        <v>86</v>
      </c>
      <c r="J915">
        <v>5.2</v>
      </c>
      <c r="L915" t="s">
        <v>41</v>
      </c>
      <c r="M915" t="s">
        <v>33</v>
      </c>
      <c r="N915" t="s">
        <v>43</v>
      </c>
      <c r="O915">
        <v>3.98</v>
      </c>
      <c r="P915">
        <v>9</v>
      </c>
      <c r="Q915" t="s">
        <v>35</v>
      </c>
      <c r="R915" t="s">
        <v>36</v>
      </c>
      <c r="S915" t="b">
        <v>0</v>
      </c>
      <c r="T915" t="b">
        <v>0</v>
      </c>
      <c r="U915" t="b">
        <v>0</v>
      </c>
      <c r="V915" t="b">
        <v>0</v>
      </c>
      <c r="W915" t="b">
        <v>0</v>
      </c>
      <c r="X915">
        <v>2.8</v>
      </c>
      <c r="Y915">
        <v>6.1</v>
      </c>
      <c r="Z915">
        <v>3</v>
      </c>
      <c r="AA915">
        <v>7.7</v>
      </c>
      <c r="AB915" s="3">
        <v>1.99</v>
      </c>
      <c r="AC915" s="3"/>
      <c r="AD915">
        <v>3</v>
      </c>
      <c r="AE915" t="s">
        <v>46</v>
      </c>
      <c r="AF915" s="4"/>
    </row>
    <row r="916" spans="1:32" x14ac:dyDescent="0.3">
      <c r="A916" t="s">
        <v>1007</v>
      </c>
      <c r="B916">
        <v>30</v>
      </c>
      <c r="C916" t="str">
        <f t="shared" si="14"/>
        <v>Young Adults</v>
      </c>
      <c r="D916" t="s">
        <v>28</v>
      </c>
      <c r="E916">
        <v>9.3000000000000007</v>
      </c>
      <c r="G916" t="s">
        <v>39</v>
      </c>
      <c r="H916" t="s">
        <v>120</v>
      </c>
      <c r="I916" t="s">
        <v>31</v>
      </c>
      <c r="J916">
        <v>4.4000000000000004</v>
      </c>
      <c r="L916" t="s">
        <v>32</v>
      </c>
      <c r="M916" t="s">
        <v>33</v>
      </c>
      <c r="N916" t="s">
        <v>51</v>
      </c>
      <c r="P916">
        <v>6</v>
      </c>
      <c r="Q916" t="s">
        <v>35</v>
      </c>
      <c r="R916" t="s">
        <v>33</v>
      </c>
      <c r="S916" t="b">
        <v>1</v>
      </c>
      <c r="T916" t="b">
        <v>1</v>
      </c>
      <c r="U916" t="b">
        <v>1</v>
      </c>
      <c r="V916" t="b">
        <v>1</v>
      </c>
      <c r="W916" t="b">
        <v>0</v>
      </c>
      <c r="X916">
        <v>4.4000000000000004</v>
      </c>
      <c r="Y916">
        <v>4</v>
      </c>
      <c r="Z916">
        <v>4</v>
      </c>
      <c r="AA916">
        <v>6.9</v>
      </c>
      <c r="AB916" s="3">
        <v>458.97</v>
      </c>
      <c r="AC916" s="3"/>
      <c r="AD916">
        <v>18</v>
      </c>
      <c r="AE916" t="s">
        <v>37</v>
      </c>
      <c r="AF916" s="4"/>
    </row>
    <row r="917" spans="1:32" x14ac:dyDescent="0.3">
      <c r="A917" t="s">
        <v>1008</v>
      </c>
      <c r="B917">
        <v>19</v>
      </c>
      <c r="C917" t="str">
        <f t="shared" si="14"/>
        <v>Teenager</v>
      </c>
      <c r="D917" t="s">
        <v>28</v>
      </c>
      <c r="E917">
        <v>2.5</v>
      </c>
      <c r="G917" t="s">
        <v>60</v>
      </c>
      <c r="H917" t="s">
        <v>96</v>
      </c>
      <c r="I917" t="s">
        <v>31</v>
      </c>
      <c r="J917">
        <v>7.4</v>
      </c>
      <c r="L917" t="s">
        <v>41</v>
      </c>
      <c r="M917" t="s">
        <v>36</v>
      </c>
      <c r="N917" t="s">
        <v>62</v>
      </c>
      <c r="O917">
        <v>1.5</v>
      </c>
      <c r="P917">
        <v>9</v>
      </c>
      <c r="Q917" t="s">
        <v>121</v>
      </c>
      <c r="R917" t="s">
        <v>57</v>
      </c>
      <c r="S917" t="b">
        <v>0</v>
      </c>
      <c r="T917" t="b">
        <v>0</v>
      </c>
      <c r="U917" t="b">
        <v>0</v>
      </c>
      <c r="V917" t="b">
        <v>0</v>
      </c>
      <c r="W917" t="b">
        <v>0</v>
      </c>
      <c r="X917">
        <v>0.3</v>
      </c>
      <c r="Y917">
        <v>9.6999999999999993</v>
      </c>
      <c r="Z917">
        <v>3</v>
      </c>
      <c r="AA917">
        <v>14.4</v>
      </c>
      <c r="AB917" s="3">
        <v>45.05</v>
      </c>
      <c r="AC917" s="3"/>
      <c r="AD917">
        <v>5</v>
      </c>
      <c r="AE917" t="s">
        <v>46</v>
      </c>
      <c r="AF917" s="4"/>
    </row>
    <row r="918" spans="1:32" x14ac:dyDescent="0.3">
      <c r="A918" t="s">
        <v>1009</v>
      </c>
      <c r="B918">
        <v>22</v>
      </c>
      <c r="C918" t="str">
        <f t="shared" si="14"/>
        <v>Young Adults</v>
      </c>
      <c r="D918" t="s">
        <v>28</v>
      </c>
      <c r="E918">
        <v>3.6</v>
      </c>
      <c r="G918" t="s">
        <v>60</v>
      </c>
      <c r="H918" t="s">
        <v>96</v>
      </c>
      <c r="I918" t="s">
        <v>50</v>
      </c>
      <c r="J918">
        <v>5.6</v>
      </c>
      <c r="L918" t="s">
        <v>51</v>
      </c>
      <c r="M918" t="s">
        <v>36</v>
      </c>
      <c r="N918" t="s">
        <v>34</v>
      </c>
      <c r="O918">
        <v>1.76</v>
      </c>
      <c r="P918">
        <v>10</v>
      </c>
      <c r="Q918" t="s">
        <v>44</v>
      </c>
      <c r="R918" t="s">
        <v>36</v>
      </c>
      <c r="S918" t="b">
        <v>0</v>
      </c>
      <c r="T918" t="b">
        <v>0</v>
      </c>
      <c r="U918" t="b">
        <v>0</v>
      </c>
      <c r="V918" t="b">
        <v>0</v>
      </c>
      <c r="W918" t="b">
        <v>0</v>
      </c>
      <c r="X918">
        <v>0.3</v>
      </c>
      <c r="Y918">
        <v>8.3000000000000007</v>
      </c>
      <c r="Z918">
        <v>1</v>
      </c>
      <c r="AA918">
        <v>11.6</v>
      </c>
      <c r="AB918" s="3">
        <v>1.38</v>
      </c>
      <c r="AC918" s="3"/>
      <c r="AD918">
        <v>1</v>
      </c>
      <c r="AE918" t="s">
        <v>46</v>
      </c>
      <c r="AF918" s="4"/>
    </row>
    <row r="919" spans="1:32" x14ac:dyDescent="0.3">
      <c r="A919" t="s">
        <v>1010</v>
      </c>
      <c r="B919">
        <v>19</v>
      </c>
      <c r="C919" t="str">
        <f t="shared" si="14"/>
        <v>Teenager</v>
      </c>
      <c r="D919" t="s">
        <v>53</v>
      </c>
      <c r="E919">
        <v>8.9</v>
      </c>
      <c r="G919" t="s">
        <v>82</v>
      </c>
      <c r="H919" t="s">
        <v>83</v>
      </c>
      <c r="I919" t="s">
        <v>71</v>
      </c>
      <c r="J919">
        <v>5.9</v>
      </c>
      <c r="L919" t="s">
        <v>32</v>
      </c>
      <c r="M919" t="s">
        <v>33</v>
      </c>
      <c r="N919" t="s">
        <v>129</v>
      </c>
      <c r="O919">
        <v>2.44</v>
      </c>
      <c r="P919">
        <v>5</v>
      </c>
      <c r="Q919" t="s">
        <v>56</v>
      </c>
      <c r="R919" t="s">
        <v>42</v>
      </c>
      <c r="S919" t="b">
        <v>1</v>
      </c>
      <c r="T919" t="b">
        <v>1</v>
      </c>
      <c r="U919" t="b">
        <v>0</v>
      </c>
      <c r="V919" t="b">
        <v>1</v>
      </c>
      <c r="W919" t="b">
        <v>0</v>
      </c>
      <c r="X919">
        <v>0.8</v>
      </c>
      <c r="Y919">
        <v>5.6</v>
      </c>
      <c r="Z919">
        <v>5</v>
      </c>
      <c r="AA919">
        <v>2.6</v>
      </c>
      <c r="AB919" s="3">
        <v>190.37</v>
      </c>
      <c r="AC919" s="3"/>
      <c r="AD919">
        <v>7</v>
      </c>
      <c r="AE919" t="s">
        <v>37</v>
      </c>
      <c r="AF919" s="4"/>
    </row>
    <row r="920" spans="1:32" x14ac:dyDescent="0.3">
      <c r="A920" t="s">
        <v>1011</v>
      </c>
      <c r="B920">
        <v>20</v>
      </c>
      <c r="C920" t="str">
        <f t="shared" si="14"/>
        <v>Young Adults</v>
      </c>
      <c r="D920" t="s">
        <v>28</v>
      </c>
      <c r="E920">
        <v>4.7</v>
      </c>
      <c r="G920" t="s">
        <v>39</v>
      </c>
      <c r="H920" t="s">
        <v>120</v>
      </c>
      <c r="I920" t="s">
        <v>31</v>
      </c>
      <c r="J920">
        <v>5.9</v>
      </c>
      <c r="L920" t="s">
        <v>41</v>
      </c>
      <c r="M920" t="s">
        <v>33</v>
      </c>
      <c r="N920" t="s">
        <v>62</v>
      </c>
      <c r="O920">
        <v>3.63</v>
      </c>
      <c r="P920">
        <v>8</v>
      </c>
      <c r="Q920" t="s">
        <v>35</v>
      </c>
      <c r="R920" t="s">
        <v>42</v>
      </c>
      <c r="S920" t="b">
        <v>0</v>
      </c>
      <c r="T920" t="b">
        <v>0</v>
      </c>
      <c r="U920" t="b">
        <v>0</v>
      </c>
      <c r="V920" t="b">
        <v>1</v>
      </c>
      <c r="W920" t="b">
        <v>0</v>
      </c>
      <c r="X920">
        <v>0.4</v>
      </c>
      <c r="Y920">
        <v>8.1999999999999993</v>
      </c>
      <c r="Z920">
        <v>4</v>
      </c>
      <c r="AA920">
        <v>9.6</v>
      </c>
      <c r="AB920" s="3">
        <v>79.06</v>
      </c>
      <c r="AC920" s="3"/>
      <c r="AD920">
        <v>9</v>
      </c>
      <c r="AE920" t="s">
        <v>46</v>
      </c>
      <c r="AF920" s="4"/>
    </row>
    <row r="921" spans="1:32" x14ac:dyDescent="0.3">
      <c r="A921" t="s">
        <v>1012</v>
      </c>
      <c r="B921">
        <v>22</v>
      </c>
      <c r="C921" t="str">
        <f t="shared" si="14"/>
        <v>Young Adults</v>
      </c>
      <c r="D921" t="s">
        <v>53</v>
      </c>
      <c r="E921">
        <v>6.3</v>
      </c>
      <c r="G921" t="s">
        <v>48</v>
      </c>
      <c r="H921" t="s">
        <v>68</v>
      </c>
      <c r="I921" t="s">
        <v>31</v>
      </c>
      <c r="J921">
        <v>6.8</v>
      </c>
      <c r="L921" t="s">
        <v>51</v>
      </c>
      <c r="M921" t="s">
        <v>42</v>
      </c>
      <c r="N921" t="s">
        <v>62</v>
      </c>
      <c r="O921">
        <v>2.0499999999999998</v>
      </c>
      <c r="P921">
        <v>2</v>
      </c>
      <c r="Q921" t="s">
        <v>63</v>
      </c>
      <c r="R921" t="s">
        <v>36</v>
      </c>
      <c r="S921" t="b">
        <v>0</v>
      </c>
      <c r="T921" t="b">
        <v>1</v>
      </c>
      <c r="U921" t="b">
        <v>0</v>
      </c>
      <c r="V921" t="b">
        <v>1</v>
      </c>
      <c r="W921" t="b">
        <v>1</v>
      </c>
      <c r="X921">
        <v>0.4</v>
      </c>
      <c r="Y921">
        <v>7.8</v>
      </c>
      <c r="Z921">
        <v>5</v>
      </c>
      <c r="AA921">
        <v>6.3</v>
      </c>
      <c r="AB921" s="3">
        <v>50.08</v>
      </c>
      <c r="AC921" s="3"/>
      <c r="AD921">
        <v>4</v>
      </c>
      <c r="AE921" t="s">
        <v>64</v>
      </c>
      <c r="AF921" s="4"/>
    </row>
    <row r="922" spans="1:32" x14ac:dyDescent="0.3">
      <c r="A922" t="s">
        <v>1013</v>
      </c>
      <c r="B922">
        <v>20</v>
      </c>
      <c r="C922" t="str">
        <f t="shared" si="14"/>
        <v>Young Adults</v>
      </c>
      <c r="D922" t="s">
        <v>53</v>
      </c>
      <c r="E922">
        <v>1.8</v>
      </c>
      <c r="G922" t="s">
        <v>39</v>
      </c>
      <c r="H922" t="s">
        <v>93</v>
      </c>
      <c r="I922" t="s">
        <v>86</v>
      </c>
      <c r="J922">
        <v>8.8000000000000007</v>
      </c>
      <c r="L922" t="s">
        <v>43</v>
      </c>
      <c r="M922" t="s">
        <v>42</v>
      </c>
      <c r="N922" t="s">
        <v>43</v>
      </c>
      <c r="O922">
        <v>3.8</v>
      </c>
      <c r="P922">
        <v>7</v>
      </c>
      <c r="Q922" t="s">
        <v>121</v>
      </c>
      <c r="R922" t="s">
        <v>33</v>
      </c>
      <c r="S922" t="b">
        <v>0</v>
      </c>
      <c r="T922" t="b">
        <v>0</v>
      </c>
      <c r="U922" t="b">
        <v>0</v>
      </c>
      <c r="V922" t="b">
        <v>0</v>
      </c>
      <c r="W922" t="b">
        <v>0</v>
      </c>
      <c r="X922">
        <v>0.2</v>
      </c>
      <c r="Y922">
        <v>7.8</v>
      </c>
      <c r="Z922">
        <v>1</v>
      </c>
      <c r="AA922">
        <v>10.199999999999999</v>
      </c>
      <c r="AB922" s="3">
        <v>47.37</v>
      </c>
      <c r="AC922" s="3"/>
      <c r="AD922">
        <v>9</v>
      </c>
      <c r="AE922" t="s">
        <v>46</v>
      </c>
      <c r="AF922" s="4"/>
    </row>
    <row r="923" spans="1:32" x14ac:dyDescent="0.3">
      <c r="A923" t="s">
        <v>1014</v>
      </c>
      <c r="B923">
        <v>27</v>
      </c>
      <c r="C923" t="str">
        <f t="shared" si="14"/>
        <v>Young Adults</v>
      </c>
      <c r="D923" t="s">
        <v>28</v>
      </c>
      <c r="E923">
        <v>12.4</v>
      </c>
      <c r="G923" t="s">
        <v>29</v>
      </c>
      <c r="H923" t="s">
        <v>30</v>
      </c>
      <c r="I923" t="s">
        <v>31</v>
      </c>
      <c r="J923">
        <v>5.0999999999999996</v>
      </c>
      <c r="L923" t="s">
        <v>51</v>
      </c>
      <c r="M923" t="s">
        <v>42</v>
      </c>
      <c r="N923" t="s">
        <v>43</v>
      </c>
      <c r="P923">
        <v>7</v>
      </c>
      <c r="Q923" t="s">
        <v>105</v>
      </c>
      <c r="R923" t="s">
        <v>42</v>
      </c>
      <c r="S923" t="b">
        <v>1</v>
      </c>
      <c r="T923" t="b">
        <v>1</v>
      </c>
      <c r="U923" t="b">
        <v>1</v>
      </c>
      <c r="V923" t="b">
        <v>0</v>
      </c>
      <c r="W923" t="b">
        <v>0</v>
      </c>
      <c r="X923">
        <v>1.4</v>
      </c>
      <c r="Y923">
        <v>2.9</v>
      </c>
      <c r="Z923">
        <v>8</v>
      </c>
      <c r="AA923">
        <v>0</v>
      </c>
      <c r="AB923" s="3">
        <v>331.29</v>
      </c>
      <c r="AC923" s="3"/>
      <c r="AD923">
        <v>2</v>
      </c>
      <c r="AE923" t="s">
        <v>37</v>
      </c>
      <c r="AF923" s="4"/>
    </row>
    <row r="924" spans="1:32" x14ac:dyDescent="0.3">
      <c r="A924" t="s">
        <v>1015</v>
      </c>
      <c r="B924">
        <v>17</v>
      </c>
      <c r="C924" t="str">
        <f t="shared" si="14"/>
        <v>Teenager</v>
      </c>
      <c r="D924" t="s">
        <v>28</v>
      </c>
      <c r="E924">
        <v>4.0999999999999996</v>
      </c>
      <c r="G924" t="s">
        <v>29</v>
      </c>
      <c r="H924" t="s">
        <v>73</v>
      </c>
      <c r="I924" t="s">
        <v>86</v>
      </c>
      <c r="J924">
        <v>6.4</v>
      </c>
      <c r="L924" t="s">
        <v>43</v>
      </c>
      <c r="M924" t="s">
        <v>33</v>
      </c>
      <c r="N924" t="s">
        <v>62</v>
      </c>
      <c r="O924">
        <v>1.1200000000000001</v>
      </c>
      <c r="Q924" t="s">
        <v>35</v>
      </c>
      <c r="R924" t="s">
        <v>57</v>
      </c>
      <c r="S924" t="b">
        <v>0</v>
      </c>
      <c r="T924" t="b">
        <v>0</v>
      </c>
      <c r="U924" t="b">
        <v>0</v>
      </c>
      <c r="V924" t="b">
        <v>0</v>
      </c>
      <c r="W924" t="b">
        <v>0</v>
      </c>
      <c r="X924">
        <v>0.7</v>
      </c>
      <c r="Y924">
        <v>6.8</v>
      </c>
      <c r="Z924">
        <v>2</v>
      </c>
      <c r="AA924">
        <v>11.2</v>
      </c>
      <c r="AB924" s="3">
        <v>12.42</v>
      </c>
      <c r="AC924" s="3"/>
      <c r="AD924">
        <v>1</v>
      </c>
      <c r="AE924" t="s">
        <v>46</v>
      </c>
      <c r="AF924" s="4"/>
    </row>
    <row r="925" spans="1:32" x14ac:dyDescent="0.3">
      <c r="A925" t="s">
        <v>1016</v>
      </c>
      <c r="B925">
        <v>18</v>
      </c>
      <c r="C925" t="str">
        <f t="shared" si="14"/>
        <v>Teenager</v>
      </c>
      <c r="D925" t="s">
        <v>28</v>
      </c>
      <c r="E925">
        <v>8.1</v>
      </c>
      <c r="G925" t="s">
        <v>54</v>
      </c>
      <c r="H925" t="s">
        <v>89</v>
      </c>
      <c r="I925" t="s">
        <v>86</v>
      </c>
      <c r="J925">
        <v>4.5</v>
      </c>
      <c r="L925" t="s">
        <v>51</v>
      </c>
      <c r="M925" t="s">
        <v>74</v>
      </c>
      <c r="N925" t="s">
        <v>34</v>
      </c>
      <c r="O925">
        <v>3.42</v>
      </c>
      <c r="Q925" t="s">
        <v>35</v>
      </c>
      <c r="R925" t="s">
        <v>45</v>
      </c>
      <c r="S925" t="b">
        <v>1</v>
      </c>
      <c r="T925" t="b">
        <v>1</v>
      </c>
      <c r="U925" t="b">
        <v>0</v>
      </c>
      <c r="V925" t="b">
        <v>1</v>
      </c>
      <c r="W925" t="b">
        <v>0</v>
      </c>
      <c r="X925">
        <v>2.6</v>
      </c>
      <c r="Y925">
        <v>5</v>
      </c>
      <c r="Z925">
        <v>6</v>
      </c>
      <c r="AA925">
        <v>8.1999999999999993</v>
      </c>
      <c r="AB925" s="3">
        <v>82.51</v>
      </c>
      <c r="AC925" s="3"/>
      <c r="AD925">
        <v>7</v>
      </c>
      <c r="AE925" t="s">
        <v>58</v>
      </c>
      <c r="AF925" s="4"/>
    </row>
    <row r="926" spans="1:32" x14ac:dyDescent="0.3">
      <c r="A926" t="s">
        <v>1017</v>
      </c>
      <c r="B926">
        <v>20</v>
      </c>
      <c r="C926" t="str">
        <f t="shared" si="14"/>
        <v>Young Adults</v>
      </c>
      <c r="D926" t="s">
        <v>28</v>
      </c>
      <c r="E926">
        <v>11.2</v>
      </c>
      <c r="G926" t="s">
        <v>82</v>
      </c>
      <c r="H926" t="s">
        <v>83</v>
      </c>
      <c r="I926" t="s">
        <v>86</v>
      </c>
      <c r="J926">
        <v>5</v>
      </c>
      <c r="L926" t="s">
        <v>51</v>
      </c>
      <c r="M926" t="s">
        <v>74</v>
      </c>
      <c r="N926" t="s">
        <v>34</v>
      </c>
      <c r="O926">
        <v>1.1200000000000001</v>
      </c>
      <c r="P926">
        <v>2</v>
      </c>
      <c r="Q926" t="s">
        <v>35</v>
      </c>
      <c r="R926" t="s">
        <v>45</v>
      </c>
      <c r="S926" t="b">
        <v>1</v>
      </c>
      <c r="T926" t="b">
        <v>1</v>
      </c>
      <c r="U926" t="b">
        <v>0</v>
      </c>
      <c r="V926" t="b">
        <v>1</v>
      </c>
      <c r="W926" t="b">
        <v>1</v>
      </c>
      <c r="X926">
        <v>5.5</v>
      </c>
      <c r="Y926">
        <v>5.7</v>
      </c>
      <c r="Z926">
        <v>6</v>
      </c>
      <c r="AA926">
        <v>2.2999999999999998</v>
      </c>
      <c r="AB926" s="3">
        <v>339.42</v>
      </c>
      <c r="AC926" s="3"/>
      <c r="AD926">
        <v>9</v>
      </c>
      <c r="AE926" t="s">
        <v>37</v>
      </c>
      <c r="AF926" s="4"/>
    </row>
    <row r="927" spans="1:32" x14ac:dyDescent="0.3">
      <c r="A927" t="s">
        <v>1018</v>
      </c>
      <c r="B927">
        <v>26</v>
      </c>
      <c r="C927" t="str">
        <f t="shared" si="14"/>
        <v>Young Adults</v>
      </c>
      <c r="D927" t="s">
        <v>28</v>
      </c>
      <c r="E927">
        <v>11.3</v>
      </c>
      <c r="G927" t="s">
        <v>39</v>
      </c>
      <c r="H927" t="s">
        <v>40</v>
      </c>
      <c r="I927" t="s">
        <v>50</v>
      </c>
      <c r="J927">
        <v>3.2</v>
      </c>
      <c r="L927" t="s">
        <v>32</v>
      </c>
      <c r="M927" t="s">
        <v>33</v>
      </c>
      <c r="N927" t="s">
        <v>51</v>
      </c>
      <c r="P927">
        <v>7</v>
      </c>
      <c r="Q927" t="s">
        <v>80</v>
      </c>
      <c r="R927" t="s">
        <v>33</v>
      </c>
      <c r="S927" t="b">
        <v>1</v>
      </c>
      <c r="T927" t="b">
        <v>0</v>
      </c>
      <c r="U927" t="b">
        <v>1</v>
      </c>
      <c r="V927" t="b">
        <v>1</v>
      </c>
      <c r="W927" t="b">
        <v>1</v>
      </c>
      <c r="X927">
        <v>2.1</v>
      </c>
      <c r="Y927">
        <v>6.2</v>
      </c>
      <c r="Z927">
        <v>7</v>
      </c>
      <c r="AA927">
        <v>1.2</v>
      </c>
      <c r="AB927" s="3">
        <v>334.36</v>
      </c>
      <c r="AC927" s="3"/>
      <c r="AD927">
        <v>3</v>
      </c>
      <c r="AE927" t="s">
        <v>37</v>
      </c>
      <c r="AF927" s="4"/>
    </row>
    <row r="928" spans="1:32" x14ac:dyDescent="0.3">
      <c r="A928" t="s">
        <v>1019</v>
      </c>
      <c r="B928">
        <v>20</v>
      </c>
      <c r="C928" t="str">
        <f t="shared" si="14"/>
        <v>Young Adults</v>
      </c>
      <c r="D928" t="s">
        <v>28</v>
      </c>
      <c r="E928">
        <v>4.7</v>
      </c>
      <c r="G928" t="s">
        <v>82</v>
      </c>
      <c r="H928" t="s">
        <v>83</v>
      </c>
      <c r="I928" t="s">
        <v>86</v>
      </c>
      <c r="J928">
        <v>5.7</v>
      </c>
      <c r="L928" t="s">
        <v>43</v>
      </c>
      <c r="M928" t="s">
        <v>36</v>
      </c>
      <c r="N928" t="s">
        <v>84</v>
      </c>
      <c r="O928">
        <v>2.63</v>
      </c>
      <c r="P928">
        <v>8</v>
      </c>
      <c r="Q928" t="s">
        <v>66</v>
      </c>
      <c r="R928" t="s">
        <v>45</v>
      </c>
      <c r="S928" t="b">
        <v>0</v>
      </c>
      <c r="T928" t="b">
        <v>0</v>
      </c>
      <c r="U928" t="b">
        <v>0</v>
      </c>
      <c r="V928" t="b">
        <v>1</v>
      </c>
      <c r="W928" t="b">
        <v>0</v>
      </c>
      <c r="X928">
        <v>1.8</v>
      </c>
      <c r="Y928">
        <v>7.3</v>
      </c>
      <c r="Z928">
        <v>1</v>
      </c>
      <c r="AA928">
        <v>7.7</v>
      </c>
      <c r="AB928" s="3">
        <v>74.39</v>
      </c>
      <c r="AC928" s="3"/>
      <c r="AD928">
        <v>9</v>
      </c>
      <c r="AE928" t="s">
        <v>46</v>
      </c>
      <c r="AF928" s="4"/>
    </row>
    <row r="929" spans="1:32" x14ac:dyDescent="0.3">
      <c r="A929" t="s">
        <v>1020</v>
      </c>
      <c r="B929">
        <v>17</v>
      </c>
      <c r="C929" t="str">
        <f t="shared" si="14"/>
        <v>Teenager</v>
      </c>
      <c r="D929" t="s">
        <v>28</v>
      </c>
      <c r="E929">
        <v>5.6</v>
      </c>
      <c r="G929" t="s">
        <v>82</v>
      </c>
      <c r="H929" t="s">
        <v>83</v>
      </c>
      <c r="I929" t="s">
        <v>71</v>
      </c>
      <c r="J929">
        <v>6.2</v>
      </c>
      <c r="L929" t="s">
        <v>32</v>
      </c>
      <c r="M929" t="s">
        <v>42</v>
      </c>
      <c r="N929" t="s">
        <v>62</v>
      </c>
      <c r="O929">
        <v>3.11</v>
      </c>
      <c r="Q929" t="s">
        <v>44</v>
      </c>
      <c r="R929" t="s">
        <v>33</v>
      </c>
      <c r="S929" t="b">
        <v>0</v>
      </c>
      <c r="T929" t="b">
        <v>1</v>
      </c>
      <c r="U929" t="b">
        <v>0</v>
      </c>
      <c r="V929" t="b">
        <v>1</v>
      </c>
      <c r="W929" t="b">
        <v>0</v>
      </c>
      <c r="X929">
        <v>2.4</v>
      </c>
      <c r="Y929">
        <v>8.6</v>
      </c>
      <c r="Z929">
        <v>3</v>
      </c>
      <c r="AA929">
        <v>5.6</v>
      </c>
      <c r="AB929" s="3">
        <v>36.119999999999997</v>
      </c>
      <c r="AC929" s="3"/>
      <c r="AD929">
        <v>3</v>
      </c>
      <c r="AE929" t="s">
        <v>64</v>
      </c>
      <c r="AF929" s="4"/>
    </row>
    <row r="930" spans="1:32" x14ac:dyDescent="0.3">
      <c r="A930" t="s">
        <v>1021</v>
      </c>
      <c r="B930">
        <v>20</v>
      </c>
      <c r="C930" t="str">
        <f t="shared" si="14"/>
        <v>Young Adults</v>
      </c>
      <c r="D930" t="s">
        <v>28</v>
      </c>
      <c r="E930">
        <v>5.6</v>
      </c>
      <c r="G930" t="s">
        <v>39</v>
      </c>
      <c r="H930" t="s">
        <v>93</v>
      </c>
      <c r="I930" t="s">
        <v>31</v>
      </c>
      <c r="J930">
        <v>5.4</v>
      </c>
      <c r="L930" t="s">
        <v>43</v>
      </c>
      <c r="M930" t="s">
        <v>33</v>
      </c>
      <c r="N930" t="s">
        <v>34</v>
      </c>
      <c r="O930">
        <v>3.24</v>
      </c>
      <c r="P930">
        <v>3</v>
      </c>
      <c r="Q930" t="s">
        <v>105</v>
      </c>
      <c r="R930" t="s">
        <v>42</v>
      </c>
      <c r="S930" t="b">
        <v>0</v>
      </c>
      <c r="T930" t="b">
        <v>0</v>
      </c>
      <c r="U930" t="b">
        <v>0</v>
      </c>
      <c r="V930" t="b">
        <v>1</v>
      </c>
      <c r="W930" t="b">
        <v>1</v>
      </c>
      <c r="X930">
        <v>0.7</v>
      </c>
      <c r="Y930">
        <v>8.4</v>
      </c>
      <c r="Z930">
        <v>3</v>
      </c>
      <c r="AA930">
        <v>5</v>
      </c>
      <c r="AB930" s="3">
        <v>68.45</v>
      </c>
      <c r="AC930" s="3"/>
      <c r="AD930">
        <v>1</v>
      </c>
      <c r="AE930" t="s">
        <v>46</v>
      </c>
      <c r="AF930" s="4"/>
    </row>
    <row r="931" spans="1:32" x14ac:dyDescent="0.3">
      <c r="A931" t="s">
        <v>1022</v>
      </c>
      <c r="B931">
        <v>28</v>
      </c>
      <c r="C931" t="str">
        <f t="shared" si="14"/>
        <v>Young Adults</v>
      </c>
      <c r="D931" t="s">
        <v>28</v>
      </c>
      <c r="E931">
        <v>7.7</v>
      </c>
      <c r="G931" t="s">
        <v>48</v>
      </c>
      <c r="H931" t="s">
        <v>214</v>
      </c>
      <c r="I931" t="s">
        <v>31</v>
      </c>
      <c r="J931">
        <v>3.1</v>
      </c>
      <c r="L931" t="s">
        <v>43</v>
      </c>
      <c r="M931" t="s">
        <v>36</v>
      </c>
      <c r="N931" t="s">
        <v>51</v>
      </c>
      <c r="P931">
        <v>3</v>
      </c>
      <c r="Q931" t="s">
        <v>44</v>
      </c>
      <c r="R931" t="s">
        <v>36</v>
      </c>
      <c r="S931" t="b">
        <v>1</v>
      </c>
      <c r="T931" t="b">
        <v>0</v>
      </c>
      <c r="U931" t="b">
        <v>0</v>
      </c>
      <c r="V931" t="b">
        <v>1</v>
      </c>
      <c r="W931" t="b">
        <v>1</v>
      </c>
      <c r="X931">
        <v>1.8</v>
      </c>
      <c r="Y931">
        <v>7.2</v>
      </c>
      <c r="Z931">
        <v>5</v>
      </c>
      <c r="AA931">
        <v>7.8</v>
      </c>
      <c r="AB931" s="3">
        <v>129.71</v>
      </c>
      <c r="AC931" s="3"/>
      <c r="AD931">
        <v>5</v>
      </c>
      <c r="AE931" t="s">
        <v>64</v>
      </c>
      <c r="AF931" s="4"/>
    </row>
    <row r="932" spans="1:32" x14ac:dyDescent="0.3">
      <c r="A932" t="s">
        <v>1023</v>
      </c>
      <c r="B932">
        <v>15</v>
      </c>
      <c r="C932" t="str">
        <f t="shared" si="14"/>
        <v>Teenager</v>
      </c>
      <c r="D932" t="s">
        <v>28</v>
      </c>
      <c r="E932">
        <v>5</v>
      </c>
      <c r="G932" t="s">
        <v>54</v>
      </c>
      <c r="H932" t="s">
        <v>89</v>
      </c>
      <c r="I932" t="s">
        <v>50</v>
      </c>
      <c r="J932">
        <v>5.6</v>
      </c>
      <c r="L932" t="s">
        <v>41</v>
      </c>
      <c r="M932" t="s">
        <v>74</v>
      </c>
      <c r="N932" t="s">
        <v>62</v>
      </c>
      <c r="O932">
        <v>3.43</v>
      </c>
      <c r="Q932" t="s">
        <v>35</v>
      </c>
      <c r="R932" t="s">
        <v>57</v>
      </c>
      <c r="S932" t="b">
        <v>0</v>
      </c>
      <c r="T932" t="b">
        <v>0</v>
      </c>
      <c r="U932" t="b">
        <v>0</v>
      </c>
      <c r="V932" t="b">
        <v>1</v>
      </c>
      <c r="W932" t="b">
        <v>0</v>
      </c>
      <c r="X932">
        <v>1.5</v>
      </c>
      <c r="Y932">
        <v>7.7</v>
      </c>
      <c r="Z932">
        <v>4</v>
      </c>
      <c r="AA932">
        <v>11.1</v>
      </c>
      <c r="AB932" s="3">
        <v>36.799999999999997</v>
      </c>
      <c r="AC932" s="3"/>
      <c r="AD932">
        <v>2</v>
      </c>
      <c r="AE932" t="s">
        <v>46</v>
      </c>
      <c r="AF932" s="4"/>
    </row>
    <row r="933" spans="1:32" x14ac:dyDescent="0.3">
      <c r="A933" t="s">
        <v>1024</v>
      </c>
      <c r="B933">
        <v>20</v>
      </c>
      <c r="C933" t="str">
        <f t="shared" si="14"/>
        <v>Young Adults</v>
      </c>
      <c r="D933" t="s">
        <v>152</v>
      </c>
      <c r="E933">
        <v>10.199999999999999</v>
      </c>
      <c r="G933" t="s">
        <v>82</v>
      </c>
      <c r="H933" t="s">
        <v>167</v>
      </c>
      <c r="I933" t="s">
        <v>71</v>
      </c>
      <c r="J933">
        <v>4.8</v>
      </c>
      <c r="L933" t="s">
        <v>32</v>
      </c>
      <c r="M933" t="s">
        <v>36</v>
      </c>
      <c r="N933" t="s">
        <v>34</v>
      </c>
      <c r="O933">
        <v>3.81</v>
      </c>
      <c r="P933">
        <v>8</v>
      </c>
      <c r="Q933" t="s">
        <v>69</v>
      </c>
      <c r="R933" t="s">
        <v>57</v>
      </c>
      <c r="S933" t="b">
        <v>1</v>
      </c>
      <c r="T933" t="b">
        <v>1</v>
      </c>
      <c r="U933" t="b">
        <v>0</v>
      </c>
      <c r="V933" t="b">
        <v>0</v>
      </c>
      <c r="W933" t="b">
        <v>0</v>
      </c>
      <c r="X933">
        <v>1.7</v>
      </c>
      <c r="Y933">
        <v>3.9</v>
      </c>
      <c r="Z933">
        <v>5</v>
      </c>
      <c r="AA933">
        <v>5.7</v>
      </c>
      <c r="AB933" s="3">
        <v>312.2</v>
      </c>
      <c r="AC933" s="3"/>
      <c r="AD933">
        <v>8</v>
      </c>
      <c r="AE933" t="s">
        <v>37</v>
      </c>
      <c r="AF933" s="4"/>
    </row>
    <row r="934" spans="1:32" x14ac:dyDescent="0.3">
      <c r="A934" t="s">
        <v>1025</v>
      </c>
      <c r="B934">
        <v>15</v>
      </c>
      <c r="C934" t="str">
        <f t="shared" si="14"/>
        <v>Teenager</v>
      </c>
      <c r="D934" t="s">
        <v>28</v>
      </c>
      <c r="E934">
        <v>11.4</v>
      </c>
      <c r="G934" t="s">
        <v>54</v>
      </c>
      <c r="H934" t="s">
        <v>89</v>
      </c>
      <c r="I934" t="s">
        <v>86</v>
      </c>
      <c r="J934">
        <v>3.9</v>
      </c>
      <c r="L934" t="s">
        <v>32</v>
      </c>
      <c r="M934" t="s">
        <v>36</v>
      </c>
      <c r="N934" t="s">
        <v>62</v>
      </c>
      <c r="O934">
        <v>2.48</v>
      </c>
      <c r="Q934" t="s">
        <v>44</v>
      </c>
      <c r="R934" t="s">
        <v>57</v>
      </c>
      <c r="S934" t="b">
        <v>1</v>
      </c>
      <c r="T934" t="b">
        <v>1</v>
      </c>
      <c r="U934" t="b">
        <v>0</v>
      </c>
      <c r="V934" t="b">
        <v>0</v>
      </c>
      <c r="W934" t="b">
        <v>0</v>
      </c>
      <c r="X934">
        <v>8.6999999999999993</v>
      </c>
      <c r="Y934">
        <v>5.9</v>
      </c>
      <c r="Z934">
        <v>9</v>
      </c>
      <c r="AA934">
        <v>2.9</v>
      </c>
      <c r="AB934" s="3">
        <v>367.71</v>
      </c>
      <c r="AC934" s="3"/>
      <c r="AD934">
        <v>2</v>
      </c>
      <c r="AE934" t="s">
        <v>37</v>
      </c>
      <c r="AF934" s="4"/>
    </row>
    <row r="935" spans="1:32" x14ac:dyDescent="0.3">
      <c r="A935" t="s">
        <v>1026</v>
      </c>
      <c r="B935">
        <v>28</v>
      </c>
      <c r="C935" t="str">
        <f t="shared" si="14"/>
        <v>Young Adults</v>
      </c>
      <c r="D935" t="s">
        <v>53</v>
      </c>
      <c r="E935">
        <v>10.1</v>
      </c>
      <c r="G935" t="s">
        <v>54</v>
      </c>
      <c r="H935" t="s">
        <v>98</v>
      </c>
      <c r="I935" t="s">
        <v>71</v>
      </c>
      <c r="J935">
        <v>3.2</v>
      </c>
      <c r="L935" t="s">
        <v>43</v>
      </c>
      <c r="M935" t="s">
        <v>42</v>
      </c>
      <c r="N935" t="s">
        <v>129</v>
      </c>
      <c r="P935">
        <v>7</v>
      </c>
      <c r="Q935" t="s">
        <v>80</v>
      </c>
      <c r="R935" t="s">
        <v>45</v>
      </c>
      <c r="S935" t="b">
        <v>0</v>
      </c>
      <c r="T935" t="b">
        <v>0</v>
      </c>
      <c r="U935" t="b">
        <v>1</v>
      </c>
      <c r="V935" t="b">
        <v>1</v>
      </c>
      <c r="W935" t="b">
        <v>0</v>
      </c>
      <c r="X935">
        <v>2.7</v>
      </c>
      <c r="Y935">
        <v>4.4000000000000004</v>
      </c>
      <c r="Z935">
        <v>9</v>
      </c>
      <c r="AA935">
        <v>2.8</v>
      </c>
      <c r="AB935" s="3">
        <v>154.85</v>
      </c>
      <c r="AC935" s="3"/>
      <c r="AD935">
        <v>15</v>
      </c>
      <c r="AE935" t="s">
        <v>58</v>
      </c>
      <c r="AF935" s="4"/>
    </row>
    <row r="936" spans="1:32" x14ac:dyDescent="0.3">
      <c r="A936" t="s">
        <v>1027</v>
      </c>
      <c r="B936">
        <v>20</v>
      </c>
      <c r="C936" t="str">
        <f t="shared" si="14"/>
        <v>Young Adults</v>
      </c>
      <c r="D936" t="s">
        <v>53</v>
      </c>
      <c r="E936">
        <v>6.1</v>
      </c>
      <c r="G936" t="s">
        <v>60</v>
      </c>
      <c r="H936" t="s">
        <v>96</v>
      </c>
      <c r="I936" t="s">
        <v>71</v>
      </c>
      <c r="J936">
        <v>6.3</v>
      </c>
      <c r="L936" t="s">
        <v>41</v>
      </c>
      <c r="M936" t="s">
        <v>42</v>
      </c>
      <c r="N936" t="s">
        <v>43</v>
      </c>
      <c r="O936">
        <v>3.58</v>
      </c>
      <c r="P936">
        <v>6</v>
      </c>
      <c r="Q936" t="s">
        <v>35</v>
      </c>
      <c r="R936" t="s">
        <v>57</v>
      </c>
      <c r="S936" t="b">
        <v>0</v>
      </c>
      <c r="T936" t="b">
        <v>1</v>
      </c>
      <c r="U936" t="b">
        <v>0</v>
      </c>
      <c r="V936" t="b">
        <v>1</v>
      </c>
      <c r="W936" t="b">
        <v>1</v>
      </c>
      <c r="X936">
        <v>0.2</v>
      </c>
      <c r="Y936">
        <v>8.4</v>
      </c>
      <c r="Z936">
        <v>3</v>
      </c>
      <c r="AA936">
        <v>7.8</v>
      </c>
      <c r="AB936" s="3">
        <v>135.6</v>
      </c>
      <c r="AC936" s="3"/>
      <c r="AD936">
        <v>2</v>
      </c>
      <c r="AE936" t="s">
        <v>64</v>
      </c>
      <c r="AF936" s="4"/>
    </row>
    <row r="937" spans="1:32" x14ac:dyDescent="0.3">
      <c r="A937" t="s">
        <v>1028</v>
      </c>
      <c r="B937">
        <v>20</v>
      </c>
      <c r="C937" t="str">
        <f t="shared" si="14"/>
        <v>Young Adults</v>
      </c>
      <c r="D937" t="s">
        <v>28</v>
      </c>
      <c r="E937">
        <v>9.8000000000000007</v>
      </c>
      <c r="G937" t="s">
        <v>82</v>
      </c>
      <c r="H937" t="s">
        <v>167</v>
      </c>
      <c r="I937" t="s">
        <v>71</v>
      </c>
      <c r="J937">
        <v>6</v>
      </c>
      <c r="L937" t="s">
        <v>41</v>
      </c>
      <c r="M937" t="s">
        <v>74</v>
      </c>
      <c r="N937" t="s">
        <v>51</v>
      </c>
      <c r="O937">
        <v>2.02</v>
      </c>
      <c r="P937">
        <v>6</v>
      </c>
      <c r="Q937" t="s">
        <v>35</v>
      </c>
      <c r="R937" t="s">
        <v>42</v>
      </c>
      <c r="S937" t="b">
        <v>1</v>
      </c>
      <c r="T937" t="b">
        <v>0</v>
      </c>
      <c r="U937" t="b">
        <v>1</v>
      </c>
      <c r="V937" t="b">
        <v>1</v>
      </c>
      <c r="W937" t="b">
        <v>1</v>
      </c>
      <c r="X937">
        <v>1.7</v>
      </c>
      <c r="Y937">
        <v>5.2</v>
      </c>
      <c r="Z937">
        <v>6</v>
      </c>
      <c r="AA937">
        <v>2</v>
      </c>
      <c r="AB937" s="3">
        <v>444.67</v>
      </c>
      <c r="AC937" s="3"/>
      <c r="AD937">
        <v>6</v>
      </c>
      <c r="AE937" t="s">
        <v>37</v>
      </c>
      <c r="AF937" s="4"/>
    </row>
    <row r="938" spans="1:32" x14ac:dyDescent="0.3">
      <c r="A938" t="s">
        <v>1029</v>
      </c>
      <c r="B938">
        <v>27</v>
      </c>
      <c r="C938" t="str">
        <f t="shared" si="14"/>
        <v>Young Adults</v>
      </c>
      <c r="D938" t="s">
        <v>28</v>
      </c>
      <c r="E938">
        <v>4.9000000000000004</v>
      </c>
      <c r="G938" t="s">
        <v>48</v>
      </c>
      <c r="H938" t="s">
        <v>128</v>
      </c>
      <c r="I938" t="s">
        <v>71</v>
      </c>
      <c r="J938">
        <v>6.1</v>
      </c>
      <c r="L938" t="s">
        <v>43</v>
      </c>
      <c r="M938" t="s">
        <v>33</v>
      </c>
      <c r="N938" t="s">
        <v>62</v>
      </c>
      <c r="P938">
        <v>8</v>
      </c>
      <c r="Q938" t="s">
        <v>105</v>
      </c>
      <c r="R938" t="s">
        <v>36</v>
      </c>
      <c r="S938" t="b">
        <v>0</v>
      </c>
      <c r="T938" t="b">
        <v>0</v>
      </c>
      <c r="U938" t="b">
        <v>0</v>
      </c>
      <c r="V938" t="b">
        <v>0</v>
      </c>
      <c r="W938" t="b">
        <v>0</v>
      </c>
      <c r="X938">
        <v>2.2000000000000002</v>
      </c>
      <c r="Y938">
        <v>6.7</v>
      </c>
      <c r="Z938">
        <v>2</v>
      </c>
      <c r="AA938">
        <v>6.4</v>
      </c>
      <c r="AB938" s="3">
        <v>36.17</v>
      </c>
      <c r="AC938" s="3"/>
      <c r="AD938">
        <v>14</v>
      </c>
      <c r="AE938" t="s">
        <v>46</v>
      </c>
      <c r="AF938" s="4"/>
    </row>
    <row r="939" spans="1:32" x14ac:dyDescent="0.3">
      <c r="A939" t="s">
        <v>1030</v>
      </c>
      <c r="B939">
        <v>22</v>
      </c>
      <c r="C939" t="str">
        <f t="shared" si="14"/>
        <v>Young Adults</v>
      </c>
      <c r="D939" t="s">
        <v>53</v>
      </c>
      <c r="E939">
        <v>3.4</v>
      </c>
      <c r="G939" t="s">
        <v>48</v>
      </c>
      <c r="H939" t="s">
        <v>214</v>
      </c>
      <c r="I939" t="s">
        <v>86</v>
      </c>
      <c r="J939">
        <v>7.3</v>
      </c>
      <c r="L939" t="s">
        <v>43</v>
      </c>
      <c r="M939" t="s">
        <v>42</v>
      </c>
      <c r="N939" t="s">
        <v>84</v>
      </c>
      <c r="O939">
        <v>2.91</v>
      </c>
      <c r="P939">
        <v>1</v>
      </c>
      <c r="Q939" t="s">
        <v>66</v>
      </c>
      <c r="R939" t="s">
        <v>36</v>
      </c>
      <c r="S939" t="b">
        <v>0</v>
      </c>
      <c r="T939" t="b">
        <v>0</v>
      </c>
      <c r="U939" t="b">
        <v>0</v>
      </c>
      <c r="V939" t="b">
        <v>0</v>
      </c>
      <c r="W939" t="b">
        <v>0</v>
      </c>
      <c r="X939">
        <v>0.2</v>
      </c>
      <c r="Y939">
        <v>9.3000000000000007</v>
      </c>
      <c r="Z939">
        <v>3</v>
      </c>
      <c r="AA939">
        <v>14.1</v>
      </c>
      <c r="AB939" s="3">
        <v>47.32</v>
      </c>
      <c r="AC939" s="3"/>
      <c r="AD939">
        <v>12</v>
      </c>
      <c r="AE939" t="s">
        <v>46</v>
      </c>
      <c r="AF939" s="4"/>
    </row>
    <row r="940" spans="1:32" x14ac:dyDescent="0.3">
      <c r="A940" t="s">
        <v>1031</v>
      </c>
      <c r="B940">
        <v>22</v>
      </c>
      <c r="C940" t="str">
        <f t="shared" si="14"/>
        <v>Young Adults</v>
      </c>
      <c r="D940" t="s">
        <v>28</v>
      </c>
      <c r="E940">
        <v>8.6</v>
      </c>
      <c r="G940" t="s">
        <v>60</v>
      </c>
      <c r="H940" t="s">
        <v>61</v>
      </c>
      <c r="I940" t="s">
        <v>86</v>
      </c>
      <c r="J940">
        <v>3.8</v>
      </c>
      <c r="L940" t="s">
        <v>32</v>
      </c>
      <c r="M940" t="s">
        <v>45</v>
      </c>
      <c r="N940" t="s">
        <v>34</v>
      </c>
      <c r="O940">
        <v>1.31</v>
      </c>
      <c r="P940">
        <v>6</v>
      </c>
      <c r="Q940" t="s">
        <v>44</v>
      </c>
      <c r="R940" t="s">
        <v>57</v>
      </c>
      <c r="S940" t="b">
        <v>1</v>
      </c>
      <c r="T940" t="b">
        <v>0</v>
      </c>
      <c r="U940" t="b">
        <v>0</v>
      </c>
      <c r="V940" t="b">
        <v>1</v>
      </c>
      <c r="W940" t="b">
        <v>0</v>
      </c>
      <c r="X940">
        <v>0.1</v>
      </c>
      <c r="Y940">
        <v>4.2</v>
      </c>
      <c r="Z940">
        <v>6</v>
      </c>
      <c r="AA940">
        <v>4.3</v>
      </c>
      <c r="AB940" s="3">
        <v>455.29</v>
      </c>
      <c r="AC940" s="3"/>
      <c r="AD940">
        <v>1</v>
      </c>
      <c r="AE940" t="s">
        <v>58</v>
      </c>
      <c r="AF940" s="4"/>
    </row>
    <row r="941" spans="1:32" x14ac:dyDescent="0.3">
      <c r="A941" t="s">
        <v>1032</v>
      </c>
      <c r="B941">
        <v>25</v>
      </c>
      <c r="C941" t="str">
        <f t="shared" si="14"/>
        <v>Young Adults</v>
      </c>
      <c r="D941" t="s">
        <v>28</v>
      </c>
      <c r="E941">
        <v>11.8</v>
      </c>
      <c r="G941" t="s">
        <v>54</v>
      </c>
      <c r="H941" t="s">
        <v>55</v>
      </c>
      <c r="I941" t="s">
        <v>31</v>
      </c>
      <c r="J941">
        <v>3.5</v>
      </c>
      <c r="L941" t="s">
        <v>51</v>
      </c>
      <c r="M941" t="s">
        <v>36</v>
      </c>
      <c r="N941" t="s">
        <v>129</v>
      </c>
      <c r="P941">
        <v>4</v>
      </c>
      <c r="Q941" t="s">
        <v>35</v>
      </c>
      <c r="R941" t="s">
        <v>42</v>
      </c>
      <c r="S941" t="b">
        <v>1</v>
      </c>
      <c r="T941" t="b">
        <v>1</v>
      </c>
      <c r="U941" t="b">
        <v>1</v>
      </c>
      <c r="V941" t="b">
        <v>1</v>
      </c>
      <c r="W941" t="b">
        <v>1</v>
      </c>
      <c r="X941">
        <v>7.6</v>
      </c>
      <c r="Y941">
        <v>2</v>
      </c>
      <c r="Z941">
        <v>8</v>
      </c>
      <c r="AA941">
        <v>0</v>
      </c>
      <c r="AB941" s="3">
        <v>227.37</v>
      </c>
      <c r="AC941" s="3"/>
      <c r="AD941">
        <v>14</v>
      </c>
      <c r="AE941" t="s">
        <v>37</v>
      </c>
      <c r="AF941" s="4"/>
    </row>
    <row r="942" spans="1:32" x14ac:dyDescent="0.3">
      <c r="A942" t="s">
        <v>1033</v>
      </c>
      <c r="B942">
        <v>24</v>
      </c>
      <c r="C942" t="str">
        <f t="shared" si="14"/>
        <v>Young Adults</v>
      </c>
      <c r="D942" t="s">
        <v>53</v>
      </c>
      <c r="E942">
        <v>5.4</v>
      </c>
      <c r="G942" t="s">
        <v>29</v>
      </c>
      <c r="H942" t="s">
        <v>118</v>
      </c>
      <c r="I942" t="s">
        <v>86</v>
      </c>
      <c r="J942">
        <v>5.7</v>
      </c>
      <c r="L942" t="s">
        <v>41</v>
      </c>
      <c r="M942" t="s">
        <v>42</v>
      </c>
      <c r="N942" t="s">
        <v>62</v>
      </c>
      <c r="P942">
        <v>9</v>
      </c>
      <c r="Q942" t="s">
        <v>44</v>
      </c>
      <c r="R942" t="s">
        <v>36</v>
      </c>
      <c r="S942" t="b">
        <v>0</v>
      </c>
      <c r="T942" t="b">
        <v>0</v>
      </c>
      <c r="U942" t="b">
        <v>0</v>
      </c>
      <c r="V942" t="b">
        <v>1</v>
      </c>
      <c r="W942" t="b">
        <v>0</v>
      </c>
      <c r="X942">
        <v>0.1</v>
      </c>
      <c r="Y942">
        <v>6.2</v>
      </c>
      <c r="Z942">
        <v>4</v>
      </c>
      <c r="AA942">
        <v>10.9</v>
      </c>
      <c r="AB942" s="3">
        <v>88.2</v>
      </c>
      <c r="AC942" s="3"/>
      <c r="AD942">
        <v>13</v>
      </c>
      <c r="AE942" t="s">
        <v>46</v>
      </c>
      <c r="AF942" s="4"/>
    </row>
    <row r="943" spans="1:32" x14ac:dyDescent="0.3">
      <c r="A943" t="s">
        <v>1034</v>
      </c>
      <c r="B943">
        <v>18</v>
      </c>
      <c r="C943" t="str">
        <f t="shared" si="14"/>
        <v>Teenager</v>
      </c>
      <c r="D943" t="s">
        <v>28</v>
      </c>
      <c r="E943">
        <v>3.8</v>
      </c>
      <c r="G943" t="s">
        <v>39</v>
      </c>
      <c r="H943" t="s">
        <v>93</v>
      </c>
      <c r="I943" t="s">
        <v>31</v>
      </c>
      <c r="J943">
        <v>6.8</v>
      </c>
      <c r="L943" t="s">
        <v>43</v>
      </c>
      <c r="M943" t="s">
        <v>33</v>
      </c>
      <c r="N943" t="s">
        <v>62</v>
      </c>
      <c r="O943">
        <v>3.48</v>
      </c>
      <c r="Q943" t="s">
        <v>66</v>
      </c>
      <c r="R943" t="s">
        <v>33</v>
      </c>
      <c r="S943" t="b">
        <v>0</v>
      </c>
      <c r="T943" t="b">
        <v>0</v>
      </c>
      <c r="U943" t="b">
        <v>0</v>
      </c>
      <c r="V943" t="b">
        <v>0</v>
      </c>
      <c r="W943" t="b">
        <v>0</v>
      </c>
      <c r="X943">
        <v>0.9</v>
      </c>
      <c r="Y943">
        <v>8.8000000000000007</v>
      </c>
      <c r="Z943">
        <v>1</v>
      </c>
      <c r="AA943">
        <v>12.8</v>
      </c>
      <c r="AB943" s="3">
        <v>46.64</v>
      </c>
      <c r="AC943" s="3"/>
      <c r="AD943">
        <v>3</v>
      </c>
      <c r="AE943" t="s">
        <v>46</v>
      </c>
      <c r="AF943" s="4"/>
    </row>
    <row r="944" spans="1:32" x14ac:dyDescent="0.3">
      <c r="A944" t="s">
        <v>1035</v>
      </c>
      <c r="B944">
        <v>16</v>
      </c>
      <c r="C944" t="str">
        <f t="shared" si="14"/>
        <v>Teenager</v>
      </c>
      <c r="D944" t="s">
        <v>28</v>
      </c>
      <c r="E944">
        <v>8.6999999999999993</v>
      </c>
      <c r="G944" t="s">
        <v>76</v>
      </c>
      <c r="H944" t="s">
        <v>126</v>
      </c>
      <c r="I944" t="s">
        <v>31</v>
      </c>
      <c r="J944">
        <v>4.3</v>
      </c>
      <c r="L944" t="s">
        <v>41</v>
      </c>
      <c r="M944" t="s">
        <v>74</v>
      </c>
      <c r="N944" t="s">
        <v>34</v>
      </c>
      <c r="O944">
        <v>1.65</v>
      </c>
      <c r="Q944" t="s">
        <v>80</v>
      </c>
      <c r="R944" t="s">
        <v>33</v>
      </c>
      <c r="S944" t="b">
        <v>1</v>
      </c>
      <c r="T944" t="b">
        <v>0</v>
      </c>
      <c r="U944" t="b">
        <v>0</v>
      </c>
      <c r="V944" t="b">
        <v>1</v>
      </c>
      <c r="W944" t="b">
        <v>0</v>
      </c>
      <c r="X944">
        <v>2.1</v>
      </c>
      <c r="Y944">
        <v>4.5999999999999996</v>
      </c>
      <c r="Z944">
        <v>7</v>
      </c>
      <c r="AA944">
        <v>5.0999999999999996</v>
      </c>
      <c r="AB944" s="3">
        <v>466.73</v>
      </c>
      <c r="AC944" s="3"/>
      <c r="AD944">
        <v>5</v>
      </c>
      <c r="AE944" t="s">
        <v>58</v>
      </c>
      <c r="AF944" s="4"/>
    </row>
    <row r="945" spans="1:32" x14ac:dyDescent="0.3">
      <c r="A945" t="s">
        <v>1036</v>
      </c>
      <c r="B945">
        <v>19</v>
      </c>
      <c r="C945" t="str">
        <f t="shared" si="14"/>
        <v>Teenager</v>
      </c>
      <c r="D945" t="s">
        <v>28</v>
      </c>
      <c r="E945">
        <v>11.3</v>
      </c>
      <c r="G945" t="s">
        <v>60</v>
      </c>
      <c r="H945" t="s">
        <v>200</v>
      </c>
      <c r="I945" t="s">
        <v>31</v>
      </c>
      <c r="J945">
        <v>4.5</v>
      </c>
      <c r="L945" t="s">
        <v>32</v>
      </c>
      <c r="M945" t="s">
        <v>33</v>
      </c>
      <c r="N945" t="s">
        <v>62</v>
      </c>
      <c r="O945">
        <v>2.06</v>
      </c>
      <c r="P945">
        <v>7</v>
      </c>
      <c r="Q945" t="s">
        <v>35</v>
      </c>
      <c r="R945" t="s">
        <v>33</v>
      </c>
      <c r="S945" t="b">
        <v>1</v>
      </c>
      <c r="T945" t="b">
        <v>0</v>
      </c>
      <c r="U945" t="b">
        <v>1</v>
      </c>
      <c r="V945" t="b">
        <v>1</v>
      </c>
      <c r="W945" t="b">
        <v>0</v>
      </c>
      <c r="X945">
        <v>6.8</v>
      </c>
      <c r="Y945">
        <v>3.4</v>
      </c>
      <c r="Z945">
        <v>6</v>
      </c>
      <c r="AA945">
        <v>1.1000000000000001</v>
      </c>
      <c r="AB945" s="3">
        <v>446.72</v>
      </c>
      <c r="AC945" s="3"/>
      <c r="AD945">
        <v>3</v>
      </c>
      <c r="AE945" t="s">
        <v>37</v>
      </c>
      <c r="AF945" s="4"/>
    </row>
    <row r="946" spans="1:32" x14ac:dyDescent="0.3">
      <c r="A946" t="s">
        <v>1037</v>
      </c>
      <c r="B946">
        <v>25</v>
      </c>
      <c r="C946" t="str">
        <f t="shared" si="14"/>
        <v>Young Adults</v>
      </c>
      <c r="D946" t="s">
        <v>53</v>
      </c>
      <c r="E946">
        <v>3.7</v>
      </c>
      <c r="G946" t="s">
        <v>48</v>
      </c>
      <c r="H946" t="s">
        <v>214</v>
      </c>
      <c r="I946" t="s">
        <v>86</v>
      </c>
      <c r="J946">
        <v>6.8</v>
      </c>
      <c r="L946" t="s">
        <v>43</v>
      </c>
      <c r="M946" t="s">
        <v>45</v>
      </c>
      <c r="N946" t="s">
        <v>62</v>
      </c>
      <c r="P946">
        <v>5</v>
      </c>
      <c r="Q946" t="s">
        <v>35</v>
      </c>
      <c r="R946" t="s">
        <v>33</v>
      </c>
      <c r="S946" t="b">
        <v>0</v>
      </c>
      <c r="T946" t="b">
        <v>0</v>
      </c>
      <c r="U946" t="b">
        <v>0</v>
      </c>
      <c r="V946" t="b">
        <v>0</v>
      </c>
      <c r="W946" t="b">
        <v>0</v>
      </c>
      <c r="X946">
        <v>0.4</v>
      </c>
      <c r="Y946">
        <v>8.1999999999999993</v>
      </c>
      <c r="Z946">
        <v>2</v>
      </c>
      <c r="AA946">
        <v>9.1999999999999993</v>
      </c>
      <c r="AB946" s="3">
        <v>27.83</v>
      </c>
      <c r="AC946" s="3"/>
      <c r="AD946">
        <v>10</v>
      </c>
      <c r="AE946" t="s">
        <v>46</v>
      </c>
      <c r="AF946" s="4"/>
    </row>
    <row r="947" spans="1:32" x14ac:dyDescent="0.3">
      <c r="A947" t="s">
        <v>1038</v>
      </c>
      <c r="B947">
        <v>23</v>
      </c>
      <c r="C947" t="str">
        <f t="shared" si="14"/>
        <v>Young Adults</v>
      </c>
      <c r="D947" t="s">
        <v>28</v>
      </c>
      <c r="E947">
        <v>2.5</v>
      </c>
      <c r="G947" t="s">
        <v>48</v>
      </c>
      <c r="H947" t="s">
        <v>128</v>
      </c>
      <c r="I947" t="s">
        <v>71</v>
      </c>
      <c r="J947">
        <v>8.1999999999999993</v>
      </c>
      <c r="L947" t="s">
        <v>43</v>
      </c>
      <c r="M947" t="s">
        <v>33</v>
      </c>
      <c r="N947" t="s">
        <v>43</v>
      </c>
      <c r="P947">
        <v>8</v>
      </c>
      <c r="Q947" t="s">
        <v>66</v>
      </c>
      <c r="R947" t="s">
        <v>45</v>
      </c>
      <c r="S947" t="b">
        <v>0</v>
      </c>
      <c r="T947" t="b">
        <v>0</v>
      </c>
      <c r="U947" t="b">
        <v>0</v>
      </c>
      <c r="V947" t="b">
        <v>0</v>
      </c>
      <c r="W947" t="b">
        <v>0</v>
      </c>
      <c r="X947">
        <v>0.7</v>
      </c>
      <c r="Y947">
        <v>10.199999999999999</v>
      </c>
      <c r="Z947">
        <v>1</v>
      </c>
      <c r="AA947">
        <v>11.1</v>
      </c>
      <c r="AB947" s="3">
        <v>16.97</v>
      </c>
      <c r="AC947" s="3"/>
      <c r="AD947">
        <v>4</v>
      </c>
      <c r="AE947" t="s">
        <v>46</v>
      </c>
      <c r="AF947" s="4"/>
    </row>
    <row r="948" spans="1:32" x14ac:dyDescent="0.3">
      <c r="A948" t="s">
        <v>1039</v>
      </c>
      <c r="B948">
        <v>33</v>
      </c>
      <c r="C948" t="str">
        <f t="shared" si="14"/>
        <v>Old Adults</v>
      </c>
      <c r="D948" t="s">
        <v>28</v>
      </c>
      <c r="E948">
        <v>8.9</v>
      </c>
      <c r="G948" t="s">
        <v>39</v>
      </c>
      <c r="H948" t="s">
        <v>40</v>
      </c>
      <c r="I948" t="s">
        <v>50</v>
      </c>
      <c r="J948">
        <v>5.5</v>
      </c>
      <c r="L948" t="s">
        <v>51</v>
      </c>
      <c r="M948" t="s">
        <v>74</v>
      </c>
      <c r="N948" t="s">
        <v>34</v>
      </c>
      <c r="P948">
        <v>6</v>
      </c>
      <c r="Q948" t="s">
        <v>44</v>
      </c>
      <c r="R948" t="s">
        <v>36</v>
      </c>
      <c r="S948" t="b">
        <v>1</v>
      </c>
      <c r="T948" t="b">
        <v>0</v>
      </c>
      <c r="U948" t="b">
        <v>0</v>
      </c>
      <c r="V948" t="b">
        <v>1</v>
      </c>
      <c r="W948" t="b">
        <v>1</v>
      </c>
      <c r="X948">
        <v>5.3</v>
      </c>
      <c r="Y948">
        <v>7.5</v>
      </c>
      <c r="Z948">
        <v>4</v>
      </c>
      <c r="AA948">
        <v>3.6</v>
      </c>
      <c r="AB948" s="3">
        <v>129.13</v>
      </c>
      <c r="AC948" s="3"/>
      <c r="AD948">
        <v>1</v>
      </c>
      <c r="AE948" t="s">
        <v>58</v>
      </c>
      <c r="AF948" s="4"/>
    </row>
    <row r="949" spans="1:32" x14ac:dyDescent="0.3">
      <c r="A949" t="s">
        <v>1040</v>
      </c>
      <c r="B949">
        <v>29</v>
      </c>
      <c r="C949" t="str">
        <f t="shared" si="14"/>
        <v>Young Adults</v>
      </c>
      <c r="D949" t="s">
        <v>28</v>
      </c>
      <c r="E949">
        <v>3.3</v>
      </c>
      <c r="G949" t="s">
        <v>82</v>
      </c>
      <c r="H949" t="s">
        <v>167</v>
      </c>
      <c r="I949" t="s">
        <v>86</v>
      </c>
      <c r="J949">
        <v>8.5</v>
      </c>
      <c r="L949" t="s">
        <v>43</v>
      </c>
      <c r="M949" t="s">
        <v>74</v>
      </c>
      <c r="N949" t="s">
        <v>84</v>
      </c>
      <c r="P949">
        <v>1</v>
      </c>
      <c r="Q949" t="s">
        <v>69</v>
      </c>
      <c r="R949" t="s">
        <v>45</v>
      </c>
      <c r="S949" t="b">
        <v>0</v>
      </c>
      <c r="T949" t="b">
        <v>0</v>
      </c>
      <c r="U949" t="b">
        <v>0</v>
      </c>
      <c r="V949" t="b">
        <v>0</v>
      </c>
      <c r="W949" t="b">
        <v>0</v>
      </c>
      <c r="X949">
        <v>0.2</v>
      </c>
      <c r="Y949">
        <v>7.3</v>
      </c>
      <c r="Z949">
        <v>3</v>
      </c>
      <c r="AA949">
        <v>13.4</v>
      </c>
      <c r="AB949" s="3">
        <v>24</v>
      </c>
      <c r="AC949" s="3"/>
      <c r="AD949">
        <v>17</v>
      </c>
      <c r="AE949" t="s">
        <v>46</v>
      </c>
      <c r="AF949" s="4"/>
    </row>
    <row r="950" spans="1:32" x14ac:dyDescent="0.3">
      <c r="A950" t="s">
        <v>1041</v>
      </c>
      <c r="B950">
        <v>19</v>
      </c>
      <c r="C950" t="str">
        <f t="shared" si="14"/>
        <v>Teenager</v>
      </c>
      <c r="D950" t="s">
        <v>28</v>
      </c>
      <c r="E950">
        <v>7.7</v>
      </c>
      <c r="G950" t="s">
        <v>29</v>
      </c>
      <c r="H950" t="s">
        <v>118</v>
      </c>
      <c r="I950" t="s">
        <v>50</v>
      </c>
      <c r="J950">
        <v>3.9</v>
      </c>
      <c r="L950" t="s">
        <v>51</v>
      </c>
      <c r="M950" t="s">
        <v>33</v>
      </c>
      <c r="N950" t="s">
        <v>34</v>
      </c>
      <c r="O950">
        <v>2.5299999999999998</v>
      </c>
      <c r="P950">
        <v>1</v>
      </c>
      <c r="Q950" t="s">
        <v>44</v>
      </c>
      <c r="R950" t="s">
        <v>42</v>
      </c>
      <c r="S950" t="b">
        <v>1</v>
      </c>
      <c r="T950" t="b">
        <v>1</v>
      </c>
      <c r="U950" t="b">
        <v>0</v>
      </c>
      <c r="V950" t="b">
        <v>0</v>
      </c>
      <c r="W950" t="b">
        <v>0</v>
      </c>
      <c r="X950">
        <v>2.7</v>
      </c>
      <c r="Y950">
        <v>7.9</v>
      </c>
      <c r="Z950">
        <v>6</v>
      </c>
      <c r="AA950">
        <v>6.4</v>
      </c>
      <c r="AB950" s="3">
        <v>67.61</v>
      </c>
      <c r="AC950" s="3"/>
      <c r="AD950">
        <v>6</v>
      </c>
      <c r="AE950" t="s">
        <v>58</v>
      </c>
      <c r="AF950" s="4"/>
    </row>
    <row r="951" spans="1:32" x14ac:dyDescent="0.3">
      <c r="A951" t="s">
        <v>1042</v>
      </c>
      <c r="B951">
        <v>19</v>
      </c>
      <c r="C951" t="str">
        <f t="shared" si="14"/>
        <v>Teenager</v>
      </c>
      <c r="D951" t="s">
        <v>28</v>
      </c>
      <c r="E951">
        <v>1.1000000000000001</v>
      </c>
      <c r="G951" t="s">
        <v>29</v>
      </c>
      <c r="H951" t="s">
        <v>104</v>
      </c>
      <c r="I951" t="s">
        <v>86</v>
      </c>
      <c r="J951">
        <v>7.7</v>
      </c>
      <c r="L951" t="s">
        <v>43</v>
      </c>
      <c r="M951" t="s">
        <v>45</v>
      </c>
      <c r="N951" t="s">
        <v>84</v>
      </c>
      <c r="O951">
        <v>1.78</v>
      </c>
      <c r="P951">
        <v>4</v>
      </c>
      <c r="Q951" t="s">
        <v>35</v>
      </c>
      <c r="R951" t="s">
        <v>45</v>
      </c>
      <c r="S951" t="b">
        <v>0</v>
      </c>
      <c r="T951" t="b">
        <v>0</v>
      </c>
      <c r="U951" t="b">
        <v>0</v>
      </c>
      <c r="V951" t="b">
        <v>0</v>
      </c>
      <c r="W951" t="b">
        <v>0</v>
      </c>
      <c r="X951">
        <v>0.2</v>
      </c>
      <c r="Y951">
        <v>7.6</v>
      </c>
      <c r="Z951">
        <v>1</v>
      </c>
      <c r="AA951">
        <v>12.4</v>
      </c>
      <c r="AB951" s="3">
        <v>5.41</v>
      </c>
      <c r="AC951" s="3"/>
      <c r="AD951">
        <v>2</v>
      </c>
      <c r="AE951" t="s">
        <v>46</v>
      </c>
      <c r="AF951" s="4"/>
    </row>
    <row r="952" spans="1:32" x14ac:dyDescent="0.3">
      <c r="A952" t="s">
        <v>1043</v>
      </c>
      <c r="B952">
        <v>24</v>
      </c>
      <c r="C952" t="str">
        <f t="shared" si="14"/>
        <v>Young Adults</v>
      </c>
      <c r="D952" t="s">
        <v>53</v>
      </c>
      <c r="E952">
        <v>7.2</v>
      </c>
      <c r="G952" t="s">
        <v>39</v>
      </c>
      <c r="H952" t="s">
        <v>40</v>
      </c>
      <c r="I952" t="s">
        <v>86</v>
      </c>
      <c r="J952">
        <v>3.5</v>
      </c>
      <c r="L952" t="s">
        <v>51</v>
      </c>
      <c r="M952" t="s">
        <v>33</v>
      </c>
      <c r="N952" t="s">
        <v>51</v>
      </c>
      <c r="P952">
        <v>7</v>
      </c>
      <c r="Q952" t="s">
        <v>44</v>
      </c>
      <c r="R952" t="s">
        <v>36</v>
      </c>
      <c r="S952" t="b">
        <v>1</v>
      </c>
      <c r="T952" t="b">
        <v>0</v>
      </c>
      <c r="U952" t="b">
        <v>0</v>
      </c>
      <c r="V952" t="b">
        <v>1</v>
      </c>
      <c r="W952" t="b">
        <v>1</v>
      </c>
      <c r="X952">
        <v>2.6</v>
      </c>
      <c r="Y952">
        <v>7.2</v>
      </c>
      <c r="Z952">
        <v>4</v>
      </c>
      <c r="AA952">
        <v>8.3000000000000007</v>
      </c>
      <c r="AB952" s="3">
        <v>141.29</v>
      </c>
      <c r="AC952" s="3"/>
      <c r="AD952">
        <v>3</v>
      </c>
      <c r="AE952" t="s">
        <v>64</v>
      </c>
      <c r="AF952" s="4"/>
    </row>
    <row r="953" spans="1:32" x14ac:dyDescent="0.3">
      <c r="A953" t="s">
        <v>1044</v>
      </c>
      <c r="B953">
        <v>21</v>
      </c>
      <c r="C953" t="str">
        <f t="shared" si="14"/>
        <v>Young Adults</v>
      </c>
      <c r="D953" t="s">
        <v>28</v>
      </c>
      <c r="E953">
        <v>8.3000000000000007</v>
      </c>
      <c r="G953" t="s">
        <v>48</v>
      </c>
      <c r="H953" t="s">
        <v>214</v>
      </c>
      <c r="I953" t="s">
        <v>50</v>
      </c>
      <c r="J953">
        <v>3.7</v>
      </c>
      <c r="L953" t="s">
        <v>51</v>
      </c>
      <c r="M953" t="s">
        <v>36</v>
      </c>
      <c r="N953" t="s">
        <v>129</v>
      </c>
      <c r="O953">
        <v>1.1200000000000001</v>
      </c>
      <c r="P953">
        <v>1</v>
      </c>
      <c r="Q953" t="s">
        <v>44</v>
      </c>
      <c r="R953" t="s">
        <v>45</v>
      </c>
      <c r="S953" t="b">
        <v>0</v>
      </c>
      <c r="T953" t="b">
        <v>0</v>
      </c>
      <c r="U953" t="b">
        <v>1</v>
      </c>
      <c r="V953" t="b">
        <v>1</v>
      </c>
      <c r="W953" t="b">
        <v>0</v>
      </c>
      <c r="X953">
        <v>0.7</v>
      </c>
      <c r="Y953">
        <v>6.8</v>
      </c>
      <c r="Z953">
        <v>7</v>
      </c>
      <c r="AA953">
        <v>2.7</v>
      </c>
      <c r="AB953" s="3">
        <v>17.93</v>
      </c>
      <c r="AC953" s="3"/>
      <c r="AD953">
        <v>5</v>
      </c>
      <c r="AE953" t="s">
        <v>64</v>
      </c>
      <c r="AF953" s="4"/>
    </row>
    <row r="954" spans="1:32" x14ac:dyDescent="0.3">
      <c r="A954" t="s">
        <v>1045</v>
      </c>
      <c r="B954">
        <v>20</v>
      </c>
      <c r="C954" t="str">
        <f t="shared" si="14"/>
        <v>Young Adults</v>
      </c>
      <c r="D954" t="s">
        <v>28</v>
      </c>
      <c r="E954">
        <v>2.8</v>
      </c>
      <c r="G954" t="s">
        <v>48</v>
      </c>
      <c r="H954" t="s">
        <v>68</v>
      </c>
      <c r="I954" t="s">
        <v>71</v>
      </c>
      <c r="J954">
        <v>8.1999999999999993</v>
      </c>
      <c r="L954" t="s">
        <v>41</v>
      </c>
      <c r="M954" t="s">
        <v>42</v>
      </c>
      <c r="N954" t="s">
        <v>43</v>
      </c>
      <c r="O954">
        <v>1.64</v>
      </c>
      <c r="P954">
        <v>1</v>
      </c>
      <c r="Q954" t="s">
        <v>66</v>
      </c>
      <c r="R954" t="s">
        <v>36</v>
      </c>
      <c r="S954" t="b">
        <v>0</v>
      </c>
      <c r="T954" t="b">
        <v>0</v>
      </c>
      <c r="U954" t="b">
        <v>0</v>
      </c>
      <c r="V954" t="b">
        <v>0</v>
      </c>
      <c r="W954" t="b">
        <v>0</v>
      </c>
      <c r="X954">
        <v>2.2999999999999998</v>
      </c>
      <c r="Y954">
        <v>6.9</v>
      </c>
      <c r="Z954">
        <v>1</v>
      </c>
      <c r="AA954">
        <v>11.5</v>
      </c>
      <c r="AB954" s="3">
        <v>18.690000000000001</v>
      </c>
      <c r="AC954" s="3"/>
      <c r="AD954">
        <v>9</v>
      </c>
      <c r="AE954" t="s">
        <v>46</v>
      </c>
      <c r="AF954" s="4"/>
    </row>
    <row r="955" spans="1:32" x14ac:dyDescent="0.3">
      <c r="A955" t="s">
        <v>1046</v>
      </c>
      <c r="B955">
        <v>22</v>
      </c>
      <c r="C955" t="str">
        <f t="shared" si="14"/>
        <v>Young Adults</v>
      </c>
      <c r="D955" t="s">
        <v>53</v>
      </c>
      <c r="E955">
        <v>5.5</v>
      </c>
      <c r="G955" t="s">
        <v>54</v>
      </c>
      <c r="H955" t="s">
        <v>98</v>
      </c>
      <c r="I955" t="s">
        <v>50</v>
      </c>
      <c r="J955">
        <v>5</v>
      </c>
      <c r="L955" t="s">
        <v>51</v>
      </c>
      <c r="M955" t="s">
        <v>45</v>
      </c>
      <c r="N955" t="s">
        <v>43</v>
      </c>
      <c r="O955">
        <v>3.13</v>
      </c>
      <c r="P955">
        <v>2</v>
      </c>
      <c r="Q955" t="s">
        <v>63</v>
      </c>
      <c r="R955" t="s">
        <v>57</v>
      </c>
      <c r="S955" t="b">
        <v>0</v>
      </c>
      <c r="T955" t="b">
        <v>0</v>
      </c>
      <c r="U955" t="b">
        <v>0</v>
      </c>
      <c r="V955" t="b">
        <v>1</v>
      </c>
      <c r="W955" t="b">
        <v>0</v>
      </c>
      <c r="X955">
        <v>1.5</v>
      </c>
      <c r="Y955">
        <v>9.3000000000000007</v>
      </c>
      <c r="Z955">
        <v>3</v>
      </c>
      <c r="AA955">
        <v>11.8</v>
      </c>
      <c r="AB955" s="3">
        <v>33.67</v>
      </c>
      <c r="AC955" s="3"/>
      <c r="AD955">
        <v>10</v>
      </c>
      <c r="AE955" t="s">
        <v>46</v>
      </c>
      <c r="AF955" s="4"/>
    </row>
    <row r="956" spans="1:32" x14ac:dyDescent="0.3">
      <c r="A956" t="s">
        <v>1047</v>
      </c>
      <c r="B956">
        <v>26</v>
      </c>
      <c r="C956" t="str">
        <f t="shared" si="14"/>
        <v>Young Adults</v>
      </c>
      <c r="D956" t="s">
        <v>28</v>
      </c>
      <c r="E956">
        <v>5.7</v>
      </c>
      <c r="G956" t="s">
        <v>54</v>
      </c>
      <c r="H956" t="s">
        <v>89</v>
      </c>
      <c r="I956" t="s">
        <v>50</v>
      </c>
      <c r="J956">
        <v>5.4</v>
      </c>
      <c r="L956" t="s">
        <v>51</v>
      </c>
      <c r="M956" t="s">
        <v>36</v>
      </c>
      <c r="N956" t="s">
        <v>43</v>
      </c>
      <c r="P956">
        <v>8</v>
      </c>
      <c r="Q956" t="s">
        <v>44</v>
      </c>
      <c r="R956" t="s">
        <v>57</v>
      </c>
      <c r="S956" t="b">
        <v>0</v>
      </c>
      <c r="T956" t="b">
        <v>1</v>
      </c>
      <c r="U956" t="b">
        <v>0</v>
      </c>
      <c r="V956" t="b">
        <v>0</v>
      </c>
      <c r="W956" t="b">
        <v>1</v>
      </c>
      <c r="X956">
        <v>1.4</v>
      </c>
      <c r="Y956">
        <v>7.6</v>
      </c>
      <c r="Z956">
        <v>3</v>
      </c>
      <c r="AA956">
        <v>10.4</v>
      </c>
      <c r="AB956" s="3">
        <v>96.14</v>
      </c>
      <c r="AC956" s="3"/>
      <c r="AD956">
        <v>5</v>
      </c>
      <c r="AE956" t="s">
        <v>64</v>
      </c>
      <c r="AF956" s="4"/>
    </row>
    <row r="957" spans="1:32" x14ac:dyDescent="0.3">
      <c r="A957" t="s">
        <v>1048</v>
      </c>
      <c r="B957">
        <v>23</v>
      </c>
      <c r="C957" t="str">
        <f t="shared" si="14"/>
        <v>Young Adults</v>
      </c>
      <c r="D957" t="s">
        <v>152</v>
      </c>
      <c r="E957">
        <v>6</v>
      </c>
      <c r="G957" t="s">
        <v>60</v>
      </c>
      <c r="H957" t="s">
        <v>200</v>
      </c>
      <c r="I957" t="s">
        <v>31</v>
      </c>
      <c r="J957">
        <v>6.2</v>
      </c>
      <c r="L957" t="s">
        <v>41</v>
      </c>
      <c r="M957" t="s">
        <v>74</v>
      </c>
      <c r="N957" t="s">
        <v>34</v>
      </c>
      <c r="P957">
        <v>2</v>
      </c>
      <c r="Q957" t="s">
        <v>56</v>
      </c>
      <c r="R957" t="s">
        <v>33</v>
      </c>
      <c r="S957" t="b">
        <v>0</v>
      </c>
      <c r="T957" t="b">
        <v>0</v>
      </c>
      <c r="U957" t="b">
        <v>0</v>
      </c>
      <c r="V957" t="b">
        <v>1</v>
      </c>
      <c r="W957" t="b">
        <v>1</v>
      </c>
      <c r="X957">
        <v>1.4</v>
      </c>
      <c r="Y957">
        <v>6.8</v>
      </c>
      <c r="Z957">
        <v>4</v>
      </c>
      <c r="AA957">
        <v>5.9</v>
      </c>
      <c r="AB957" s="3">
        <v>28.31</v>
      </c>
      <c r="AC957" s="3"/>
      <c r="AD957">
        <v>11</v>
      </c>
      <c r="AE957" t="s">
        <v>46</v>
      </c>
      <c r="AF957" s="4"/>
    </row>
    <row r="958" spans="1:32" x14ac:dyDescent="0.3">
      <c r="A958" t="s">
        <v>1049</v>
      </c>
      <c r="B958">
        <v>21</v>
      </c>
      <c r="C958" t="str">
        <f t="shared" si="14"/>
        <v>Young Adults</v>
      </c>
      <c r="D958" t="s">
        <v>28</v>
      </c>
      <c r="E958">
        <v>5.9</v>
      </c>
      <c r="G958" t="s">
        <v>76</v>
      </c>
      <c r="H958" t="s">
        <v>77</v>
      </c>
      <c r="I958" t="s">
        <v>86</v>
      </c>
      <c r="J958">
        <v>6.2</v>
      </c>
      <c r="L958" t="s">
        <v>78</v>
      </c>
      <c r="M958" t="s">
        <v>33</v>
      </c>
      <c r="N958" t="s">
        <v>34</v>
      </c>
      <c r="O958">
        <v>2.35</v>
      </c>
      <c r="P958">
        <v>5</v>
      </c>
      <c r="Q958" t="s">
        <v>63</v>
      </c>
      <c r="R958" t="s">
        <v>42</v>
      </c>
      <c r="S958" t="b">
        <v>0</v>
      </c>
      <c r="T958" t="b">
        <v>1</v>
      </c>
      <c r="U958" t="b">
        <v>0</v>
      </c>
      <c r="V958" t="b">
        <v>1</v>
      </c>
      <c r="W958" t="b">
        <v>1</v>
      </c>
      <c r="X958">
        <v>0.5</v>
      </c>
      <c r="Y958">
        <v>7.9</v>
      </c>
      <c r="Z958">
        <v>3</v>
      </c>
      <c r="AA958">
        <v>5.8</v>
      </c>
      <c r="AB958" s="3">
        <v>142.99</v>
      </c>
      <c r="AC958" s="3"/>
      <c r="AD958">
        <v>3</v>
      </c>
      <c r="AE958" t="s">
        <v>64</v>
      </c>
      <c r="AF958" s="4"/>
    </row>
    <row r="959" spans="1:32" x14ac:dyDescent="0.3">
      <c r="A959" t="s">
        <v>1050</v>
      </c>
      <c r="B959">
        <v>20</v>
      </c>
      <c r="C959" t="str">
        <f t="shared" si="14"/>
        <v>Young Adults</v>
      </c>
      <c r="D959" t="s">
        <v>28</v>
      </c>
      <c r="E959">
        <v>7.7</v>
      </c>
      <c r="G959" t="s">
        <v>54</v>
      </c>
      <c r="H959" t="s">
        <v>89</v>
      </c>
      <c r="I959" t="s">
        <v>86</v>
      </c>
      <c r="J959">
        <v>5.2</v>
      </c>
      <c r="L959" t="s">
        <v>32</v>
      </c>
      <c r="M959" t="s">
        <v>36</v>
      </c>
      <c r="N959" t="s">
        <v>34</v>
      </c>
      <c r="O959">
        <v>3.71</v>
      </c>
      <c r="P959">
        <v>2</v>
      </c>
      <c r="Q959" t="s">
        <v>44</v>
      </c>
      <c r="R959" t="s">
        <v>36</v>
      </c>
      <c r="S959" t="b">
        <v>1</v>
      </c>
      <c r="T959" t="b">
        <v>0</v>
      </c>
      <c r="U959" t="b">
        <v>1</v>
      </c>
      <c r="V959" t="b">
        <v>1</v>
      </c>
      <c r="W959" t="b">
        <v>0</v>
      </c>
      <c r="X959">
        <v>0.4</v>
      </c>
      <c r="Y959">
        <v>6.2</v>
      </c>
      <c r="Z959">
        <v>6</v>
      </c>
      <c r="AA959">
        <v>7.7</v>
      </c>
      <c r="AB959" s="3">
        <v>37.020000000000003</v>
      </c>
      <c r="AC959" s="3"/>
      <c r="AD959">
        <v>5</v>
      </c>
      <c r="AE959" t="s">
        <v>58</v>
      </c>
      <c r="AF959" s="4"/>
    </row>
    <row r="960" spans="1:32" x14ac:dyDescent="0.3">
      <c r="A960" t="s">
        <v>1051</v>
      </c>
      <c r="B960">
        <v>25</v>
      </c>
      <c r="C960" t="str">
        <f t="shared" si="14"/>
        <v>Young Adults</v>
      </c>
      <c r="D960" t="s">
        <v>28</v>
      </c>
      <c r="E960">
        <v>4.9000000000000004</v>
      </c>
      <c r="G960" t="s">
        <v>60</v>
      </c>
      <c r="H960" t="s">
        <v>200</v>
      </c>
      <c r="I960" t="s">
        <v>31</v>
      </c>
      <c r="J960">
        <v>6.6</v>
      </c>
      <c r="L960" t="s">
        <v>41</v>
      </c>
      <c r="M960" t="s">
        <v>45</v>
      </c>
      <c r="N960" t="s">
        <v>62</v>
      </c>
      <c r="P960">
        <v>2</v>
      </c>
      <c r="Q960" t="s">
        <v>35</v>
      </c>
      <c r="R960" t="s">
        <v>33</v>
      </c>
      <c r="S960" t="b">
        <v>0</v>
      </c>
      <c r="T960" t="b">
        <v>0</v>
      </c>
      <c r="U960" t="b">
        <v>0</v>
      </c>
      <c r="V960" t="b">
        <v>1</v>
      </c>
      <c r="W960" t="b">
        <v>0</v>
      </c>
      <c r="X960">
        <v>1.2</v>
      </c>
      <c r="Y960">
        <v>6.1</v>
      </c>
      <c r="Z960">
        <v>3</v>
      </c>
      <c r="AA960">
        <v>10.7</v>
      </c>
      <c r="AB960" s="3">
        <v>21.48</v>
      </c>
      <c r="AC960" s="3"/>
      <c r="AD960">
        <v>9</v>
      </c>
      <c r="AE960" t="s">
        <v>46</v>
      </c>
      <c r="AF960" s="4"/>
    </row>
    <row r="961" spans="1:32" x14ac:dyDescent="0.3">
      <c r="A961" t="s">
        <v>1052</v>
      </c>
      <c r="B961">
        <v>16</v>
      </c>
      <c r="C961" t="str">
        <f t="shared" si="14"/>
        <v>Teenager</v>
      </c>
      <c r="D961" t="s">
        <v>28</v>
      </c>
      <c r="E961">
        <v>7.6</v>
      </c>
      <c r="G961" t="s">
        <v>48</v>
      </c>
      <c r="H961" t="s">
        <v>49</v>
      </c>
      <c r="I961" t="s">
        <v>50</v>
      </c>
      <c r="J961">
        <v>4</v>
      </c>
      <c r="L961" t="s">
        <v>51</v>
      </c>
      <c r="M961" t="s">
        <v>33</v>
      </c>
      <c r="N961" t="s">
        <v>51</v>
      </c>
      <c r="O961">
        <v>1.6</v>
      </c>
      <c r="Q961" t="s">
        <v>35</v>
      </c>
      <c r="R961" t="s">
        <v>57</v>
      </c>
      <c r="S961" t="b">
        <v>0</v>
      </c>
      <c r="T961" t="b">
        <v>1</v>
      </c>
      <c r="U961" t="b">
        <v>1</v>
      </c>
      <c r="V961" t="b">
        <v>1</v>
      </c>
      <c r="W961" t="b">
        <v>0</v>
      </c>
      <c r="X961">
        <v>2.5</v>
      </c>
      <c r="Y961">
        <v>6.6</v>
      </c>
      <c r="Z961">
        <v>4</v>
      </c>
      <c r="AA961">
        <v>5</v>
      </c>
      <c r="AB961" s="3">
        <v>138.82</v>
      </c>
      <c r="AC961" s="3"/>
      <c r="AD961">
        <v>1</v>
      </c>
      <c r="AE961" t="s">
        <v>58</v>
      </c>
      <c r="AF961" s="4"/>
    </row>
    <row r="962" spans="1:32" x14ac:dyDescent="0.3">
      <c r="A962" t="s">
        <v>1053</v>
      </c>
      <c r="B962">
        <v>15</v>
      </c>
      <c r="C962" t="str">
        <f t="shared" si="14"/>
        <v>Teenager</v>
      </c>
      <c r="D962" t="s">
        <v>53</v>
      </c>
      <c r="E962">
        <v>5.2</v>
      </c>
      <c r="G962" t="s">
        <v>39</v>
      </c>
      <c r="H962" t="s">
        <v>120</v>
      </c>
      <c r="I962" t="s">
        <v>31</v>
      </c>
      <c r="J962">
        <v>5.0999999999999996</v>
      </c>
      <c r="L962" t="s">
        <v>43</v>
      </c>
      <c r="M962" t="s">
        <v>45</v>
      </c>
      <c r="N962" t="s">
        <v>62</v>
      </c>
      <c r="O962">
        <v>3.82</v>
      </c>
      <c r="Q962" t="s">
        <v>66</v>
      </c>
      <c r="R962" t="s">
        <v>57</v>
      </c>
      <c r="S962" t="b">
        <v>0</v>
      </c>
      <c r="T962" t="b">
        <v>0</v>
      </c>
      <c r="U962" t="b">
        <v>0</v>
      </c>
      <c r="V962" t="b">
        <v>1</v>
      </c>
      <c r="W962" t="b">
        <v>0</v>
      </c>
      <c r="X962">
        <v>1.1000000000000001</v>
      </c>
      <c r="Y962">
        <v>6.4</v>
      </c>
      <c r="Z962">
        <v>4</v>
      </c>
      <c r="AA962">
        <v>9.8000000000000007</v>
      </c>
      <c r="AB962" s="3">
        <v>77.03</v>
      </c>
      <c r="AC962" s="3"/>
      <c r="AD962">
        <v>3</v>
      </c>
      <c r="AE962" t="s">
        <v>46</v>
      </c>
      <c r="AF962" s="4"/>
    </row>
    <row r="963" spans="1:32" x14ac:dyDescent="0.3">
      <c r="A963" t="s">
        <v>1054</v>
      </c>
      <c r="B963">
        <v>20</v>
      </c>
      <c r="C963" t="str">
        <f t="shared" ref="C963:C1001" si="15">IF(B963&lt;=19,"Teenager",IF(B963&lt;=30,"Young Adults",IF(B963&gt;30,"Old Adults")))</f>
        <v>Young Adults</v>
      </c>
      <c r="D963" t="s">
        <v>53</v>
      </c>
      <c r="E963">
        <v>6.8</v>
      </c>
      <c r="G963" t="s">
        <v>29</v>
      </c>
      <c r="H963" t="s">
        <v>104</v>
      </c>
      <c r="I963" t="s">
        <v>86</v>
      </c>
      <c r="J963">
        <v>5.3</v>
      </c>
      <c r="L963" t="s">
        <v>32</v>
      </c>
      <c r="M963" t="s">
        <v>33</v>
      </c>
      <c r="N963" t="s">
        <v>51</v>
      </c>
      <c r="O963">
        <v>2.5499999999999998</v>
      </c>
      <c r="P963">
        <v>1</v>
      </c>
      <c r="Q963" t="s">
        <v>80</v>
      </c>
      <c r="R963" t="s">
        <v>36</v>
      </c>
      <c r="S963" t="b">
        <v>1</v>
      </c>
      <c r="T963" t="b">
        <v>1</v>
      </c>
      <c r="U963" t="b">
        <v>0</v>
      </c>
      <c r="V963" t="b">
        <v>1</v>
      </c>
      <c r="W963" t="b">
        <v>0</v>
      </c>
      <c r="X963">
        <v>2.5</v>
      </c>
      <c r="Y963">
        <v>5.4</v>
      </c>
      <c r="Z963">
        <v>5</v>
      </c>
      <c r="AA963">
        <v>5.8</v>
      </c>
      <c r="AB963" s="3">
        <v>77.66</v>
      </c>
      <c r="AC963" s="3"/>
      <c r="AD963">
        <v>8</v>
      </c>
      <c r="AE963" t="s">
        <v>58</v>
      </c>
      <c r="AF963" s="4"/>
    </row>
    <row r="964" spans="1:32" x14ac:dyDescent="0.3">
      <c r="A964" t="s">
        <v>1055</v>
      </c>
      <c r="B964">
        <v>18</v>
      </c>
      <c r="C964" t="str">
        <f t="shared" si="15"/>
        <v>Teenager</v>
      </c>
      <c r="D964" t="s">
        <v>53</v>
      </c>
      <c r="E964">
        <v>10.8</v>
      </c>
      <c r="G964" t="s">
        <v>48</v>
      </c>
      <c r="H964" t="s">
        <v>49</v>
      </c>
      <c r="I964" t="s">
        <v>86</v>
      </c>
      <c r="J964">
        <v>5</v>
      </c>
      <c r="L964" t="s">
        <v>32</v>
      </c>
      <c r="M964" t="s">
        <v>42</v>
      </c>
      <c r="N964" t="s">
        <v>62</v>
      </c>
      <c r="O964">
        <v>3.21</v>
      </c>
      <c r="Q964" t="s">
        <v>44</v>
      </c>
      <c r="R964" t="s">
        <v>42</v>
      </c>
      <c r="S964" t="b">
        <v>1</v>
      </c>
      <c r="T964" t="b">
        <v>0</v>
      </c>
      <c r="U964" t="b">
        <v>0</v>
      </c>
      <c r="V964" t="b">
        <v>1</v>
      </c>
      <c r="W964" t="b">
        <v>1</v>
      </c>
      <c r="X964">
        <v>4.5</v>
      </c>
      <c r="Y964">
        <v>4</v>
      </c>
      <c r="Z964">
        <v>6</v>
      </c>
      <c r="AA964">
        <v>0.3</v>
      </c>
      <c r="AB964" s="3">
        <v>110.92</v>
      </c>
      <c r="AC964" s="3"/>
      <c r="AD964">
        <v>1</v>
      </c>
      <c r="AE964" t="s">
        <v>58</v>
      </c>
      <c r="AF964" s="4"/>
    </row>
    <row r="965" spans="1:32" x14ac:dyDescent="0.3">
      <c r="A965" t="s">
        <v>1056</v>
      </c>
      <c r="B965">
        <v>24</v>
      </c>
      <c r="C965" t="str">
        <f t="shared" si="15"/>
        <v>Young Adults</v>
      </c>
      <c r="D965" t="s">
        <v>28</v>
      </c>
      <c r="E965">
        <v>3.6</v>
      </c>
      <c r="G965" t="s">
        <v>39</v>
      </c>
      <c r="H965" t="s">
        <v>40</v>
      </c>
      <c r="I965" t="s">
        <v>86</v>
      </c>
      <c r="J965">
        <v>5.6</v>
      </c>
      <c r="L965" t="s">
        <v>41</v>
      </c>
      <c r="M965" t="s">
        <v>45</v>
      </c>
      <c r="N965" t="s">
        <v>62</v>
      </c>
      <c r="P965">
        <v>9</v>
      </c>
      <c r="Q965" t="s">
        <v>80</v>
      </c>
      <c r="R965" t="s">
        <v>45</v>
      </c>
      <c r="S965" t="b">
        <v>0</v>
      </c>
      <c r="T965" t="b">
        <v>0</v>
      </c>
      <c r="U965" t="b">
        <v>0</v>
      </c>
      <c r="V965" t="b">
        <v>0</v>
      </c>
      <c r="W965" t="b">
        <v>0</v>
      </c>
      <c r="X965">
        <v>0.7</v>
      </c>
      <c r="Y965">
        <v>8.1999999999999993</v>
      </c>
      <c r="Z965">
        <v>4</v>
      </c>
      <c r="AA965">
        <v>9.8000000000000007</v>
      </c>
      <c r="AB965" s="3">
        <v>46.98</v>
      </c>
      <c r="AC965" s="3"/>
      <c r="AD965">
        <v>6</v>
      </c>
      <c r="AE965" t="s">
        <v>46</v>
      </c>
      <c r="AF965" s="4"/>
    </row>
    <row r="966" spans="1:32" x14ac:dyDescent="0.3">
      <c r="A966" t="s">
        <v>1057</v>
      </c>
      <c r="B966">
        <v>19</v>
      </c>
      <c r="C966" t="str">
        <f t="shared" si="15"/>
        <v>Teenager</v>
      </c>
      <c r="D966" t="s">
        <v>28</v>
      </c>
      <c r="E966">
        <v>9.3000000000000007</v>
      </c>
      <c r="G966" t="s">
        <v>60</v>
      </c>
      <c r="H966" t="s">
        <v>96</v>
      </c>
      <c r="I966" t="s">
        <v>86</v>
      </c>
      <c r="J966">
        <v>5.0999999999999996</v>
      </c>
      <c r="L966" t="s">
        <v>51</v>
      </c>
      <c r="M966" t="s">
        <v>42</v>
      </c>
      <c r="N966" t="s">
        <v>51</v>
      </c>
      <c r="O966">
        <v>1.78</v>
      </c>
      <c r="P966">
        <v>4</v>
      </c>
      <c r="Q966" t="s">
        <v>80</v>
      </c>
      <c r="R966" t="s">
        <v>36</v>
      </c>
      <c r="S966" t="b">
        <v>0</v>
      </c>
      <c r="T966" t="b">
        <v>1</v>
      </c>
      <c r="U966" t="b">
        <v>1</v>
      </c>
      <c r="V966" t="b">
        <v>0</v>
      </c>
      <c r="W966" t="b">
        <v>1</v>
      </c>
      <c r="X966">
        <v>0.1</v>
      </c>
      <c r="Y966">
        <v>3.9</v>
      </c>
      <c r="Z966">
        <v>4</v>
      </c>
      <c r="AA966">
        <v>5.4</v>
      </c>
      <c r="AB966" s="3">
        <v>50.18</v>
      </c>
      <c r="AC966" s="3"/>
      <c r="AD966">
        <v>8</v>
      </c>
      <c r="AE966" t="s">
        <v>37</v>
      </c>
      <c r="AF966" s="4"/>
    </row>
    <row r="967" spans="1:32" x14ac:dyDescent="0.3">
      <c r="A967" t="s">
        <v>1058</v>
      </c>
      <c r="B967">
        <v>18</v>
      </c>
      <c r="C967" t="str">
        <f t="shared" si="15"/>
        <v>Teenager</v>
      </c>
      <c r="D967" t="s">
        <v>152</v>
      </c>
      <c r="E967">
        <v>7.6</v>
      </c>
      <c r="G967" t="s">
        <v>48</v>
      </c>
      <c r="H967" t="s">
        <v>128</v>
      </c>
      <c r="I967" t="s">
        <v>31</v>
      </c>
      <c r="J967">
        <v>4.8</v>
      </c>
      <c r="L967" t="s">
        <v>32</v>
      </c>
      <c r="M967" t="s">
        <v>36</v>
      </c>
      <c r="N967" t="s">
        <v>84</v>
      </c>
      <c r="O967">
        <v>1.05</v>
      </c>
      <c r="Q967" t="s">
        <v>35</v>
      </c>
      <c r="R967" t="s">
        <v>57</v>
      </c>
      <c r="S967" t="b">
        <v>1</v>
      </c>
      <c r="T967" t="b">
        <v>1</v>
      </c>
      <c r="U967" t="b">
        <v>0</v>
      </c>
      <c r="V967" t="b">
        <v>1</v>
      </c>
      <c r="W967" t="b">
        <v>1</v>
      </c>
      <c r="X967">
        <v>3.6</v>
      </c>
      <c r="Y967">
        <v>6.1</v>
      </c>
      <c r="Z967">
        <v>3</v>
      </c>
      <c r="AA967">
        <v>8.1</v>
      </c>
      <c r="AB967" s="3">
        <v>37.08</v>
      </c>
      <c r="AC967" s="3"/>
      <c r="AD967">
        <v>4</v>
      </c>
      <c r="AE967" t="s">
        <v>58</v>
      </c>
      <c r="AF967" s="4"/>
    </row>
    <row r="968" spans="1:32" x14ac:dyDescent="0.3">
      <c r="A968" t="s">
        <v>1059</v>
      </c>
      <c r="B968">
        <v>19</v>
      </c>
      <c r="C968" t="str">
        <f t="shared" si="15"/>
        <v>Teenager</v>
      </c>
      <c r="D968" t="s">
        <v>28</v>
      </c>
      <c r="E968">
        <v>7</v>
      </c>
      <c r="G968" t="s">
        <v>82</v>
      </c>
      <c r="H968" t="s">
        <v>83</v>
      </c>
      <c r="I968" t="s">
        <v>86</v>
      </c>
      <c r="J968">
        <v>4</v>
      </c>
      <c r="L968" t="s">
        <v>32</v>
      </c>
      <c r="M968" t="s">
        <v>45</v>
      </c>
      <c r="N968" t="s">
        <v>51</v>
      </c>
      <c r="O968">
        <v>3.3</v>
      </c>
      <c r="P968">
        <v>3</v>
      </c>
      <c r="Q968" t="s">
        <v>105</v>
      </c>
      <c r="R968" t="s">
        <v>57</v>
      </c>
      <c r="S968" t="b">
        <v>1</v>
      </c>
      <c r="T968" t="b">
        <v>1</v>
      </c>
      <c r="U968" t="b">
        <v>0</v>
      </c>
      <c r="V968" t="b">
        <v>0</v>
      </c>
      <c r="W968" t="b">
        <v>0</v>
      </c>
      <c r="X968">
        <v>0.2</v>
      </c>
      <c r="Y968">
        <v>7.3</v>
      </c>
      <c r="Z968">
        <v>5</v>
      </c>
      <c r="AA968">
        <v>7.4</v>
      </c>
      <c r="AB968" s="3">
        <v>54.91</v>
      </c>
      <c r="AC968" s="3"/>
      <c r="AD968">
        <v>1</v>
      </c>
      <c r="AE968" t="s">
        <v>58</v>
      </c>
      <c r="AF968" s="4"/>
    </row>
    <row r="969" spans="1:32" x14ac:dyDescent="0.3">
      <c r="A969" t="s">
        <v>1060</v>
      </c>
      <c r="B969">
        <v>23</v>
      </c>
      <c r="C969" t="str">
        <f t="shared" si="15"/>
        <v>Young Adults</v>
      </c>
      <c r="D969" t="s">
        <v>53</v>
      </c>
      <c r="E969">
        <v>1</v>
      </c>
      <c r="G969" t="s">
        <v>60</v>
      </c>
      <c r="H969" t="s">
        <v>61</v>
      </c>
      <c r="I969" t="s">
        <v>31</v>
      </c>
      <c r="J969">
        <v>7.9</v>
      </c>
      <c r="L969" t="s">
        <v>43</v>
      </c>
      <c r="M969" t="s">
        <v>45</v>
      </c>
      <c r="N969" t="s">
        <v>84</v>
      </c>
      <c r="P969">
        <v>8</v>
      </c>
      <c r="Q969" t="s">
        <v>66</v>
      </c>
      <c r="R969" t="s">
        <v>36</v>
      </c>
      <c r="S969" t="b">
        <v>0</v>
      </c>
      <c r="T969" t="b">
        <v>0</v>
      </c>
      <c r="U969" t="b">
        <v>0</v>
      </c>
      <c r="V969" t="b">
        <v>0</v>
      </c>
      <c r="W969" t="b">
        <v>0</v>
      </c>
      <c r="X969">
        <v>0.1</v>
      </c>
      <c r="Y969">
        <v>10.9</v>
      </c>
      <c r="Z969">
        <v>1</v>
      </c>
      <c r="AA969">
        <v>15.2</v>
      </c>
      <c r="AB969" s="3">
        <v>8.43</v>
      </c>
      <c r="AC969" s="3"/>
      <c r="AD969">
        <v>1</v>
      </c>
      <c r="AE969" t="s">
        <v>46</v>
      </c>
      <c r="AF969" s="4"/>
    </row>
    <row r="970" spans="1:32" x14ac:dyDescent="0.3">
      <c r="A970" t="s">
        <v>1061</v>
      </c>
      <c r="B970">
        <v>16</v>
      </c>
      <c r="C970" t="str">
        <f t="shared" si="15"/>
        <v>Teenager</v>
      </c>
      <c r="D970" t="s">
        <v>53</v>
      </c>
      <c r="E970">
        <v>2.8</v>
      </c>
      <c r="G970" t="s">
        <v>60</v>
      </c>
      <c r="H970" t="s">
        <v>96</v>
      </c>
      <c r="I970" t="s">
        <v>31</v>
      </c>
      <c r="J970">
        <v>8.6</v>
      </c>
      <c r="L970" t="s">
        <v>43</v>
      </c>
      <c r="M970" t="s">
        <v>74</v>
      </c>
      <c r="N970" t="s">
        <v>43</v>
      </c>
      <c r="O970">
        <v>1.4</v>
      </c>
      <c r="Q970" t="s">
        <v>121</v>
      </c>
      <c r="R970" t="s">
        <v>36</v>
      </c>
      <c r="S970" t="b">
        <v>0</v>
      </c>
      <c r="T970" t="b">
        <v>0</v>
      </c>
      <c r="U970" t="b">
        <v>0</v>
      </c>
      <c r="V970" t="b">
        <v>0</v>
      </c>
      <c r="W970" t="b">
        <v>0</v>
      </c>
      <c r="X970">
        <v>0.3</v>
      </c>
      <c r="Y970">
        <v>8.4</v>
      </c>
      <c r="Z970">
        <v>2</v>
      </c>
      <c r="AA970">
        <v>8.8000000000000007</v>
      </c>
      <c r="AB970" s="3">
        <v>17.43</v>
      </c>
      <c r="AC970" s="3"/>
      <c r="AD970">
        <v>3</v>
      </c>
      <c r="AE970" t="s">
        <v>46</v>
      </c>
      <c r="AF970" s="4"/>
    </row>
    <row r="971" spans="1:32" x14ac:dyDescent="0.3">
      <c r="A971" t="s">
        <v>1062</v>
      </c>
      <c r="B971">
        <v>17</v>
      </c>
      <c r="C971" t="str">
        <f t="shared" si="15"/>
        <v>Teenager</v>
      </c>
      <c r="D971" t="s">
        <v>28</v>
      </c>
      <c r="E971">
        <v>4.0999999999999996</v>
      </c>
      <c r="G971" t="s">
        <v>29</v>
      </c>
      <c r="H971" t="s">
        <v>73</v>
      </c>
      <c r="I971" t="s">
        <v>31</v>
      </c>
      <c r="J971">
        <v>5.5</v>
      </c>
      <c r="L971" t="s">
        <v>51</v>
      </c>
      <c r="M971" t="s">
        <v>42</v>
      </c>
      <c r="N971" t="s">
        <v>43</v>
      </c>
      <c r="O971">
        <v>1.1299999999999999</v>
      </c>
      <c r="Q971" t="s">
        <v>66</v>
      </c>
      <c r="R971" t="s">
        <v>36</v>
      </c>
      <c r="S971" t="b">
        <v>0</v>
      </c>
      <c r="T971" t="b">
        <v>0</v>
      </c>
      <c r="U971" t="b">
        <v>0</v>
      </c>
      <c r="V971" t="b">
        <v>0</v>
      </c>
      <c r="W971" t="b">
        <v>0</v>
      </c>
      <c r="X971">
        <v>0.7</v>
      </c>
      <c r="Y971">
        <v>6.4</v>
      </c>
      <c r="Z971">
        <v>2</v>
      </c>
      <c r="AA971">
        <v>12.4</v>
      </c>
      <c r="AB971" s="3">
        <v>32.97</v>
      </c>
      <c r="AC971" s="3"/>
      <c r="AD971">
        <v>5</v>
      </c>
      <c r="AE971" t="s">
        <v>46</v>
      </c>
      <c r="AF971" s="4"/>
    </row>
    <row r="972" spans="1:32" x14ac:dyDescent="0.3">
      <c r="A972" t="s">
        <v>1063</v>
      </c>
      <c r="B972">
        <v>20</v>
      </c>
      <c r="C972" t="str">
        <f t="shared" si="15"/>
        <v>Young Adults</v>
      </c>
      <c r="D972" t="s">
        <v>53</v>
      </c>
      <c r="E972">
        <v>6.3</v>
      </c>
      <c r="G972" t="s">
        <v>82</v>
      </c>
      <c r="H972" t="s">
        <v>167</v>
      </c>
      <c r="I972" t="s">
        <v>50</v>
      </c>
      <c r="J972">
        <v>6.5</v>
      </c>
      <c r="L972" t="s">
        <v>41</v>
      </c>
      <c r="M972" t="s">
        <v>33</v>
      </c>
      <c r="N972" t="s">
        <v>43</v>
      </c>
      <c r="O972">
        <v>1.24</v>
      </c>
      <c r="P972">
        <v>6</v>
      </c>
      <c r="Q972" t="s">
        <v>66</v>
      </c>
      <c r="R972" t="s">
        <v>45</v>
      </c>
      <c r="S972" t="b">
        <v>0</v>
      </c>
      <c r="T972" t="b">
        <v>0</v>
      </c>
      <c r="U972" t="b">
        <v>0</v>
      </c>
      <c r="V972" t="b">
        <v>1</v>
      </c>
      <c r="W972" t="b">
        <v>0</v>
      </c>
      <c r="X972">
        <v>2</v>
      </c>
      <c r="Y972">
        <v>7.4</v>
      </c>
      <c r="Z972">
        <v>4</v>
      </c>
      <c r="AA972">
        <v>8.6</v>
      </c>
      <c r="AB972" s="3">
        <v>70.66</v>
      </c>
      <c r="AC972" s="3"/>
      <c r="AD972">
        <v>1</v>
      </c>
      <c r="AE972" t="s">
        <v>46</v>
      </c>
      <c r="AF972" s="4"/>
    </row>
    <row r="973" spans="1:32" x14ac:dyDescent="0.3">
      <c r="A973" t="s">
        <v>1064</v>
      </c>
      <c r="B973">
        <v>16</v>
      </c>
      <c r="C973" t="str">
        <f t="shared" si="15"/>
        <v>Teenager</v>
      </c>
      <c r="D973" t="s">
        <v>53</v>
      </c>
      <c r="E973">
        <v>8.5</v>
      </c>
      <c r="G973" t="s">
        <v>82</v>
      </c>
      <c r="H973" t="s">
        <v>83</v>
      </c>
      <c r="I973" t="s">
        <v>71</v>
      </c>
      <c r="J973">
        <v>3.6</v>
      </c>
      <c r="L973" t="s">
        <v>51</v>
      </c>
      <c r="M973" t="s">
        <v>36</v>
      </c>
      <c r="N973" t="s">
        <v>51</v>
      </c>
      <c r="O973">
        <v>2.36</v>
      </c>
      <c r="Q973" t="s">
        <v>35</v>
      </c>
      <c r="R973" t="s">
        <v>42</v>
      </c>
      <c r="S973" t="b">
        <v>0</v>
      </c>
      <c r="T973" t="b">
        <v>0</v>
      </c>
      <c r="U973" t="b">
        <v>0</v>
      </c>
      <c r="V973" t="b">
        <v>1</v>
      </c>
      <c r="W973" t="b">
        <v>1</v>
      </c>
      <c r="X973">
        <v>2.1</v>
      </c>
      <c r="Y973">
        <v>5.8</v>
      </c>
      <c r="Z973">
        <v>5</v>
      </c>
      <c r="AA973">
        <v>2.2000000000000002</v>
      </c>
      <c r="AB973" s="3">
        <v>231.04</v>
      </c>
      <c r="AC973" s="3"/>
      <c r="AD973">
        <v>1</v>
      </c>
      <c r="AE973" t="s">
        <v>64</v>
      </c>
      <c r="AF973" s="4"/>
    </row>
    <row r="974" spans="1:32" x14ac:dyDescent="0.3">
      <c r="A974" t="s">
        <v>1065</v>
      </c>
      <c r="B974">
        <v>16</v>
      </c>
      <c r="C974" t="str">
        <f t="shared" si="15"/>
        <v>Teenager</v>
      </c>
      <c r="D974" t="s">
        <v>28</v>
      </c>
      <c r="E974">
        <v>7.4</v>
      </c>
      <c r="G974" t="s">
        <v>60</v>
      </c>
      <c r="H974" t="s">
        <v>61</v>
      </c>
      <c r="I974" t="s">
        <v>50</v>
      </c>
      <c r="J974">
        <v>5.3</v>
      </c>
      <c r="L974" t="s">
        <v>51</v>
      </c>
      <c r="M974" t="s">
        <v>45</v>
      </c>
      <c r="N974" t="s">
        <v>129</v>
      </c>
      <c r="O974">
        <v>2.66</v>
      </c>
      <c r="Q974" t="s">
        <v>69</v>
      </c>
      <c r="R974" t="s">
        <v>45</v>
      </c>
      <c r="S974" t="b">
        <v>1</v>
      </c>
      <c r="T974" t="b">
        <v>1</v>
      </c>
      <c r="U974" t="b">
        <v>0</v>
      </c>
      <c r="V974" t="b">
        <v>1</v>
      </c>
      <c r="W974" t="b">
        <v>1</v>
      </c>
      <c r="X974">
        <v>1.9</v>
      </c>
      <c r="Y974">
        <v>4.8</v>
      </c>
      <c r="Z974">
        <v>5</v>
      </c>
      <c r="AA974">
        <v>7.3</v>
      </c>
      <c r="AB974" s="3">
        <v>54.82</v>
      </c>
      <c r="AC974" s="3"/>
      <c r="AD974">
        <v>6</v>
      </c>
      <c r="AE974" t="s">
        <v>58</v>
      </c>
      <c r="AF974" s="4"/>
    </row>
    <row r="975" spans="1:32" x14ac:dyDescent="0.3">
      <c r="A975" t="s">
        <v>1066</v>
      </c>
      <c r="B975">
        <v>23</v>
      </c>
      <c r="C975" t="str">
        <f t="shared" si="15"/>
        <v>Young Adults</v>
      </c>
      <c r="D975" t="s">
        <v>28</v>
      </c>
      <c r="E975">
        <v>11</v>
      </c>
      <c r="G975" t="s">
        <v>48</v>
      </c>
      <c r="H975" t="s">
        <v>49</v>
      </c>
      <c r="I975" t="s">
        <v>71</v>
      </c>
      <c r="J975">
        <v>4.9000000000000004</v>
      </c>
      <c r="L975" t="s">
        <v>41</v>
      </c>
      <c r="M975" t="s">
        <v>74</v>
      </c>
      <c r="N975" t="s">
        <v>129</v>
      </c>
      <c r="P975">
        <v>5</v>
      </c>
      <c r="Q975" t="s">
        <v>66</v>
      </c>
      <c r="R975" t="s">
        <v>57</v>
      </c>
      <c r="S975" t="b">
        <v>0</v>
      </c>
      <c r="T975" t="b">
        <v>1</v>
      </c>
      <c r="U975" t="b">
        <v>1</v>
      </c>
      <c r="V975" t="b">
        <v>0</v>
      </c>
      <c r="W975" t="b">
        <v>1</v>
      </c>
      <c r="X975">
        <v>3.2</v>
      </c>
      <c r="Y975">
        <v>5.7</v>
      </c>
      <c r="Z975">
        <v>6</v>
      </c>
      <c r="AA975">
        <v>0</v>
      </c>
      <c r="AB975" s="3">
        <v>388.42</v>
      </c>
      <c r="AC975" s="3"/>
      <c r="AD975">
        <v>9</v>
      </c>
      <c r="AE975" t="s">
        <v>37</v>
      </c>
      <c r="AF975" s="4"/>
    </row>
    <row r="976" spans="1:32" x14ac:dyDescent="0.3">
      <c r="A976" t="s">
        <v>1067</v>
      </c>
      <c r="B976">
        <v>20</v>
      </c>
      <c r="C976" t="str">
        <f t="shared" si="15"/>
        <v>Young Adults</v>
      </c>
      <c r="D976" t="s">
        <v>28</v>
      </c>
      <c r="E976">
        <v>7.8</v>
      </c>
      <c r="G976" t="s">
        <v>48</v>
      </c>
      <c r="H976" t="s">
        <v>68</v>
      </c>
      <c r="I976" t="s">
        <v>50</v>
      </c>
      <c r="J976">
        <v>4.8</v>
      </c>
      <c r="L976" t="s">
        <v>32</v>
      </c>
      <c r="M976" t="s">
        <v>36</v>
      </c>
      <c r="N976" t="s">
        <v>34</v>
      </c>
      <c r="O976">
        <v>2.91</v>
      </c>
      <c r="P976">
        <v>7</v>
      </c>
      <c r="Q976" t="s">
        <v>105</v>
      </c>
      <c r="R976" t="s">
        <v>45</v>
      </c>
      <c r="S976" t="b">
        <v>1</v>
      </c>
      <c r="T976" t="b">
        <v>0</v>
      </c>
      <c r="U976" t="b">
        <v>0</v>
      </c>
      <c r="V976" t="b">
        <v>1</v>
      </c>
      <c r="W976" t="b">
        <v>0</v>
      </c>
      <c r="X976">
        <v>1.5</v>
      </c>
      <c r="Y976">
        <v>5.2</v>
      </c>
      <c r="Z976">
        <v>3</v>
      </c>
      <c r="AA976">
        <v>7</v>
      </c>
      <c r="AB976" s="3">
        <v>146.41</v>
      </c>
      <c r="AC976" s="3"/>
      <c r="AD976">
        <v>5</v>
      </c>
      <c r="AE976" t="s">
        <v>64</v>
      </c>
      <c r="AF976" s="4"/>
    </row>
    <row r="977" spans="1:32" x14ac:dyDescent="0.3">
      <c r="A977" t="s">
        <v>1068</v>
      </c>
      <c r="B977">
        <v>17</v>
      </c>
      <c r="C977" t="str">
        <f t="shared" si="15"/>
        <v>Teenager</v>
      </c>
      <c r="D977" t="s">
        <v>53</v>
      </c>
      <c r="E977">
        <v>8.3000000000000007</v>
      </c>
      <c r="G977" t="s">
        <v>76</v>
      </c>
      <c r="H977" t="s">
        <v>126</v>
      </c>
      <c r="I977" t="s">
        <v>71</v>
      </c>
      <c r="J977">
        <v>4.9000000000000004</v>
      </c>
      <c r="L977" t="s">
        <v>41</v>
      </c>
      <c r="M977" t="s">
        <v>33</v>
      </c>
      <c r="N977" t="s">
        <v>51</v>
      </c>
      <c r="O977">
        <v>2.73</v>
      </c>
      <c r="Q977" t="s">
        <v>35</v>
      </c>
      <c r="R977" t="s">
        <v>36</v>
      </c>
      <c r="S977" t="b">
        <v>0</v>
      </c>
      <c r="T977" t="b">
        <v>0</v>
      </c>
      <c r="U977" t="b">
        <v>1</v>
      </c>
      <c r="V977" t="b">
        <v>1</v>
      </c>
      <c r="W977" t="b">
        <v>1</v>
      </c>
      <c r="X977">
        <v>0.8</v>
      </c>
      <c r="Y977">
        <v>4.8</v>
      </c>
      <c r="Z977">
        <v>7</v>
      </c>
      <c r="AA977">
        <v>7.6</v>
      </c>
      <c r="AB977" s="3">
        <v>59.04</v>
      </c>
      <c r="AC977" s="3"/>
      <c r="AD977">
        <v>2</v>
      </c>
      <c r="AE977" t="s">
        <v>64</v>
      </c>
      <c r="AF977" s="4"/>
    </row>
    <row r="978" spans="1:32" x14ac:dyDescent="0.3">
      <c r="A978" t="s">
        <v>1069</v>
      </c>
      <c r="B978">
        <v>27</v>
      </c>
      <c r="C978" t="str">
        <f t="shared" si="15"/>
        <v>Young Adults</v>
      </c>
      <c r="D978" t="s">
        <v>53</v>
      </c>
      <c r="E978">
        <v>4.2</v>
      </c>
      <c r="G978" t="s">
        <v>54</v>
      </c>
      <c r="H978" t="s">
        <v>89</v>
      </c>
      <c r="I978" t="s">
        <v>86</v>
      </c>
      <c r="J978">
        <v>5.9</v>
      </c>
      <c r="L978" t="s">
        <v>41</v>
      </c>
      <c r="M978" t="s">
        <v>74</v>
      </c>
      <c r="N978" t="s">
        <v>62</v>
      </c>
      <c r="P978">
        <v>8</v>
      </c>
      <c r="Q978" t="s">
        <v>66</v>
      </c>
      <c r="R978" t="s">
        <v>33</v>
      </c>
      <c r="S978" t="b">
        <v>0</v>
      </c>
      <c r="T978" t="b">
        <v>0</v>
      </c>
      <c r="U978" t="b">
        <v>0</v>
      </c>
      <c r="V978" t="b">
        <v>0</v>
      </c>
      <c r="W978" t="b">
        <v>0</v>
      </c>
      <c r="X978">
        <v>1.4</v>
      </c>
      <c r="Y978">
        <v>8.6999999999999993</v>
      </c>
      <c r="Z978">
        <v>4</v>
      </c>
      <c r="AA978">
        <v>8.9</v>
      </c>
      <c r="AB978" s="3">
        <v>30.61</v>
      </c>
      <c r="AC978" s="3"/>
      <c r="AD978">
        <v>6</v>
      </c>
      <c r="AE978" t="s">
        <v>46</v>
      </c>
      <c r="AF978" s="4"/>
    </row>
    <row r="979" spans="1:32" x14ac:dyDescent="0.3">
      <c r="A979" t="s">
        <v>1070</v>
      </c>
      <c r="B979">
        <v>21</v>
      </c>
      <c r="C979" t="str">
        <f t="shared" si="15"/>
        <v>Young Adults</v>
      </c>
      <c r="D979" t="s">
        <v>53</v>
      </c>
      <c r="E979">
        <v>7.4</v>
      </c>
      <c r="G979" t="s">
        <v>48</v>
      </c>
      <c r="H979" t="s">
        <v>49</v>
      </c>
      <c r="I979" t="s">
        <v>31</v>
      </c>
      <c r="J979">
        <v>5.5</v>
      </c>
      <c r="L979" t="s">
        <v>32</v>
      </c>
      <c r="M979" t="s">
        <v>42</v>
      </c>
      <c r="N979" t="s">
        <v>34</v>
      </c>
      <c r="O979">
        <v>1.88</v>
      </c>
      <c r="P979">
        <v>3</v>
      </c>
      <c r="Q979" t="s">
        <v>35</v>
      </c>
      <c r="R979" t="s">
        <v>36</v>
      </c>
      <c r="S979" t="b">
        <v>1</v>
      </c>
      <c r="T979" t="b">
        <v>1</v>
      </c>
      <c r="U979" t="b">
        <v>0</v>
      </c>
      <c r="V979" t="b">
        <v>1</v>
      </c>
      <c r="W979" t="b">
        <v>0</v>
      </c>
      <c r="X979">
        <v>1.5</v>
      </c>
      <c r="Y979">
        <v>7.4</v>
      </c>
      <c r="Z979">
        <v>5</v>
      </c>
      <c r="AA979">
        <v>4.8</v>
      </c>
      <c r="AB979" s="3">
        <v>113.01</v>
      </c>
      <c r="AC979" s="3"/>
      <c r="AD979">
        <v>6</v>
      </c>
      <c r="AE979" t="s">
        <v>58</v>
      </c>
      <c r="AF979" s="4"/>
    </row>
    <row r="980" spans="1:32" x14ac:dyDescent="0.3">
      <c r="A980" t="s">
        <v>1071</v>
      </c>
      <c r="B980">
        <v>19</v>
      </c>
      <c r="C980" t="str">
        <f t="shared" si="15"/>
        <v>Teenager</v>
      </c>
      <c r="D980" t="s">
        <v>28</v>
      </c>
      <c r="E980">
        <v>8.4</v>
      </c>
      <c r="G980" t="s">
        <v>48</v>
      </c>
      <c r="H980" t="s">
        <v>49</v>
      </c>
      <c r="I980" t="s">
        <v>31</v>
      </c>
      <c r="J980">
        <v>5.9</v>
      </c>
      <c r="L980" t="s">
        <v>43</v>
      </c>
      <c r="M980" t="s">
        <v>45</v>
      </c>
      <c r="N980" t="s">
        <v>51</v>
      </c>
      <c r="O980">
        <v>2.33</v>
      </c>
      <c r="P980">
        <v>9</v>
      </c>
      <c r="Q980" t="s">
        <v>56</v>
      </c>
      <c r="R980" t="s">
        <v>36</v>
      </c>
      <c r="S980" t="b">
        <v>1</v>
      </c>
      <c r="T980" t="b">
        <v>0</v>
      </c>
      <c r="U980" t="b">
        <v>1</v>
      </c>
      <c r="V980" t="b">
        <v>1</v>
      </c>
      <c r="W980" t="b">
        <v>0</v>
      </c>
      <c r="X980">
        <v>1.7</v>
      </c>
      <c r="Y980">
        <v>5.3</v>
      </c>
      <c r="Z980">
        <v>6</v>
      </c>
      <c r="AA980">
        <v>3.8</v>
      </c>
      <c r="AB980" s="3">
        <v>44.54</v>
      </c>
      <c r="AC980" s="3"/>
      <c r="AD980">
        <v>9</v>
      </c>
      <c r="AE980" t="s">
        <v>58</v>
      </c>
      <c r="AF980" s="4"/>
    </row>
    <row r="981" spans="1:32" x14ac:dyDescent="0.3">
      <c r="A981" t="s">
        <v>1072</v>
      </c>
      <c r="B981">
        <v>22</v>
      </c>
      <c r="C981" t="str">
        <f t="shared" si="15"/>
        <v>Young Adults</v>
      </c>
      <c r="D981" t="s">
        <v>53</v>
      </c>
      <c r="E981">
        <v>8.6999999999999993</v>
      </c>
      <c r="G981" t="s">
        <v>29</v>
      </c>
      <c r="H981" t="s">
        <v>118</v>
      </c>
      <c r="I981" t="s">
        <v>71</v>
      </c>
      <c r="J981">
        <v>4.4000000000000004</v>
      </c>
      <c r="L981" t="s">
        <v>51</v>
      </c>
      <c r="M981" t="s">
        <v>36</v>
      </c>
      <c r="N981" t="s">
        <v>34</v>
      </c>
      <c r="O981">
        <v>2.48</v>
      </c>
      <c r="P981">
        <v>4</v>
      </c>
      <c r="Q981" t="s">
        <v>121</v>
      </c>
      <c r="R981" t="s">
        <v>33</v>
      </c>
      <c r="S981" t="b">
        <v>1</v>
      </c>
      <c r="T981" t="b">
        <v>1</v>
      </c>
      <c r="U981" t="b">
        <v>0</v>
      </c>
      <c r="V981" t="b">
        <v>1</v>
      </c>
      <c r="W981" t="b">
        <v>1</v>
      </c>
      <c r="X981">
        <v>3.1</v>
      </c>
      <c r="Y981">
        <v>6.9</v>
      </c>
      <c r="Z981">
        <v>5</v>
      </c>
      <c r="AA981">
        <v>2.4</v>
      </c>
      <c r="AB981" s="3">
        <v>107.16</v>
      </c>
      <c r="AC981" s="3"/>
      <c r="AD981">
        <v>12</v>
      </c>
      <c r="AE981" t="s">
        <v>37</v>
      </c>
      <c r="AF981" s="4"/>
    </row>
    <row r="982" spans="1:32" x14ac:dyDescent="0.3">
      <c r="A982" t="s">
        <v>1073</v>
      </c>
      <c r="B982">
        <v>25</v>
      </c>
      <c r="C982" t="str">
        <f t="shared" si="15"/>
        <v>Young Adults</v>
      </c>
      <c r="D982" t="s">
        <v>28</v>
      </c>
      <c r="E982">
        <v>9.4</v>
      </c>
      <c r="G982" t="s">
        <v>48</v>
      </c>
      <c r="H982" t="s">
        <v>49</v>
      </c>
      <c r="I982" t="s">
        <v>50</v>
      </c>
      <c r="J982">
        <v>4.5</v>
      </c>
      <c r="L982" t="s">
        <v>51</v>
      </c>
      <c r="M982" t="s">
        <v>42</v>
      </c>
      <c r="N982" t="s">
        <v>62</v>
      </c>
      <c r="P982">
        <v>9</v>
      </c>
      <c r="Q982" t="s">
        <v>105</v>
      </c>
      <c r="R982" t="s">
        <v>57</v>
      </c>
      <c r="S982" t="b">
        <v>1</v>
      </c>
      <c r="T982" t="b">
        <v>1</v>
      </c>
      <c r="U982" t="b">
        <v>0</v>
      </c>
      <c r="V982" t="b">
        <v>1</v>
      </c>
      <c r="W982" t="b">
        <v>1</v>
      </c>
      <c r="X982">
        <v>2.7</v>
      </c>
      <c r="Y982">
        <v>6.8</v>
      </c>
      <c r="Z982">
        <v>5</v>
      </c>
      <c r="AA982">
        <v>2.4</v>
      </c>
      <c r="AB982" s="3">
        <v>361.61</v>
      </c>
      <c r="AC982" s="3"/>
      <c r="AD982">
        <v>15</v>
      </c>
      <c r="AE982" t="s">
        <v>37</v>
      </c>
      <c r="AF982" s="4"/>
    </row>
    <row r="983" spans="1:32" x14ac:dyDescent="0.3">
      <c r="A983" t="s">
        <v>1074</v>
      </c>
      <c r="B983">
        <v>22</v>
      </c>
      <c r="C983" t="str">
        <f t="shared" si="15"/>
        <v>Young Adults</v>
      </c>
      <c r="D983" t="s">
        <v>53</v>
      </c>
      <c r="E983">
        <v>13.6</v>
      </c>
      <c r="G983" t="s">
        <v>82</v>
      </c>
      <c r="H983" t="s">
        <v>167</v>
      </c>
      <c r="I983" t="s">
        <v>50</v>
      </c>
      <c r="J983">
        <v>5.8</v>
      </c>
      <c r="L983" t="s">
        <v>51</v>
      </c>
      <c r="M983" t="s">
        <v>42</v>
      </c>
      <c r="N983" t="s">
        <v>129</v>
      </c>
      <c r="O983">
        <v>2.92</v>
      </c>
      <c r="P983">
        <v>5</v>
      </c>
      <c r="Q983" t="s">
        <v>44</v>
      </c>
      <c r="R983" t="s">
        <v>45</v>
      </c>
      <c r="S983" t="b">
        <v>1</v>
      </c>
      <c r="T983" t="b">
        <v>1</v>
      </c>
      <c r="U983" t="b">
        <v>0</v>
      </c>
      <c r="V983" t="b">
        <v>1</v>
      </c>
      <c r="W983" t="b">
        <v>0</v>
      </c>
      <c r="X983">
        <v>1.4</v>
      </c>
      <c r="Y983">
        <v>2.4</v>
      </c>
      <c r="Z983">
        <v>8</v>
      </c>
      <c r="AA983">
        <v>0</v>
      </c>
      <c r="AB983" s="3">
        <v>438.83</v>
      </c>
      <c r="AC983" s="3"/>
      <c r="AD983">
        <v>2</v>
      </c>
      <c r="AE983" t="s">
        <v>37</v>
      </c>
      <c r="AF983" s="4"/>
    </row>
    <row r="984" spans="1:32" x14ac:dyDescent="0.3">
      <c r="A984" t="s">
        <v>1075</v>
      </c>
      <c r="B984">
        <v>18</v>
      </c>
      <c r="C984" t="str">
        <f t="shared" si="15"/>
        <v>Teenager</v>
      </c>
      <c r="D984" t="s">
        <v>28</v>
      </c>
      <c r="E984">
        <v>7.1</v>
      </c>
      <c r="G984" t="s">
        <v>82</v>
      </c>
      <c r="H984" t="s">
        <v>134</v>
      </c>
      <c r="I984" t="s">
        <v>50</v>
      </c>
      <c r="J984">
        <v>4.0999999999999996</v>
      </c>
      <c r="L984" t="s">
        <v>78</v>
      </c>
      <c r="M984" t="s">
        <v>33</v>
      </c>
      <c r="N984" t="s">
        <v>129</v>
      </c>
      <c r="O984">
        <v>2.0699999999999998</v>
      </c>
      <c r="Q984" t="s">
        <v>56</v>
      </c>
      <c r="R984" t="s">
        <v>36</v>
      </c>
      <c r="S984" t="b">
        <v>0</v>
      </c>
      <c r="T984" t="b">
        <v>0</v>
      </c>
      <c r="U984" t="b">
        <v>0</v>
      </c>
      <c r="V984" t="b">
        <v>1</v>
      </c>
      <c r="W984" t="b">
        <v>0</v>
      </c>
      <c r="X984">
        <v>1</v>
      </c>
      <c r="Y984">
        <v>8.1</v>
      </c>
      <c r="Z984">
        <v>5</v>
      </c>
      <c r="AA984">
        <v>4.2</v>
      </c>
      <c r="AB984" s="3">
        <v>105.16</v>
      </c>
      <c r="AC984" s="3"/>
      <c r="AD984">
        <v>4</v>
      </c>
      <c r="AE984" t="s">
        <v>46</v>
      </c>
      <c r="AF984" s="4"/>
    </row>
    <row r="985" spans="1:32" x14ac:dyDescent="0.3">
      <c r="A985" t="s">
        <v>1076</v>
      </c>
      <c r="B985">
        <v>23</v>
      </c>
      <c r="C985" t="str">
        <f t="shared" si="15"/>
        <v>Young Adults</v>
      </c>
      <c r="D985" t="s">
        <v>28</v>
      </c>
      <c r="E985">
        <v>5.9</v>
      </c>
      <c r="G985" t="s">
        <v>39</v>
      </c>
      <c r="H985" t="s">
        <v>40</v>
      </c>
      <c r="I985" t="s">
        <v>31</v>
      </c>
      <c r="J985">
        <v>5</v>
      </c>
      <c r="L985" t="s">
        <v>43</v>
      </c>
      <c r="M985" t="s">
        <v>45</v>
      </c>
      <c r="N985" t="s">
        <v>43</v>
      </c>
      <c r="P985">
        <v>2</v>
      </c>
      <c r="Q985" t="s">
        <v>80</v>
      </c>
      <c r="R985" t="s">
        <v>36</v>
      </c>
      <c r="S985" t="b">
        <v>0</v>
      </c>
      <c r="T985" t="b">
        <v>0</v>
      </c>
      <c r="U985" t="b">
        <v>0</v>
      </c>
      <c r="V985" t="b">
        <v>0</v>
      </c>
      <c r="W985" t="b">
        <v>1</v>
      </c>
      <c r="X985">
        <v>1.1000000000000001</v>
      </c>
      <c r="Y985">
        <v>8.3000000000000007</v>
      </c>
      <c r="Z985">
        <v>5</v>
      </c>
      <c r="AA985">
        <v>6.3</v>
      </c>
      <c r="AB985" s="3">
        <v>124.93</v>
      </c>
      <c r="AC985" s="3"/>
      <c r="AD985">
        <v>1</v>
      </c>
      <c r="AE985" t="s">
        <v>46</v>
      </c>
      <c r="AF985" s="4"/>
    </row>
    <row r="986" spans="1:32" x14ac:dyDescent="0.3">
      <c r="A986" t="s">
        <v>1077</v>
      </c>
      <c r="B986">
        <v>30</v>
      </c>
      <c r="C986" t="str">
        <f t="shared" si="15"/>
        <v>Young Adults</v>
      </c>
      <c r="D986" t="s">
        <v>28</v>
      </c>
      <c r="E986">
        <v>4.4000000000000004</v>
      </c>
      <c r="G986" t="s">
        <v>60</v>
      </c>
      <c r="H986" t="s">
        <v>61</v>
      </c>
      <c r="I986" t="s">
        <v>71</v>
      </c>
      <c r="J986">
        <v>6.5</v>
      </c>
      <c r="L986" t="s">
        <v>41</v>
      </c>
      <c r="M986" t="s">
        <v>45</v>
      </c>
      <c r="N986" t="s">
        <v>129</v>
      </c>
      <c r="P986">
        <v>8</v>
      </c>
      <c r="Q986" t="s">
        <v>121</v>
      </c>
      <c r="R986" t="s">
        <v>36</v>
      </c>
      <c r="S986" t="b">
        <v>0</v>
      </c>
      <c r="T986" t="b">
        <v>0</v>
      </c>
      <c r="U986" t="b">
        <v>0</v>
      </c>
      <c r="V986" t="b">
        <v>0</v>
      </c>
      <c r="W986" t="b">
        <v>0</v>
      </c>
      <c r="X986">
        <v>0.9</v>
      </c>
      <c r="Y986">
        <v>8.5</v>
      </c>
      <c r="Z986">
        <v>4</v>
      </c>
      <c r="AA986">
        <v>13</v>
      </c>
      <c r="AB986" s="3">
        <v>20.100000000000001</v>
      </c>
      <c r="AC986" s="3"/>
      <c r="AD986">
        <v>8</v>
      </c>
      <c r="AE986" t="s">
        <v>46</v>
      </c>
      <c r="AF986" s="4"/>
    </row>
    <row r="987" spans="1:32" x14ac:dyDescent="0.3">
      <c r="A987" t="s">
        <v>1078</v>
      </c>
      <c r="B987">
        <v>17</v>
      </c>
      <c r="C987" t="str">
        <f t="shared" si="15"/>
        <v>Teenager</v>
      </c>
      <c r="D987" t="s">
        <v>28</v>
      </c>
      <c r="E987">
        <v>7.3</v>
      </c>
      <c r="G987" t="s">
        <v>60</v>
      </c>
      <c r="H987" t="s">
        <v>96</v>
      </c>
      <c r="I987" t="s">
        <v>86</v>
      </c>
      <c r="J987">
        <v>4</v>
      </c>
      <c r="L987" t="s">
        <v>41</v>
      </c>
      <c r="M987" t="s">
        <v>74</v>
      </c>
      <c r="N987" t="s">
        <v>51</v>
      </c>
      <c r="O987">
        <v>2.9</v>
      </c>
      <c r="Q987" t="s">
        <v>35</v>
      </c>
      <c r="R987" t="s">
        <v>57</v>
      </c>
      <c r="S987" t="b">
        <v>0</v>
      </c>
      <c r="T987" t="b">
        <v>1</v>
      </c>
      <c r="U987" t="b">
        <v>0</v>
      </c>
      <c r="V987" t="b">
        <v>0</v>
      </c>
      <c r="W987" t="b">
        <v>0</v>
      </c>
      <c r="X987">
        <v>1.6</v>
      </c>
      <c r="Y987">
        <v>6.8</v>
      </c>
      <c r="Z987">
        <v>3</v>
      </c>
      <c r="AA987">
        <v>4.5</v>
      </c>
      <c r="AB987" s="3">
        <v>67.44</v>
      </c>
      <c r="AC987" s="3"/>
      <c r="AD987">
        <v>7</v>
      </c>
      <c r="AE987" t="s">
        <v>64</v>
      </c>
      <c r="AF987" s="4"/>
    </row>
    <row r="988" spans="1:32" x14ac:dyDescent="0.3">
      <c r="A988" t="s">
        <v>1079</v>
      </c>
      <c r="B988">
        <v>18</v>
      </c>
      <c r="C988" t="str">
        <f t="shared" si="15"/>
        <v>Teenager</v>
      </c>
      <c r="D988" t="s">
        <v>53</v>
      </c>
      <c r="E988">
        <v>3.5</v>
      </c>
      <c r="G988" t="s">
        <v>48</v>
      </c>
      <c r="H988" t="s">
        <v>214</v>
      </c>
      <c r="I988" t="s">
        <v>86</v>
      </c>
      <c r="J988">
        <v>6.1</v>
      </c>
      <c r="L988" t="s">
        <v>41</v>
      </c>
      <c r="M988" t="s">
        <v>45</v>
      </c>
      <c r="N988" t="s">
        <v>62</v>
      </c>
      <c r="O988">
        <v>3.68</v>
      </c>
      <c r="Q988" t="s">
        <v>63</v>
      </c>
      <c r="R988" t="s">
        <v>33</v>
      </c>
      <c r="S988" t="b">
        <v>0</v>
      </c>
      <c r="T988" t="b">
        <v>0</v>
      </c>
      <c r="U988" t="b">
        <v>0</v>
      </c>
      <c r="V988" t="b">
        <v>0</v>
      </c>
      <c r="W988" t="b">
        <v>0</v>
      </c>
      <c r="X988">
        <v>0.1</v>
      </c>
      <c r="Y988">
        <v>6.9</v>
      </c>
      <c r="Z988">
        <v>1</v>
      </c>
      <c r="AA988">
        <v>8.5</v>
      </c>
      <c r="AB988" s="3">
        <v>1.35</v>
      </c>
      <c r="AC988" s="3"/>
      <c r="AD988">
        <v>6</v>
      </c>
      <c r="AE988" t="s">
        <v>46</v>
      </c>
      <c r="AF988" s="4"/>
    </row>
    <row r="989" spans="1:32" x14ac:dyDescent="0.3">
      <c r="A989" t="s">
        <v>1080</v>
      </c>
      <c r="B989">
        <v>19</v>
      </c>
      <c r="C989" t="str">
        <f t="shared" si="15"/>
        <v>Teenager</v>
      </c>
      <c r="D989" t="s">
        <v>28</v>
      </c>
      <c r="E989">
        <v>4.7</v>
      </c>
      <c r="G989" t="s">
        <v>39</v>
      </c>
      <c r="H989" t="s">
        <v>40</v>
      </c>
      <c r="I989" t="s">
        <v>71</v>
      </c>
      <c r="J989">
        <v>6.7</v>
      </c>
      <c r="L989" t="s">
        <v>41</v>
      </c>
      <c r="M989" t="s">
        <v>45</v>
      </c>
      <c r="N989" t="s">
        <v>84</v>
      </c>
      <c r="O989">
        <v>2.02</v>
      </c>
      <c r="P989">
        <v>10</v>
      </c>
      <c r="Q989" t="s">
        <v>80</v>
      </c>
      <c r="R989" t="s">
        <v>45</v>
      </c>
      <c r="S989" t="b">
        <v>0</v>
      </c>
      <c r="T989" t="b">
        <v>0</v>
      </c>
      <c r="U989" t="b">
        <v>0</v>
      </c>
      <c r="V989" t="b">
        <v>0</v>
      </c>
      <c r="W989" t="b">
        <v>0</v>
      </c>
      <c r="X989">
        <v>2.9</v>
      </c>
      <c r="Y989">
        <v>6.5</v>
      </c>
      <c r="Z989">
        <v>2</v>
      </c>
      <c r="AA989">
        <v>9</v>
      </c>
      <c r="AB989" s="3">
        <v>59.91</v>
      </c>
      <c r="AC989" s="3"/>
      <c r="AD989">
        <v>9</v>
      </c>
      <c r="AE989" t="s">
        <v>46</v>
      </c>
      <c r="AF989" s="4"/>
    </row>
    <row r="990" spans="1:32" x14ac:dyDescent="0.3">
      <c r="A990" t="s">
        <v>1081</v>
      </c>
      <c r="B990">
        <v>20</v>
      </c>
      <c r="C990" t="str">
        <f t="shared" si="15"/>
        <v>Young Adults</v>
      </c>
      <c r="D990" t="s">
        <v>28</v>
      </c>
      <c r="E990">
        <v>4.4000000000000004</v>
      </c>
      <c r="G990" t="s">
        <v>76</v>
      </c>
      <c r="H990" t="s">
        <v>77</v>
      </c>
      <c r="I990" t="s">
        <v>31</v>
      </c>
      <c r="J990">
        <v>5.4</v>
      </c>
      <c r="L990" t="s">
        <v>32</v>
      </c>
      <c r="M990" t="s">
        <v>33</v>
      </c>
      <c r="N990" t="s">
        <v>43</v>
      </c>
      <c r="O990">
        <v>2.2599999999999998</v>
      </c>
      <c r="P990">
        <v>5</v>
      </c>
      <c r="Q990" t="s">
        <v>69</v>
      </c>
      <c r="R990" t="s">
        <v>33</v>
      </c>
      <c r="S990" t="b">
        <v>0</v>
      </c>
      <c r="T990" t="b">
        <v>0</v>
      </c>
      <c r="U990" t="b">
        <v>0</v>
      </c>
      <c r="V990" t="b">
        <v>0</v>
      </c>
      <c r="W990" t="b">
        <v>0</v>
      </c>
      <c r="X990">
        <v>1</v>
      </c>
      <c r="Y990">
        <v>9.6999999999999993</v>
      </c>
      <c r="Z990">
        <v>3</v>
      </c>
      <c r="AA990">
        <v>12.1</v>
      </c>
      <c r="AB990" s="3">
        <v>8.08</v>
      </c>
      <c r="AC990" s="3"/>
      <c r="AD990">
        <v>7</v>
      </c>
      <c r="AE990" t="s">
        <v>46</v>
      </c>
      <c r="AF990" s="4"/>
    </row>
    <row r="991" spans="1:32" x14ac:dyDescent="0.3">
      <c r="A991" t="s">
        <v>1082</v>
      </c>
      <c r="B991">
        <v>16</v>
      </c>
      <c r="C991" t="str">
        <f t="shared" si="15"/>
        <v>Teenager</v>
      </c>
      <c r="D991" t="s">
        <v>28</v>
      </c>
      <c r="E991">
        <v>1.5</v>
      </c>
      <c r="G991" t="s">
        <v>39</v>
      </c>
      <c r="H991" t="s">
        <v>93</v>
      </c>
      <c r="I991" t="s">
        <v>86</v>
      </c>
      <c r="J991">
        <v>9</v>
      </c>
      <c r="L991" t="s">
        <v>43</v>
      </c>
      <c r="M991" t="s">
        <v>45</v>
      </c>
      <c r="N991" t="s">
        <v>43</v>
      </c>
      <c r="O991">
        <v>2.91</v>
      </c>
      <c r="Q991" t="s">
        <v>121</v>
      </c>
      <c r="R991" t="s">
        <v>57</v>
      </c>
      <c r="S991" t="b">
        <v>0</v>
      </c>
      <c r="T991" t="b">
        <v>0</v>
      </c>
      <c r="U991" t="b">
        <v>0</v>
      </c>
      <c r="V991" t="b">
        <v>0</v>
      </c>
      <c r="W991" t="b">
        <v>0</v>
      </c>
      <c r="X991">
        <v>0.1</v>
      </c>
      <c r="Y991">
        <v>9</v>
      </c>
      <c r="Z991">
        <v>1</v>
      </c>
      <c r="AA991">
        <v>12.2</v>
      </c>
      <c r="AB991" s="3">
        <v>45.29</v>
      </c>
      <c r="AC991" s="3"/>
      <c r="AD991">
        <v>2</v>
      </c>
      <c r="AE991" t="s">
        <v>46</v>
      </c>
      <c r="AF991" s="4"/>
    </row>
    <row r="992" spans="1:32" x14ac:dyDescent="0.3">
      <c r="A992" t="s">
        <v>1083</v>
      </c>
      <c r="B992">
        <v>19</v>
      </c>
      <c r="C992" t="str">
        <f t="shared" si="15"/>
        <v>Teenager</v>
      </c>
      <c r="D992" t="s">
        <v>53</v>
      </c>
      <c r="E992">
        <v>7</v>
      </c>
      <c r="G992" t="s">
        <v>48</v>
      </c>
      <c r="H992" t="s">
        <v>128</v>
      </c>
      <c r="I992" t="s">
        <v>31</v>
      </c>
      <c r="J992">
        <v>3.2</v>
      </c>
      <c r="L992" t="s">
        <v>41</v>
      </c>
      <c r="M992" t="s">
        <v>45</v>
      </c>
      <c r="N992" t="s">
        <v>51</v>
      </c>
      <c r="O992">
        <v>3</v>
      </c>
      <c r="P992">
        <v>1</v>
      </c>
      <c r="Q992" t="s">
        <v>35</v>
      </c>
      <c r="R992" t="s">
        <v>57</v>
      </c>
      <c r="S992" t="b">
        <v>0</v>
      </c>
      <c r="T992" t="b">
        <v>1</v>
      </c>
      <c r="U992" t="b">
        <v>0</v>
      </c>
      <c r="V992" t="b">
        <v>0</v>
      </c>
      <c r="W992" t="b">
        <v>1</v>
      </c>
      <c r="X992">
        <v>1.4</v>
      </c>
      <c r="Y992">
        <v>7.7</v>
      </c>
      <c r="Z992">
        <v>5</v>
      </c>
      <c r="AA992">
        <v>5.8</v>
      </c>
      <c r="AB992" s="3">
        <v>121.06</v>
      </c>
      <c r="AC992" s="3"/>
      <c r="AD992">
        <v>2</v>
      </c>
      <c r="AE992" t="s">
        <v>64</v>
      </c>
      <c r="AF992" s="4"/>
    </row>
    <row r="993" spans="1:32" x14ac:dyDescent="0.3">
      <c r="A993" t="s">
        <v>1084</v>
      </c>
      <c r="B993">
        <v>24</v>
      </c>
      <c r="C993" t="str">
        <f t="shared" si="15"/>
        <v>Young Adults</v>
      </c>
      <c r="D993" t="s">
        <v>53</v>
      </c>
      <c r="E993">
        <v>3.6</v>
      </c>
      <c r="G993" t="s">
        <v>54</v>
      </c>
      <c r="H993" t="s">
        <v>98</v>
      </c>
      <c r="I993" t="s">
        <v>50</v>
      </c>
      <c r="J993">
        <v>6.8</v>
      </c>
      <c r="L993" t="s">
        <v>41</v>
      </c>
      <c r="M993" t="s">
        <v>36</v>
      </c>
      <c r="N993" t="s">
        <v>34</v>
      </c>
      <c r="P993">
        <v>8</v>
      </c>
      <c r="Q993" t="s">
        <v>69</v>
      </c>
      <c r="R993" t="s">
        <v>42</v>
      </c>
      <c r="S993" t="b">
        <v>0</v>
      </c>
      <c r="T993" t="b">
        <v>0</v>
      </c>
      <c r="U993" t="b">
        <v>0</v>
      </c>
      <c r="V993" t="b">
        <v>0</v>
      </c>
      <c r="W993" t="b">
        <v>0</v>
      </c>
      <c r="X993">
        <v>1.5</v>
      </c>
      <c r="Y993">
        <v>7.7</v>
      </c>
      <c r="Z993">
        <v>1</v>
      </c>
      <c r="AA993">
        <v>9.5</v>
      </c>
      <c r="AB993" s="3">
        <v>31.45</v>
      </c>
      <c r="AC993" s="3"/>
      <c r="AD993">
        <v>1</v>
      </c>
      <c r="AE993" t="s">
        <v>46</v>
      </c>
      <c r="AF993" s="4"/>
    </row>
    <row r="994" spans="1:32" x14ac:dyDescent="0.3">
      <c r="A994" t="s">
        <v>1085</v>
      </c>
      <c r="B994">
        <v>18</v>
      </c>
      <c r="C994" t="str">
        <f t="shared" si="15"/>
        <v>Teenager</v>
      </c>
      <c r="D994" t="s">
        <v>28</v>
      </c>
      <c r="E994">
        <v>6.1</v>
      </c>
      <c r="G994" t="s">
        <v>76</v>
      </c>
      <c r="H994" t="s">
        <v>126</v>
      </c>
      <c r="I994" t="s">
        <v>31</v>
      </c>
      <c r="J994">
        <v>5.5</v>
      </c>
      <c r="L994" t="s">
        <v>41</v>
      </c>
      <c r="M994" t="s">
        <v>42</v>
      </c>
      <c r="N994" t="s">
        <v>34</v>
      </c>
      <c r="O994">
        <v>1.1100000000000001</v>
      </c>
      <c r="Q994" t="s">
        <v>44</v>
      </c>
      <c r="R994" t="s">
        <v>45</v>
      </c>
      <c r="S994" t="b">
        <v>0</v>
      </c>
      <c r="T994" t="b">
        <v>0</v>
      </c>
      <c r="U994" t="b">
        <v>0</v>
      </c>
      <c r="V994" t="b">
        <v>1</v>
      </c>
      <c r="W994" t="b">
        <v>0</v>
      </c>
      <c r="X994">
        <v>1.8</v>
      </c>
      <c r="Y994">
        <v>8.3000000000000007</v>
      </c>
      <c r="Z994">
        <v>3</v>
      </c>
      <c r="AA994">
        <v>8.1999999999999993</v>
      </c>
      <c r="AB994" s="3">
        <v>143.47999999999999</v>
      </c>
      <c r="AC994" s="3"/>
      <c r="AD994">
        <v>8</v>
      </c>
      <c r="AE994" t="s">
        <v>46</v>
      </c>
      <c r="AF994" s="4"/>
    </row>
    <row r="995" spans="1:32" x14ac:dyDescent="0.3">
      <c r="A995" t="s">
        <v>1086</v>
      </c>
      <c r="B995">
        <v>32</v>
      </c>
      <c r="C995" t="str">
        <f t="shared" si="15"/>
        <v>Old Adults</v>
      </c>
      <c r="D995" t="s">
        <v>53</v>
      </c>
      <c r="E995">
        <v>4.9000000000000004</v>
      </c>
      <c r="G995" t="s">
        <v>54</v>
      </c>
      <c r="H995" t="s">
        <v>55</v>
      </c>
      <c r="I995" t="s">
        <v>71</v>
      </c>
      <c r="J995">
        <v>5.7</v>
      </c>
      <c r="L995" t="s">
        <v>51</v>
      </c>
      <c r="M995" t="s">
        <v>74</v>
      </c>
      <c r="N995" t="s">
        <v>51</v>
      </c>
      <c r="P995">
        <v>4</v>
      </c>
      <c r="Q995" t="s">
        <v>69</v>
      </c>
      <c r="R995" t="s">
        <v>36</v>
      </c>
      <c r="S995" t="b">
        <v>0</v>
      </c>
      <c r="T995" t="b">
        <v>0</v>
      </c>
      <c r="U995" t="b">
        <v>0</v>
      </c>
      <c r="V995" t="b">
        <v>0</v>
      </c>
      <c r="W995" t="b">
        <v>0</v>
      </c>
      <c r="X995">
        <v>1.4</v>
      </c>
      <c r="Y995">
        <v>6.4</v>
      </c>
      <c r="Z995">
        <v>5</v>
      </c>
      <c r="AA995">
        <v>9.6</v>
      </c>
      <c r="AB995" s="3">
        <v>18.84</v>
      </c>
      <c r="AC995" s="3"/>
      <c r="AD995">
        <v>18</v>
      </c>
      <c r="AE995" t="s">
        <v>46</v>
      </c>
      <c r="AF995" s="4"/>
    </row>
    <row r="996" spans="1:32" x14ac:dyDescent="0.3">
      <c r="A996" t="s">
        <v>1087</v>
      </c>
      <c r="B996">
        <v>20</v>
      </c>
      <c r="C996" t="str">
        <f t="shared" si="15"/>
        <v>Young Adults</v>
      </c>
      <c r="D996" t="s">
        <v>53</v>
      </c>
      <c r="E996">
        <v>9.3000000000000007</v>
      </c>
      <c r="G996" t="s">
        <v>60</v>
      </c>
      <c r="H996" t="s">
        <v>61</v>
      </c>
      <c r="I996" t="s">
        <v>71</v>
      </c>
      <c r="J996">
        <v>5.8</v>
      </c>
      <c r="L996" t="s">
        <v>41</v>
      </c>
      <c r="M996" t="s">
        <v>42</v>
      </c>
      <c r="N996" t="s">
        <v>51</v>
      </c>
      <c r="O996">
        <v>2.5299999999999998</v>
      </c>
      <c r="P996">
        <v>8</v>
      </c>
      <c r="Q996" t="s">
        <v>63</v>
      </c>
      <c r="R996" t="s">
        <v>36</v>
      </c>
      <c r="S996" t="b">
        <v>0</v>
      </c>
      <c r="T996" t="b">
        <v>1</v>
      </c>
      <c r="U996" t="b">
        <v>1</v>
      </c>
      <c r="V996" t="b">
        <v>0</v>
      </c>
      <c r="W996" t="b">
        <v>0</v>
      </c>
      <c r="X996">
        <v>0.4</v>
      </c>
      <c r="Y996">
        <v>4.4000000000000004</v>
      </c>
      <c r="Z996">
        <v>6</v>
      </c>
      <c r="AA996">
        <v>6.1</v>
      </c>
      <c r="AB996" s="3">
        <v>220.04</v>
      </c>
      <c r="AC996" s="3"/>
      <c r="AD996">
        <v>10</v>
      </c>
      <c r="AE996" t="s">
        <v>37</v>
      </c>
      <c r="AF996" s="4"/>
    </row>
    <row r="997" spans="1:32" x14ac:dyDescent="0.3">
      <c r="A997" t="s">
        <v>1088</v>
      </c>
      <c r="B997">
        <v>15</v>
      </c>
      <c r="C997" t="str">
        <f t="shared" si="15"/>
        <v>Teenager</v>
      </c>
      <c r="D997" t="s">
        <v>53</v>
      </c>
      <c r="E997">
        <v>8.6</v>
      </c>
      <c r="G997" t="s">
        <v>82</v>
      </c>
      <c r="H997" t="s">
        <v>134</v>
      </c>
      <c r="I997" t="s">
        <v>31</v>
      </c>
      <c r="J997">
        <v>4.0999999999999996</v>
      </c>
      <c r="L997" t="s">
        <v>32</v>
      </c>
      <c r="M997" t="s">
        <v>74</v>
      </c>
      <c r="N997" t="s">
        <v>62</v>
      </c>
      <c r="O997">
        <v>2.96</v>
      </c>
      <c r="Q997" t="s">
        <v>80</v>
      </c>
      <c r="R997" t="s">
        <v>33</v>
      </c>
      <c r="S997" t="b">
        <v>1</v>
      </c>
      <c r="T997" t="b">
        <v>0</v>
      </c>
      <c r="U997" t="b">
        <v>1</v>
      </c>
      <c r="V997" t="b">
        <v>1</v>
      </c>
      <c r="W997" t="b">
        <v>1</v>
      </c>
      <c r="X997">
        <v>1.9</v>
      </c>
      <c r="Y997">
        <v>7.5</v>
      </c>
      <c r="Z997">
        <v>6</v>
      </c>
      <c r="AA997">
        <v>2.4</v>
      </c>
      <c r="AB997" s="3">
        <v>426.54</v>
      </c>
      <c r="AC997" s="3"/>
      <c r="AD997">
        <v>3</v>
      </c>
      <c r="AE997" t="s">
        <v>37</v>
      </c>
      <c r="AF997" s="4"/>
    </row>
    <row r="998" spans="1:32" x14ac:dyDescent="0.3">
      <c r="A998" t="s">
        <v>1089</v>
      </c>
      <c r="B998">
        <v>18</v>
      </c>
      <c r="C998" t="str">
        <f t="shared" si="15"/>
        <v>Teenager</v>
      </c>
      <c r="D998" t="s">
        <v>28</v>
      </c>
      <c r="E998">
        <v>5.4</v>
      </c>
      <c r="G998" t="s">
        <v>76</v>
      </c>
      <c r="H998" t="s">
        <v>126</v>
      </c>
      <c r="I998" t="s">
        <v>50</v>
      </c>
      <c r="J998">
        <v>6.5</v>
      </c>
      <c r="L998" t="s">
        <v>41</v>
      </c>
      <c r="M998" t="s">
        <v>36</v>
      </c>
      <c r="N998" t="s">
        <v>84</v>
      </c>
      <c r="O998">
        <v>3.42</v>
      </c>
      <c r="Q998" t="s">
        <v>63</v>
      </c>
      <c r="R998" t="s">
        <v>45</v>
      </c>
      <c r="S998" t="b">
        <v>0</v>
      </c>
      <c r="T998" t="b">
        <v>0</v>
      </c>
      <c r="U998" t="b">
        <v>0</v>
      </c>
      <c r="V998" t="b">
        <v>1</v>
      </c>
      <c r="W998" t="b">
        <v>0</v>
      </c>
      <c r="X998">
        <v>2.1</v>
      </c>
      <c r="Y998">
        <v>7.7</v>
      </c>
      <c r="Z998">
        <v>1</v>
      </c>
      <c r="AA998">
        <v>10.9</v>
      </c>
      <c r="AB998" s="3">
        <v>83.71</v>
      </c>
      <c r="AC998" s="3"/>
      <c r="AD998">
        <v>7</v>
      </c>
      <c r="AE998" t="s">
        <v>46</v>
      </c>
      <c r="AF998" s="4"/>
    </row>
    <row r="999" spans="1:32" x14ac:dyDescent="0.3">
      <c r="A999" t="s">
        <v>1090</v>
      </c>
      <c r="B999">
        <v>23</v>
      </c>
      <c r="C999" t="str">
        <f t="shared" si="15"/>
        <v>Young Adults</v>
      </c>
      <c r="D999" t="s">
        <v>28</v>
      </c>
      <c r="E999">
        <v>7.3</v>
      </c>
      <c r="G999" t="s">
        <v>54</v>
      </c>
      <c r="H999" t="s">
        <v>55</v>
      </c>
      <c r="I999" t="s">
        <v>31</v>
      </c>
      <c r="J999">
        <v>3.9</v>
      </c>
      <c r="L999" t="s">
        <v>78</v>
      </c>
      <c r="M999" t="s">
        <v>42</v>
      </c>
      <c r="N999" t="s">
        <v>51</v>
      </c>
      <c r="P999">
        <v>3</v>
      </c>
      <c r="Q999" t="s">
        <v>56</v>
      </c>
      <c r="R999" t="s">
        <v>57</v>
      </c>
      <c r="S999" t="b">
        <v>1</v>
      </c>
      <c r="T999" t="b">
        <v>1</v>
      </c>
      <c r="U999" t="b">
        <v>0</v>
      </c>
      <c r="V999" t="b">
        <v>0</v>
      </c>
      <c r="W999" t="b">
        <v>1</v>
      </c>
      <c r="X999">
        <v>0.5</v>
      </c>
      <c r="Y999">
        <v>8.1</v>
      </c>
      <c r="Z999">
        <v>5</v>
      </c>
      <c r="AA999">
        <v>6.7</v>
      </c>
      <c r="AB999" s="3">
        <v>88.6</v>
      </c>
      <c r="AC999" s="3"/>
      <c r="AD999">
        <v>5</v>
      </c>
      <c r="AE999" t="s">
        <v>58</v>
      </c>
      <c r="AF999" s="4"/>
    </row>
    <row r="1000" spans="1:32" x14ac:dyDescent="0.3">
      <c r="A1000" t="s">
        <v>1091</v>
      </c>
      <c r="B1000">
        <v>18</v>
      </c>
      <c r="C1000" t="str">
        <f t="shared" si="15"/>
        <v>Teenager</v>
      </c>
      <c r="D1000" t="s">
        <v>28</v>
      </c>
      <c r="E1000">
        <v>3.1</v>
      </c>
      <c r="G1000" t="s">
        <v>82</v>
      </c>
      <c r="H1000" t="s">
        <v>83</v>
      </c>
      <c r="I1000" t="s">
        <v>71</v>
      </c>
      <c r="J1000">
        <v>8.1999999999999993</v>
      </c>
      <c r="L1000" t="s">
        <v>41</v>
      </c>
      <c r="M1000" t="s">
        <v>33</v>
      </c>
      <c r="N1000" t="s">
        <v>43</v>
      </c>
      <c r="O1000">
        <v>1.03</v>
      </c>
      <c r="Q1000" t="s">
        <v>66</v>
      </c>
      <c r="R1000" t="s">
        <v>42</v>
      </c>
      <c r="S1000" t="b">
        <v>0</v>
      </c>
      <c r="T1000" t="b">
        <v>0</v>
      </c>
      <c r="U1000" t="b">
        <v>0</v>
      </c>
      <c r="V1000" t="b">
        <v>0</v>
      </c>
      <c r="W1000" t="b">
        <v>0</v>
      </c>
      <c r="X1000">
        <v>0.8</v>
      </c>
      <c r="Y1000">
        <v>8.4</v>
      </c>
      <c r="Z1000">
        <v>1</v>
      </c>
      <c r="AA1000">
        <v>12.7</v>
      </c>
      <c r="AB1000" s="3">
        <v>22.02</v>
      </c>
      <c r="AC1000" s="3"/>
      <c r="AD1000">
        <v>8</v>
      </c>
      <c r="AE1000" t="s">
        <v>46</v>
      </c>
      <c r="AF1000" s="4"/>
    </row>
    <row r="1001" spans="1:32" x14ac:dyDescent="0.3">
      <c r="A1001" t="s">
        <v>1092</v>
      </c>
      <c r="B1001">
        <v>29</v>
      </c>
      <c r="C1001" t="str">
        <f t="shared" si="15"/>
        <v>Young Adults</v>
      </c>
      <c r="D1001" t="s">
        <v>28</v>
      </c>
      <c r="E1001">
        <v>3.5</v>
      </c>
      <c r="G1001" t="s">
        <v>54</v>
      </c>
      <c r="H1001" t="s">
        <v>98</v>
      </c>
      <c r="I1001" t="s">
        <v>50</v>
      </c>
      <c r="J1001">
        <v>7.4</v>
      </c>
      <c r="L1001" t="s">
        <v>43</v>
      </c>
      <c r="M1001" t="s">
        <v>33</v>
      </c>
      <c r="N1001" t="s">
        <v>34</v>
      </c>
      <c r="P1001">
        <v>6</v>
      </c>
      <c r="Q1001" t="s">
        <v>66</v>
      </c>
      <c r="R1001" t="s">
        <v>57</v>
      </c>
      <c r="S1001" t="b">
        <v>0</v>
      </c>
      <c r="T1001" t="b">
        <v>0</v>
      </c>
      <c r="U1001" t="b">
        <v>0</v>
      </c>
      <c r="V1001" t="b">
        <v>0</v>
      </c>
      <c r="W1001" t="b">
        <v>0</v>
      </c>
      <c r="X1001">
        <v>0</v>
      </c>
      <c r="Y1001">
        <v>9.3000000000000007</v>
      </c>
      <c r="Z1001">
        <v>2</v>
      </c>
      <c r="AA1001">
        <v>10.9</v>
      </c>
      <c r="AB1001" s="3">
        <v>25.2</v>
      </c>
      <c r="AC1001" s="3"/>
      <c r="AD1001">
        <v>19</v>
      </c>
      <c r="AE1001" t="s">
        <v>46</v>
      </c>
      <c r="AF1001"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B068C-6035-4A5A-B693-169AC672964B}">
  <dimension ref="A1:AI29"/>
  <sheetViews>
    <sheetView workbookViewId="0">
      <selection activeCell="A3" sqref="A3:AI29"/>
    </sheetView>
  </sheetViews>
  <sheetFormatPr defaultRowHeight="14.4" x14ac:dyDescent="0.3"/>
  <cols>
    <col min="1" max="1" width="11.21875" bestFit="1" customWidth="1"/>
    <col min="2" max="2" width="9" bestFit="1" customWidth="1"/>
    <col min="3" max="3" width="14.44140625" bestFit="1" customWidth="1"/>
    <col min="4" max="4" width="9.109375" bestFit="1" customWidth="1"/>
    <col min="5" max="5" width="20.44140625" bestFit="1" customWidth="1"/>
    <col min="6" max="6" width="18.77734375" bestFit="1" customWidth="1"/>
    <col min="7" max="7" width="13.6640625" bestFit="1" customWidth="1"/>
    <col min="8" max="8" width="16.5546875" bestFit="1" customWidth="1"/>
    <col min="9" max="9" width="17.88671875" bestFit="1" customWidth="1"/>
    <col min="10" max="10" width="13.33203125" bestFit="1" customWidth="1"/>
    <col min="11" max="11" width="16.77734375" bestFit="1" customWidth="1"/>
    <col min="12" max="12" width="14.33203125" bestFit="1" customWidth="1"/>
    <col min="13" max="13" width="27" bestFit="1" customWidth="1"/>
    <col min="14" max="14" width="28.77734375" bestFit="1" customWidth="1"/>
    <col min="15" max="15" width="12.88671875" bestFit="1" customWidth="1"/>
    <col min="16" max="16" width="24.44140625" bestFit="1" customWidth="1"/>
    <col min="17" max="17" width="13.33203125" bestFit="1" customWidth="1"/>
    <col min="18" max="18" width="23.88671875" bestFit="1" customWidth="1"/>
    <col min="19" max="19" width="22.5546875" bestFit="1" customWidth="1"/>
    <col min="20" max="20" width="23" bestFit="1" customWidth="1"/>
    <col min="21" max="21" width="28.21875" bestFit="1" customWidth="1"/>
    <col min="22" max="22" width="11.88671875" bestFit="1" customWidth="1"/>
    <col min="23" max="23" width="17" bestFit="1" customWidth="1"/>
    <col min="24" max="24" width="19.109375" bestFit="1" customWidth="1"/>
    <col min="25" max="25" width="22.77734375" bestFit="1" customWidth="1"/>
    <col min="26" max="26" width="21.6640625" bestFit="1" customWidth="1"/>
    <col min="27" max="27" width="33" bestFit="1" customWidth="1"/>
    <col min="28" max="28" width="29.109375" bestFit="1" customWidth="1"/>
    <col min="29" max="29" width="22.44140625" bestFit="1" customWidth="1"/>
    <col min="30" max="30" width="14.88671875" bestFit="1" customWidth="1"/>
    <col min="31" max="31" width="27.44140625" bestFit="1" customWidth="1"/>
    <col min="32" max="32" width="10.33203125" bestFit="1" customWidth="1"/>
    <col min="33" max="33" width="9" bestFit="1" customWidth="1"/>
    <col min="34" max="34" width="13" bestFit="1" customWidth="1"/>
    <col min="35" max="35" width="9" bestFit="1" customWidth="1"/>
  </cols>
  <sheetData>
    <row r="1" spans="1:35" x14ac:dyDescent="0.3">
      <c r="A1" s="8" t="s">
        <v>1108</v>
      </c>
    </row>
    <row r="3" spans="1:35" x14ac:dyDescent="0.3">
      <c r="A3" t="s">
        <v>0</v>
      </c>
      <c r="B3" t="s">
        <v>1</v>
      </c>
      <c r="C3" t="s">
        <v>1104</v>
      </c>
      <c r="D3" t="s">
        <v>2</v>
      </c>
      <c r="E3" t="s">
        <v>3</v>
      </c>
      <c r="F3" t="s">
        <v>1093</v>
      </c>
      <c r="G3" t="s">
        <v>4</v>
      </c>
      <c r="H3" t="s">
        <v>5</v>
      </c>
      <c r="I3" t="s">
        <v>6</v>
      </c>
      <c r="J3" t="s">
        <v>7</v>
      </c>
      <c r="K3" t="s">
        <v>1094</v>
      </c>
      <c r="L3" t="s">
        <v>8</v>
      </c>
      <c r="M3" t="s">
        <v>9</v>
      </c>
      <c r="N3" t="s">
        <v>10</v>
      </c>
      <c r="O3" t="s">
        <v>11</v>
      </c>
      <c r="P3" t="s">
        <v>12</v>
      </c>
      <c r="Q3" t="s">
        <v>13</v>
      </c>
      <c r="R3" t="s">
        <v>14</v>
      </c>
      <c r="S3" t="s">
        <v>15</v>
      </c>
      <c r="T3" t="s">
        <v>16</v>
      </c>
      <c r="U3" t="s">
        <v>17</v>
      </c>
      <c r="V3" t="s">
        <v>18</v>
      </c>
      <c r="W3" t="s">
        <v>19</v>
      </c>
      <c r="X3" t="s">
        <v>20</v>
      </c>
      <c r="Y3" t="s">
        <v>21</v>
      </c>
      <c r="Z3" t="s">
        <v>22</v>
      </c>
      <c r="AA3" t="s">
        <v>23</v>
      </c>
      <c r="AB3" t="s">
        <v>24</v>
      </c>
      <c r="AC3" t="s">
        <v>1095</v>
      </c>
      <c r="AD3" t="s">
        <v>25</v>
      </c>
      <c r="AE3" t="s">
        <v>26</v>
      </c>
      <c r="AF3" t="s">
        <v>1096</v>
      </c>
      <c r="AG3" t="s">
        <v>1097</v>
      </c>
      <c r="AH3" t="s">
        <v>1098</v>
      </c>
      <c r="AI3" t="s">
        <v>1099</v>
      </c>
    </row>
    <row r="4" spans="1:35" x14ac:dyDescent="0.3">
      <c r="A4" t="s">
        <v>1086</v>
      </c>
      <c r="B4">
        <v>32</v>
      </c>
      <c r="C4" t="s">
        <v>1105</v>
      </c>
      <c r="D4" t="s">
        <v>53</v>
      </c>
      <c r="E4">
        <v>4.9000000000000004</v>
      </c>
      <c r="G4" t="s">
        <v>54</v>
      </c>
      <c r="H4" t="s">
        <v>55</v>
      </c>
      <c r="I4" t="s">
        <v>71</v>
      </c>
      <c r="J4">
        <v>5.7</v>
      </c>
      <c r="L4" t="s">
        <v>51</v>
      </c>
      <c r="M4" t="s">
        <v>74</v>
      </c>
      <c r="N4" t="s">
        <v>51</v>
      </c>
      <c r="P4">
        <v>4</v>
      </c>
      <c r="Q4" t="s">
        <v>69</v>
      </c>
      <c r="R4" t="s">
        <v>36</v>
      </c>
      <c r="S4" t="b">
        <v>0</v>
      </c>
      <c r="T4" t="b">
        <v>0</v>
      </c>
      <c r="U4" t="b">
        <v>0</v>
      </c>
      <c r="V4" t="b">
        <v>0</v>
      </c>
      <c r="W4" t="b">
        <v>0</v>
      </c>
      <c r="X4">
        <v>1.4</v>
      </c>
      <c r="Y4">
        <v>6.4</v>
      </c>
      <c r="Z4">
        <v>5</v>
      </c>
      <c r="AA4">
        <v>9.6</v>
      </c>
      <c r="AB4">
        <v>18.84</v>
      </c>
      <c r="AD4">
        <v>18</v>
      </c>
      <c r="AE4" t="s">
        <v>46</v>
      </c>
    </row>
    <row r="5" spans="1:35" x14ac:dyDescent="0.3">
      <c r="A5" t="s">
        <v>1039</v>
      </c>
      <c r="B5">
        <v>33</v>
      </c>
      <c r="C5" t="s">
        <v>1105</v>
      </c>
      <c r="D5" t="s">
        <v>28</v>
      </c>
      <c r="E5">
        <v>8.9</v>
      </c>
      <c r="G5" t="s">
        <v>39</v>
      </c>
      <c r="H5" t="s">
        <v>40</v>
      </c>
      <c r="I5" t="s">
        <v>50</v>
      </c>
      <c r="J5">
        <v>5.5</v>
      </c>
      <c r="L5" t="s">
        <v>51</v>
      </c>
      <c r="M5" t="s">
        <v>74</v>
      </c>
      <c r="N5" t="s">
        <v>34</v>
      </c>
      <c r="P5">
        <v>6</v>
      </c>
      <c r="Q5" t="s">
        <v>44</v>
      </c>
      <c r="R5" t="s">
        <v>36</v>
      </c>
      <c r="S5" t="b">
        <v>1</v>
      </c>
      <c r="T5" t="b">
        <v>0</v>
      </c>
      <c r="U5" t="b">
        <v>0</v>
      </c>
      <c r="V5" t="b">
        <v>1</v>
      </c>
      <c r="W5" t="b">
        <v>1</v>
      </c>
      <c r="X5">
        <v>5.3</v>
      </c>
      <c r="Y5">
        <v>7.5</v>
      </c>
      <c r="Z5">
        <v>4</v>
      </c>
      <c r="AA5">
        <v>3.6</v>
      </c>
      <c r="AB5">
        <v>129.13</v>
      </c>
      <c r="AD5">
        <v>1</v>
      </c>
      <c r="AE5" t="s">
        <v>58</v>
      </c>
    </row>
    <row r="6" spans="1:35" x14ac:dyDescent="0.3">
      <c r="A6" t="s">
        <v>884</v>
      </c>
      <c r="B6">
        <v>34</v>
      </c>
      <c r="C6" t="s">
        <v>1105</v>
      </c>
      <c r="D6" t="s">
        <v>28</v>
      </c>
      <c r="E6">
        <v>1.4</v>
      </c>
      <c r="G6" t="s">
        <v>29</v>
      </c>
      <c r="H6" t="s">
        <v>118</v>
      </c>
      <c r="I6" t="s">
        <v>50</v>
      </c>
      <c r="J6">
        <v>8.3000000000000007</v>
      </c>
      <c r="L6" t="s">
        <v>43</v>
      </c>
      <c r="M6" t="s">
        <v>45</v>
      </c>
      <c r="N6" t="s">
        <v>43</v>
      </c>
      <c r="P6">
        <v>9</v>
      </c>
      <c r="Q6" t="s">
        <v>80</v>
      </c>
      <c r="R6" t="s">
        <v>36</v>
      </c>
      <c r="S6" t="b">
        <v>0</v>
      </c>
      <c r="T6" t="b">
        <v>0</v>
      </c>
      <c r="U6" t="b">
        <v>0</v>
      </c>
      <c r="V6" t="b">
        <v>0</v>
      </c>
      <c r="W6" t="b">
        <v>0</v>
      </c>
      <c r="X6">
        <v>0.3</v>
      </c>
      <c r="Y6">
        <v>10.4</v>
      </c>
      <c r="Z6">
        <v>1</v>
      </c>
      <c r="AA6">
        <v>13.5</v>
      </c>
      <c r="AB6">
        <v>48.31</v>
      </c>
      <c r="AD6">
        <v>16</v>
      </c>
      <c r="AE6" t="s">
        <v>46</v>
      </c>
    </row>
    <row r="7" spans="1:35" x14ac:dyDescent="0.3">
      <c r="A7" t="s">
        <v>852</v>
      </c>
      <c r="B7">
        <v>33</v>
      </c>
      <c r="C7" t="s">
        <v>1105</v>
      </c>
      <c r="D7" t="s">
        <v>53</v>
      </c>
      <c r="E7">
        <v>5.5</v>
      </c>
      <c r="G7" t="s">
        <v>39</v>
      </c>
      <c r="H7" t="s">
        <v>93</v>
      </c>
      <c r="I7" t="s">
        <v>31</v>
      </c>
      <c r="J7">
        <v>6.1</v>
      </c>
      <c r="L7" t="s">
        <v>43</v>
      </c>
      <c r="M7" t="s">
        <v>36</v>
      </c>
      <c r="N7" t="s">
        <v>34</v>
      </c>
      <c r="P7">
        <v>5</v>
      </c>
      <c r="Q7" t="s">
        <v>66</v>
      </c>
      <c r="R7" t="s">
        <v>36</v>
      </c>
      <c r="S7" t="b">
        <v>0</v>
      </c>
      <c r="T7" t="b">
        <v>1</v>
      </c>
      <c r="U7" t="b">
        <v>0</v>
      </c>
      <c r="V7" t="b">
        <v>0</v>
      </c>
      <c r="W7" t="b">
        <v>0</v>
      </c>
      <c r="X7">
        <v>1.4</v>
      </c>
      <c r="Y7">
        <v>8.1</v>
      </c>
      <c r="Z7">
        <v>3</v>
      </c>
      <c r="AA7">
        <v>6.4</v>
      </c>
      <c r="AB7">
        <v>82.37</v>
      </c>
      <c r="AD7">
        <v>6</v>
      </c>
      <c r="AE7" t="s">
        <v>64</v>
      </c>
    </row>
    <row r="8" spans="1:35" x14ac:dyDescent="0.3">
      <c r="A8" t="s">
        <v>767</v>
      </c>
      <c r="B8">
        <v>33</v>
      </c>
      <c r="C8" t="s">
        <v>1105</v>
      </c>
      <c r="D8" t="s">
        <v>28</v>
      </c>
      <c r="E8">
        <v>4.2</v>
      </c>
      <c r="G8" t="s">
        <v>76</v>
      </c>
      <c r="H8" t="s">
        <v>110</v>
      </c>
      <c r="I8" t="s">
        <v>31</v>
      </c>
      <c r="J8">
        <v>5.9</v>
      </c>
      <c r="L8" t="s">
        <v>41</v>
      </c>
      <c r="M8" t="s">
        <v>33</v>
      </c>
      <c r="N8" t="s">
        <v>84</v>
      </c>
      <c r="P8">
        <v>7</v>
      </c>
      <c r="Q8" t="s">
        <v>66</v>
      </c>
      <c r="R8" t="s">
        <v>42</v>
      </c>
      <c r="S8" t="b">
        <v>0</v>
      </c>
      <c r="T8" t="b">
        <v>0</v>
      </c>
      <c r="U8" t="b">
        <v>0</v>
      </c>
      <c r="V8" t="b">
        <v>0</v>
      </c>
      <c r="W8" t="b">
        <v>0</v>
      </c>
      <c r="X8">
        <v>0</v>
      </c>
      <c r="Y8">
        <v>6.2</v>
      </c>
      <c r="Z8">
        <v>2</v>
      </c>
      <c r="AA8">
        <v>10.5</v>
      </c>
      <c r="AB8">
        <v>17.420000000000002</v>
      </c>
      <c r="AD8">
        <v>18</v>
      </c>
      <c r="AE8" t="s">
        <v>46</v>
      </c>
    </row>
    <row r="9" spans="1:35" x14ac:dyDescent="0.3">
      <c r="A9" t="s">
        <v>761</v>
      </c>
      <c r="B9">
        <v>31</v>
      </c>
      <c r="C9" t="s">
        <v>1105</v>
      </c>
      <c r="D9" t="s">
        <v>28</v>
      </c>
      <c r="E9">
        <v>1.4</v>
      </c>
      <c r="G9" t="s">
        <v>54</v>
      </c>
      <c r="H9" t="s">
        <v>55</v>
      </c>
      <c r="I9" t="s">
        <v>71</v>
      </c>
      <c r="J9">
        <v>8.8000000000000007</v>
      </c>
      <c r="L9" t="s">
        <v>43</v>
      </c>
      <c r="M9" t="s">
        <v>74</v>
      </c>
      <c r="N9" t="s">
        <v>51</v>
      </c>
      <c r="P9">
        <v>1</v>
      </c>
      <c r="Q9" t="s">
        <v>44</v>
      </c>
      <c r="R9" t="s">
        <v>36</v>
      </c>
      <c r="S9" t="b">
        <v>0</v>
      </c>
      <c r="T9" t="b">
        <v>0</v>
      </c>
      <c r="U9" t="b">
        <v>0</v>
      </c>
      <c r="V9" t="b">
        <v>0</v>
      </c>
      <c r="W9" t="b">
        <v>0</v>
      </c>
      <c r="X9">
        <v>0.3</v>
      </c>
      <c r="Y9">
        <v>10.5</v>
      </c>
      <c r="Z9">
        <v>1</v>
      </c>
      <c r="AA9">
        <v>14.6</v>
      </c>
      <c r="AB9">
        <v>24.22</v>
      </c>
      <c r="AD9">
        <v>3</v>
      </c>
      <c r="AE9" t="s">
        <v>46</v>
      </c>
    </row>
    <row r="10" spans="1:35" x14ac:dyDescent="0.3">
      <c r="A10" t="s">
        <v>757</v>
      </c>
      <c r="B10">
        <v>33</v>
      </c>
      <c r="C10" t="s">
        <v>1105</v>
      </c>
      <c r="D10" t="s">
        <v>53</v>
      </c>
      <c r="E10">
        <v>3.7</v>
      </c>
      <c r="G10" t="s">
        <v>60</v>
      </c>
      <c r="H10" t="s">
        <v>200</v>
      </c>
      <c r="I10" t="s">
        <v>71</v>
      </c>
      <c r="J10">
        <v>6.5</v>
      </c>
      <c r="L10" t="s">
        <v>51</v>
      </c>
      <c r="M10" t="s">
        <v>36</v>
      </c>
      <c r="N10" t="s">
        <v>62</v>
      </c>
      <c r="P10">
        <v>10</v>
      </c>
      <c r="Q10" t="s">
        <v>105</v>
      </c>
      <c r="R10" t="s">
        <v>33</v>
      </c>
      <c r="S10" t="b">
        <v>0</v>
      </c>
      <c r="T10" t="b">
        <v>0</v>
      </c>
      <c r="U10" t="b">
        <v>0</v>
      </c>
      <c r="V10" t="b">
        <v>0</v>
      </c>
      <c r="W10" t="b">
        <v>0</v>
      </c>
      <c r="X10">
        <v>0.1</v>
      </c>
      <c r="Y10">
        <v>9.3000000000000007</v>
      </c>
      <c r="Z10">
        <v>3</v>
      </c>
      <c r="AA10">
        <v>11.5</v>
      </c>
      <c r="AB10">
        <v>23.14</v>
      </c>
      <c r="AD10">
        <v>14</v>
      </c>
      <c r="AE10" t="s">
        <v>46</v>
      </c>
    </row>
    <row r="11" spans="1:35" x14ac:dyDescent="0.3">
      <c r="A11" t="s">
        <v>718</v>
      </c>
      <c r="B11">
        <v>35</v>
      </c>
      <c r="C11" t="s">
        <v>1105</v>
      </c>
      <c r="D11" t="s">
        <v>28</v>
      </c>
      <c r="E11">
        <v>6.9</v>
      </c>
      <c r="G11" t="s">
        <v>82</v>
      </c>
      <c r="H11" t="s">
        <v>83</v>
      </c>
      <c r="I11" t="s">
        <v>86</v>
      </c>
      <c r="J11">
        <v>5.2</v>
      </c>
      <c r="L11" t="s">
        <v>32</v>
      </c>
      <c r="M11" t="s">
        <v>45</v>
      </c>
      <c r="N11" t="s">
        <v>129</v>
      </c>
      <c r="P11">
        <v>8</v>
      </c>
      <c r="Q11" t="s">
        <v>66</v>
      </c>
      <c r="R11" t="s">
        <v>36</v>
      </c>
      <c r="S11" t="b">
        <v>1</v>
      </c>
      <c r="T11" t="b">
        <v>1</v>
      </c>
      <c r="U11" t="b">
        <v>0</v>
      </c>
      <c r="V11" t="b">
        <v>1</v>
      </c>
      <c r="W11" t="b">
        <v>0</v>
      </c>
      <c r="X11">
        <v>2.2999999999999998</v>
      </c>
      <c r="Y11">
        <v>7.8</v>
      </c>
      <c r="Z11">
        <v>5</v>
      </c>
      <c r="AA11">
        <v>5.7</v>
      </c>
      <c r="AB11">
        <v>105.61</v>
      </c>
      <c r="AD11">
        <v>7</v>
      </c>
      <c r="AE11" t="s">
        <v>58</v>
      </c>
    </row>
    <row r="12" spans="1:35" x14ac:dyDescent="0.3">
      <c r="A12" t="s">
        <v>662</v>
      </c>
      <c r="B12">
        <v>34</v>
      </c>
      <c r="C12" t="s">
        <v>1105</v>
      </c>
      <c r="D12" t="s">
        <v>28</v>
      </c>
      <c r="E12">
        <v>3.9</v>
      </c>
      <c r="G12" t="s">
        <v>39</v>
      </c>
      <c r="H12" t="s">
        <v>40</v>
      </c>
      <c r="I12" t="s">
        <v>31</v>
      </c>
      <c r="J12">
        <v>5.0999999999999996</v>
      </c>
      <c r="L12" t="s">
        <v>41</v>
      </c>
      <c r="M12" t="s">
        <v>33</v>
      </c>
      <c r="N12" t="s">
        <v>84</v>
      </c>
      <c r="P12">
        <v>2</v>
      </c>
      <c r="Q12" t="s">
        <v>44</v>
      </c>
      <c r="R12" t="s">
        <v>33</v>
      </c>
      <c r="S12" t="b">
        <v>0</v>
      </c>
      <c r="T12" t="b">
        <v>0</v>
      </c>
      <c r="U12" t="b">
        <v>0</v>
      </c>
      <c r="V12" t="b">
        <v>0</v>
      </c>
      <c r="W12" t="b">
        <v>0</v>
      </c>
      <c r="X12">
        <v>0.1</v>
      </c>
      <c r="Y12">
        <v>6.5</v>
      </c>
      <c r="Z12">
        <v>2</v>
      </c>
      <c r="AA12">
        <v>8.8000000000000007</v>
      </c>
      <c r="AB12">
        <v>23.55</v>
      </c>
      <c r="AD12">
        <v>17</v>
      </c>
      <c r="AE12" t="s">
        <v>46</v>
      </c>
    </row>
    <row r="13" spans="1:35" x14ac:dyDescent="0.3">
      <c r="A13" t="s">
        <v>651</v>
      </c>
      <c r="B13">
        <v>33</v>
      </c>
      <c r="C13" t="s">
        <v>1105</v>
      </c>
      <c r="D13" t="s">
        <v>28</v>
      </c>
      <c r="E13">
        <v>5.2</v>
      </c>
      <c r="G13" t="s">
        <v>39</v>
      </c>
      <c r="H13" t="s">
        <v>120</v>
      </c>
      <c r="I13" t="s">
        <v>71</v>
      </c>
      <c r="J13">
        <v>5.3</v>
      </c>
      <c r="L13" t="s">
        <v>43</v>
      </c>
      <c r="M13" t="s">
        <v>42</v>
      </c>
      <c r="N13" t="s">
        <v>84</v>
      </c>
      <c r="P13">
        <v>10</v>
      </c>
      <c r="Q13" t="s">
        <v>44</v>
      </c>
      <c r="R13" t="s">
        <v>33</v>
      </c>
      <c r="S13" t="b">
        <v>0</v>
      </c>
      <c r="T13" t="b">
        <v>0</v>
      </c>
      <c r="U13" t="b">
        <v>0</v>
      </c>
      <c r="V13" t="b">
        <v>1</v>
      </c>
      <c r="W13" t="b">
        <v>0</v>
      </c>
      <c r="X13">
        <v>0.7</v>
      </c>
      <c r="Y13">
        <v>8.1999999999999993</v>
      </c>
      <c r="Z13">
        <v>2</v>
      </c>
      <c r="AA13">
        <v>9.1999999999999993</v>
      </c>
      <c r="AB13">
        <v>102.88</v>
      </c>
      <c r="AD13">
        <v>19</v>
      </c>
      <c r="AE13" t="s">
        <v>46</v>
      </c>
    </row>
    <row r="14" spans="1:35" x14ac:dyDescent="0.3">
      <c r="A14" t="s">
        <v>635</v>
      </c>
      <c r="B14">
        <v>31</v>
      </c>
      <c r="C14" t="s">
        <v>1105</v>
      </c>
      <c r="D14" t="s">
        <v>28</v>
      </c>
      <c r="E14">
        <v>10.4</v>
      </c>
      <c r="G14" t="s">
        <v>82</v>
      </c>
      <c r="H14" t="s">
        <v>167</v>
      </c>
      <c r="I14" t="s">
        <v>71</v>
      </c>
      <c r="J14">
        <v>3.2</v>
      </c>
      <c r="L14" t="s">
        <v>51</v>
      </c>
      <c r="M14" t="s">
        <v>33</v>
      </c>
      <c r="N14" t="s">
        <v>62</v>
      </c>
      <c r="P14">
        <v>10</v>
      </c>
      <c r="Q14" t="s">
        <v>66</v>
      </c>
      <c r="R14" t="s">
        <v>45</v>
      </c>
      <c r="S14" t="b">
        <v>0</v>
      </c>
      <c r="T14" t="b">
        <v>1</v>
      </c>
      <c r="U14" t="b">
        <v>1</v>
      </c>
      <c r="V14" t="b">
        <v>0</v>
      </c>
      <c r="W14" t="b">
        <v>0</v>
      </c>
      <c r="X14">
        <v>4.0999999999999996</v>
      </c>
      <c r="Y14">
        <v>7</v>
      </c>
      <c r="Z14">
        <v>7</v>
      </c>
      <c r="AA14">
        <v>1.8</v>
      </c>
      <c r="AB14">
        <v>339.48</v>
      </c>
      <c r="AD14">
        <v>7</v>
      </c>
      <c r="AE14" t="s">
        <v>37</v>
      </c>
    </row>
    <row r="15" spans="1:35" x14ac:dyDescent="0.3">
      <c r="A15" t="s">
        <v>532</v>
      </c>
      <c r="B15">
        <v>32</v>
      </c>
      <c r="C15" t="s">
        <v>1105</v>
      </c>
      <c r="D15" t="s">
        <v>53</v>
      </c>
      <c r="E15">
        <v>1</v>
      </c>
      <c r="G15" t="s">
        <v>48</v>
      </c>
      <c r="H15" t="s">
        <v>49</v>
      </c>
      <c r="I15" t="s">
        <v>86</v>
      </c>
      <c r="J15">
        <v>7.4</v>
      </c>
      <c r="L15" t="s">
        <v>43</v>
      </c>
      <c r="M15" t="s">
        <v>33</v>
      </c>
      <c r="N15" t="s">
        <v>34</v>
      </c>
      <c r="P15">
        <v>9</v>
      </c>
      <c r="Q15" t="s">
        <v>66</v>
      </c>
      <c r="R15" t="s">
        <v>57</v>
      </c>
      <c r="S15" t="b">
        <v>0</v>
      </c>
      <c r="T15" t="b">
        <v>0</v>
      </c>
      <c r="U15" t="b">
        <v>0</v>
      </c>
      <c r="V15" t="b">
        <v>0</v>
      </c>
      <c r="W15" t="b">
        <v>0</v>
      </c>
      <c r="X15">
        <v>0.2</v>
      </c>
      <c r="Y15">
        <v>8</v>
      </c>
      <c r="Z15">
        <v>1</v>
      </c>
      <c r="AA15">
        <v>14.3</v>
      </c>
      <c r="AB15">
        <v>49.46</v>
      </c>
      <c r="AD15">
        <v>3</v>
      </c>
      <c r="AE15" t="s">
        <v>46</v>
      </c>
    </row>
    <row r="16" spans="1:35" x14ac:dyDescent="0.3">
      <c r="A16" t="s">
        <v>511</v>
      </c>
      <c r="B16">
        <v>31</v>
      </c>
      <c r="C16" t="s">
        <v>1105</v>
      </c>
      <c r="D16" t="s">
        <v>53</v>
      </c>
      <c r="E16">
        <v>7.7</v>
      </c>
      <c r="G16" t="s">
        <v>54</v>
      </c>
      <c r="H16" t="s">
        <v>89</v>
      </c>
      <c r="I16" t="s">
        <v>50</v>
      </c>
      <c r="J16">
        <v>3.4</v>
      </c>
      <c r="L16" t="s">
        <v>51</v>
      </c>
      <c r="M16" t="s">
        <v>42</v>
      </c>
      <c r="N16" t="s">
        <v>34</v>
      </c>
      <c r="P16">
        <v>8</v>
      </c>
      <c r="Q16" t="s">
        <v>35</v>
      </c>
      <c r="R16" t="s">
        <v>33</v>
      </c>
      <c r="S16" t="b">
        <v>1</v>
      </c>
      <c r="T16" t="b">
        <v>1</v>
      </c>
      <c r="U16" t="b">
        <v>1</v>
      </c>
      <c r="V16" t="b">
        <v>1</v>
      </c>
      <c r="W16" t="b">
        <v>0</v>
      </c>
      <c r="X16">
        <v>2.8</v>
      </c>
      <c r="Y16">
        <v>6.4</v>
      </c>
      <c r="Z16">
        <v>5</v>
      </c>
      <c r="AA16">
        <v>3.2</v>
      </c>
      <c r="AB16">
        <v>38.14</v>
      </c>
      <c r="AD16">
        <v>1</v>
      </c>
      <c r="AE16" t="s">
        <v>37</v>
      </c>
    </row>
    <row r="17" spans="1:31" x14ac:dyDescent="0.3">
      <c r="A17" t="s">
        <v>502</v>
      </c>
      <c r="B17">
        <v>35</v>
      </c>
      <c r="C17" t="s">
        <v>1105</v>
      </c>
      <c r="D17" t="s">
        <v>53</v>
      </c>
      <c r="E17">
        <v>3.1</v>
      </c>
      <c r="G17" t="s">
        <v>60</v>
      </c>
      <c r="H17" t="s">
        <v>96</v>
      </c>
      <c r="I17" t="s">
        <v>86</v>
      </c>
      <c r="J17">
        <v>7.1</v>
      </c>
      <c r="L17" t="s">
        <v>41</v>
      </c>
      <c r="M17" t="s">
        <v>33</v>
      </c>
      <c r="N17" t="s">
        <v>62</v>
      </c>
      <c r="P17">
        <v>8</v>
      </c>
      <c r="Q17" t="s">
        <v>121</v>
      </c>
      <c r="R17" t="s">
        <v>42</v>
      </c>
      <c r="S17" t="b">
        <v>0</v>
      </c>
      <c r="T17" t="b">
        <v>0</v>
      </c>
      <c r="U17" t="b">
        <v>0</v>
      </c>
      <c r="V17" t="b">
        <v>0</v>
      </c>
      <c r="W17" t="b">
        <v>0</v>
      </c>
      <c r="X17">
        <v>1.1000000000000001</v>
      </c>
      <c r="Y17">
        <v>7.1</v>
      </c>
      <c r="Z17">
        <v>2</v>
      </c>
      <c r="AA17">
        <v>9.1</v>
      </c>
      <c r="AB17">
        <v>45.22</v>
      </c>
      <c r="AD17">
        <v>15</v>
      </c>
      <c r="AE17" t="s">
        <v>46</v>
      </c>
    </row>
    <row r="18" spans="1:31" x14ac:dyDescent="0.3">
      <c r="A18" t="s">
        <v>500</v>
      </c>
      <c r="B18">
        <v>31</v>
      </c>
      <c r="C18" t="s">
        <v>1105</v>
      </c>
      <c r="D18" t="s">
        <v>53</v>
      </c>
      <c r="E18">
        <v>3.6</v>
      </c>
      <c r="G18" t="s">
        <v>39</v>
      </c>
      <c r="H18" t="s">
        <v>93</v>
      </c>
      <c r="I18" t="s">
        <v>86</v>
      </c>
      <c r="J18">
        <v>6.3</v>
      </c>
      <c r="L18" t="s">
        <v>43</v>
      </c>
      <c r="M18" t="s">
        <v>42</v>
      </c>
      <c r="N18" t="s">
        <v>62</v>
      </c>
      <c r="P18">
        <v>2</v>
      </c>
      <c r="Q18" t="s">
        <v>105</v>
      </c>
      <c r="R18" t="s">
        <v>36</v>
      </c>
      <c r="S18" t="b">
        <v>0</v>
      </c>
      <c r="T18" t="b">
        <v>0</v>
      </c>
      <c r="U18" t="b">
        <v>0</v>
      </c>
      <c r="V18" t="b">
        <v>0</v>
      </c>
      <c r="W18" t="b">
        <v>0</v>
      </c>
      <c r="X18">
        <v>0.3</v>
      </c>
      <c r="Y18">
        <v>8.1999999999999993</v>
      </c>
      <c r="Z18">
        <v>1</v>
      </c>
      <c r="AA18">
        <v>12.4</v>
      </c>
      <c r="AB18">
        <v>23.15</v>
      </c>
      <c r="AD18">
        <v>5</v>
      </c>
      <c r="AE18" t="s">
        <v>46</v>
      </c>
    </row>
    <row r="19" spans="1:31" x14ac:dyDescent="0.3">
      <c r="A19" t="s">
        <v>434</v>
      </c>
      <c r="B19">
        <v>33</v>
      </c>
      <c r="C19" t="s">
        <v>1105</v>
      </c>
      <c r="D19" t="s">
        <v>28</v>
      </c>
      <c r="E19">
        <v>4.3</v>
      </c>
      <c r="G19" t="s">
        <v>76</v>
      </c>
      <c r="H19" t="s">
        <v>126</v>
      </c>
      <c r="I19" t="s">
        <v>86</v>
      </c>
      <c r="J19">
        <v>5.5</v>
      </c>
      <c r="L19" t="s">
        <v>41</v>
      </c>
      <c r="M19" t="s">
        <v>45</v>
      </c>
      <c r="N19" t="s">
        <v>62</v>
      </c>
      <c r="P19">
        <v>10</v>
      </c>
      <c r="Q19" t="s">
        <v>63</v>
      </c>
      <c r="R19" t="s">
        <v>42</v>
      </c>
      <c r="S19" t="b">
        <v>0</v>
      </c>
      <c r="T19" t="b">
        <v>0</v>
      </c>
      <c r="U19" t="b">
        <v>0</v>
      </c>
      <c r="V19" t="b">
        <v>0</v>
      </c>
      <c r="W19" t="b">
        <v>0</v>
      </c>
      <c r="X19">
        <v>0.2</v>
      </c>
      <c r="Y19">
        <v>6.1</v>
      </c>
      <c r="Z19">
        <v>3</v>
      </c>
      <c r="AA19">
        <v>9.6</v>
      </c>
      <c r="AB19">
        <v>2.87</v>
      </c>
      <c r="AD19">
        <v>5</v>
      </c>
      <c r="AE19" t="s">
        <v>46</v>
      </c>
    </row>
    <row r="20" spans="1:31" x14ac:dyDescent="0.3">
      <c r="A20" t="s">
        <v>432</v>
      </c>
      <c r="B20">
        <v>32</v>
      </c>
      <c r="C20" t="s">
        <v>1105</v>
      </c>
      <c r="D20" t="s">
        <v>28</v>
      </c>
      <c r="E20">
        <v>7.4</v>
      </c>
      <c r="G20" t="s">
        <v>54</v>
      </c>
      <c r="H20" t="s">
        <v>89</v>
      </c>
      <c r="I20" t="s">
        <v>50</v>
      </c>
      <c r="J20">
        <v>4.7</v>
      </c>
      <c r="L20" t="s">
        <v>51</v>
      </c>
      <c r="M20" t="s">
        <v>36</v>
      </c>
      <c r="N20" t="s">
        <v>51</v>
      </c>
      <c r="P20">
        <v>3</v>
      </c>
      <c r="Q20" t="s">
        <v>56</v>
      </c>
      <c r="R20" t="s">
        <v>45</v>
      </c>
      <c r="S20" t="b">
        <v>0</v>
      </c>
      <c r="T20" t="b">
        <v>1</v>
      </c>
      <c r="U20" t="b">
        <v>0</v>
      </c>
      <c r="V20" t="b">
        <v>1</v>
      </c>
      <c r="W20" t="b">
        <v>0</v>
      </c>
      <c r="X20">
        <v>1.8</v>
      </c>
      <c r="Y20">
        <v>7.3</v>
      </c>
      <c r="Z20">
        <v>5</v>
      </c>
      <c r="AA20">
        <v>4.0999999999999996</v>
      </c>
      <c r="AB20">
        <v>110.37</v>
      </c>
      <c r="AD20">
        <v>7</v>
      </c>
      <c r="AE20" t="s">
        <v>64</v>
      </c>
    </row>
    <row r="21" spans="1:31" x14ac:dyDescent="0.3">
      <c r="A21" t="s">
        <v>386</v>
      </c>
      <c r="B21">
        <v>34</v>
      </c>
      <c r="C21" t="s">
        <v>1105</v>
      </c>
      <c r="D21" t="s">
        <v>28</v>
      </c>
      <c r="E21">
        <v>2.8</v>
      </c>
      <c r="G21" t="s">
        <v>82</v>
      </c>
      <c r="H21" t="s">
        <v>83</v>
      </c>
      <c r="I21" t="s">
        <v>31</v>
      </c>
      <c r="J21">
        <v>7.1</v>
      </c>
      <c r="L21" t="s">
        <v>43</v>
      </c>
      <c r="M21" t="s">
        <v>33</v>
      </c>
      <c r="N21" t="s">
        <v>84</v>
      </c>
      <c r="P21">
        <v>2</v>
      </c>
      <c r="Q21" t="s">
        <v>35</v>
      </c>
      <c r="R21" t="s">
        <v>42</v>
      </c>
      <c r="S21" t="b">
        <v>0</v>
      </c>
      <c r="T21" t="b">
        <v>0</v>
      </c>
      <c r="U21" t="b">
        <v>0</v>
      </c>
      <c r="V21" t="b">
        <v>0</v>
      </c>
      <c r="W21" t="b">
        <v>0</v>
      </c>
      <c r="X21">
        <v>0.9</v>
      </c>
      <c r="Y21">
        <v>9.9</v>
      </c>
      <c r="Z21">
        <v>2</v>
      </c>
      <c r="AA21">
        <v>13.5</v>
      </c>
      <c r="AB21">
        <v>4.3499999999999996</v>
      </c>
      <c r="AD21">
        <v>16</v>
      </c>
      <c r="AE21" t="s">
        <v>46</v>
      </c>
    </row>
    <row r="22" spans="1:31" x14ac:dyDescent="0.3">
      <c r="A22" t="s">
        <v>361</v>
      </c>
      <c r="B22">
        <v>32</v>
      </c>
      <c r="C22" t="s">
        <v>1105</v>
      </c>
      <c r="D22" t="s">
        <v>53</v>
      </c>
      <c r="E22">
        <v>6.6</v>
      </c>
      <c r="G22" t="s">
        <v>48</v>
      </c>
      <c r="H22" t="s">
        <v>49</v>
      </c>
      <c r="I22" t="s">
        <v>31</v>
      </c>
      <c r="J22">
        <v>3.7</v>
      </c>
      <c r="L22" t="s">
        <v>51</v>
      </c>
      <c r="M22" t="s">
        <v>42</v>
      </c>
      <c r="N22" t="s">
        <v>62</v>
      </c>
      <c r="P22">
        <v>3</v>
      </c>
      <c r="Q22" t="s">
        <v>44</v>
      </c>
      <c r="R22" t="s">
        <v>45</v>
      </c>
      <c r="S22" t="b">
        <v>1</v>
      </c>
      <c r="T22" t="b">
        <v>1</v>
      </c>
      <c r="U22" t="b">
        <v>0</v>
      </c>
      <c r="V22" t="b">
        <v>1</v>
      </c>
      <c r="W22" t="b">
        <v>1</v>
      </c>
      <c r="X22">
        <v>0.9</v>
      </c>
      <c r="Y22">
        <v>5.2</v>
      </c>
      <c r="Z22">
        <v>6</v>
      </c>
      <c r="AA22">
        <v>9.4</v>
      </c>
      <c r="AB22">
        <v>77.47</v>
      </c>
      <c r="AD22">
        <v>6</v>
      </c>
      <c r="AE22" t="s">
        <v>58</v>
      </c>
    </row>
    <row r="23" spans="1:31" x14ac:dyDescent="0.3">
      <c r="A23" t="s">
        <v>337</v>
      </c>
      <c r="B23">
        <v>33</v>
      </c>
      <c r="C23" t="s">
        <v>1105</v>
      </c>
      <c r="D23" t="s">
        <v>53</v>
      </c>
      <c r="E23">
        <v>2.7</v>
      </c>
      <c r="G23" t="s">
        <v>48</v>
      </c>
      <c r="H23" t="s">
        <v>214</v>
      </c>
      <c r="I23" t="s">
        <v>86</v>
      </c>
      <c r="J23">
        <v>8.6999999999999993</v>
      </c>
      <c r="L23" t="s">
        <v>43</v>
      </c>
      <c r="M23" t="s">
        <v>42</v>
      </c>
      <c r="N23" t="s">
        <v>43</v>
      </c>
      <c r="P23">
        <v>6</v>
      </c>
      <c r="Q23" t="s">
        <v>66</v>
      </c>
      <c r="R23" t="s">
        <v>42</v>
      </c>
      <c r="S23" t="b">
        <v>0</v>
      </c>
      <c r="T23" t="b">
        <v>0</v>
      </c>
      <c r="U23" t="b">
        <v>0</v>
      </c>
      <c r="V23" t="b">
        <v>0</v>
      </c>
      <c r="W23" t="b">
        <v>0</v>
      </c>
      <c r="X23">
        <v>1</v>
      </c>
      <c r="Y23">
        <v>8.3000000000000007</v>
      </c>
      <c r="Z23">
        <v>2</v>
      </c>
      <c r="AA23">
        <v>10.7</v>
      </c>
      <c r="AB23">
        <v>31.35</v>
      </c>
      <c r="AD23">
        <v>20</v>
      </c>
      <c r="AE23" t="s">
        <v>46</v>
      </c>
    </row>
    <row r="24" spans="1:31" x14ac:dyDescent="0.3">
      <c r="A24" t="s">
        <v>221</v>
      </c>
      <c r="B24">
        <v>35</v>
      </c>
      <c r="C24" t="s">
        <v>1105</v>
      </c>
      <c r="D24" t="s">
        <v>28</v>
      </c>
      <c r="E24">
        <v>3.1</v>
      </c>
      <c r="G24" t="s">
        <v>39</v>
      </c>
      <c r="H24" t="s">
        <v>93</v>
      </c>
      <c r="I24" t="s">
        <v>71</v>
      </c>
      <c r="J24">
        <v>7.6</v>
      </c>
      <c r="L24" t="s">
        <v>43</v>
      </c>
      <c r="M24" t="s">
        <v>74</v>
      </c>
      <c r="N24" t="s">
        <v>34</v>
      </c>
      <c r="P24">
        <v>9</v>
      </c>
      <c r="Q24" t="s">
        <v>121</v>
      </c>
      <c r="R24" t="s">
        <v>57</v>
      </c>
      <c r="S24" t="b">
        <v>0</v>
      </c>
      <c r="T24" t="b">
        <v>0</v>
      </c>
      <c r="U24" t="b">
        <v>0</v>
      </c>
      <c r="V24" t="b">
        <v>0</v>
      </c>
      <c r="W24" t="b">
        <v>0</v>
      </c>
      <c r="X24">
        <v>1.8</v>
      </c>
      <c r="Y24">
        <v>7.8</v>
      </c>
      <c r="Z24">
        <v>3</v>
      </c>
      <c r="AA24">
        <v>8.6999999999999993</v>
      </c>
      <c r="AB24">
        <v>27.92</v>
      </c>
      <c r="AD24">
        <v>15</v>
      </c>
      <c r="AE24" t="s">
        <v>46</v>
      </c>
    </row>
    <row r="25" spans="1:31" x14ac:dyDescent="0.3">
      <c r="A25" t="s">
        <v>203</v>
      </c>
      <c r="B25">
        <v>31</v>
      </c>
      <c r="C25" t="s">
        <v>1105</v>
      </c>
      <c r="D25" t="s">
        <v>53</v>
      </c>
      <c r="E25">
        <v>5.5</v>
      </c>
      <c r="G25" t="s">
        <v>39</v>
      </c>
      <c r="H25" t="s">
        <v>93</v>
      </c>
      <c r="I25" t="s">
        <v>31</v>
      </c>
      <c r="J25">
        <v>6.8</v>
      </c>
      <c r="L25" t="s">
        <v>41</v>
      </c>
      <c r="M25" t="s">
        <v>42</v>
      </c>
      <c r="N25" t="s">
        <v>43</v>
      </c>
      <c r="P25">
        <v>8</v>
      </c>
      <c r="Q25" t="s">
        <v>66</v>
      </c>
      <c r="R25" t="s">
        <v>36</v>
      </c>
      <c r="S25" t="b">
        <v>0</v>
      </c>
      <c r="T25" t="b">
        <v>1</v>
      </c>
      <c r="U25" t="b">
        <v>0</v>
      </c>
      <c r="V25" t="b">
        <v>1</v>
      </c>
      <c r="W25" t="b">
        <v>1</v>
      </c>
      <c r="X25">
        <v>3.3</v>
      </c>
      <c r="Y25">
        <v>6.4</v>
      </c>
      <c r="Z25">
        <v>4</v>
      </c>
      <c r="AA25">
        <v>10.199999999999999</v>
      </c>
      <c r="AB25">
        <v>126.15</v>
      </c>
      <c r="AD25">
        <v>20</v>
      </c>
      <c r="AE25" t="s">
        <v>64</v>
      </c>
    </row>
    <row r="26" spans="1:31" x14ac:dyDescent="0.3">
      <c r="A26" t="s">
        <v>189</v>
      </c>
      <c r="B26">
        <v>31</v>
      </c>
      <c r="C26" t="s">
        <v>1105</v>
      </c>
      <c r="D26" t="s">
        <v>28</v>
      </c>
      <c r="E26">
        <v>5.0999999999999996</v>
      </c>
      <c r="G26" t="s">
        <v>39</v>
      </c>
      <c r="H26" t="s">
        <v>120</v>
      </c>
      <c r="I26" t="s">
        <v>31</v>
      </c>
      <c r="J26">
        <v>6.5</v>
      </c>
      <c r="L26" t="s">
        <v>41</v>
      </c>
      <c r="M26" t="s">
        <v>45</v>
      </c>
      <c r="N26" t="s">
        <v>62</v>
      </c>
      <c r="P26">
        <v>1</v>
      </c>
      <c r="Q26" t="s">
        <v>63</v>
      </c>
      <c r="R26" t="s">
        <v>45</v>
      </c>
      <c r="S26" t="b">
        <v>0</v>
      </c>
      <c r="T26" t="b">
        <v>0</v>
      </c>
      <c r="U26" t="b">
        <v>0</v>
      </c>
      <c r="V26" t="b">
        <v>1</v>
      </c>
      <c r="W26" t="b">
        <v>0</v>
      </c>
      <c r="X26">
        <v>0.9</v>
      </c>
      <c r="Y26">
        <v>7.4</v>
      </c>
      <c r="Z26">
        <v>2</v>
      </c>
      <c r="AA26">
        <v>10.9</v>
      </c>
      <c r="AB26">
        <v>72.27</v>
      </c>
      <c r="AD26">
        <v>12</v>
      </c>
      <c r="AE26" t="s">
        <v>46</v>
      </c>
    </row>
    <row r="27" spans="1:31" x14ac:dyDescent="0.3">
      <c r="A27" t="s">
        <v>165</v>
      </c>
      <c r="B27">
        <v>33</v>
      </c>
      <c r="C27" t="s">
        <v>1105</v>
      </c>
      <c r="D27" t="s">
        <v>28</v>
      </c>
      <c r="E27">
        <v>5.2</v>
      </c>
      <c r="G27" t="s">
        <v>60</v>
      </c>
      <c r="H27" t="s">
        <v>61</v>
      </c>
      <c r="I27" t="s">
        <v>50</v>
      </c>
      <c r="J27">
        <v>6.9</v>
      </c>
      <c r="L27" t="s">
        <v>41</v>
      </c>
      <c r="M27" t="s">
        <v>45</v>
      </c>
      <c r="N27" t="s">
        <v>43</v>
      </c>
      <c r="P27">
        <v>3</v>
      </c>
      <c r="Q27" t="s">
        <v>69</v>
      </c>
      <c r="R27" t="s">
        <v>57</v>
      </c>
      <c r="S27" t="b">
        <v>0</v>
      </c>
      <c r="T27" t="b">
        <v>0</v>
      </c>
      <c r="U27" t="b">
        <v>0</v>
      </c>
      <c r="V27" t="b">
        <v>1</v>
      </c>
      <c r="W27" t="b">
        <v>0</v>
      </c>
      <c r="X27">
        <v>2</v>
      </c>
      <c r="Y27">
        <v>9</v>
      </c>
      <c r="Z27">
        <v>6</v>
      </c>
      <c r="AA27">
        <v>6.9</v>
      </c>
      <c r="AB27">
        <v>73.02</v>
      </c>
      <c r="AD27">
        <v>8</v>
      </c>
      <c r="AE27" t="s">
        <v>46</v>
      </c>
    </row>
    <row r="28" spans="1:31" x14ac:dyDescent="0.3">
      <c r="A28" t="s">
        <v>148</v>
      </c>
      <c r="B28">
        <v>33</v>
      </c>
      <c r="C28" t="s">
        <v>1105</v>
      </c>
      <c r="D28" t="s">
        <v>53</v>
      </c>
      <c r="E28">
        <v>7.2</v>
      </c>
      <c r="G28" t="s">
        <v>29</v>
      </c>
      <c r="H28" t="s">
        <v>118</v>
      </c>
      <c r="I28" t="s">
        <v>50</v>
      </c>
      <c r="J28">
        <v>4.2</v>
      </c>
      <c r="L28" t="s">
        <v>41</v>
      </c>
      <c r="M28" t="s">
        <v>42</v>
      </c>
      <c r="N28" t="s">
        <v>34</v>
      </c>
      <c r="P28">
        <v>9</v>
      </c>
      <c r="Q28" t="s">
        <v>35</v>
      </c>
      <c r="R28" t="s">
        <v>45</v>
      </c>
      <c r="S28" t="b">
        <v>0</v>
      </c>
      <c r="T28" t="b">
        <v>0</v>
      </c>
      <c r="U28" t="b">
        <v>0</v>
      </c>
      <c r="V28" t="b">
        <v>1</v>
      </c>
      <c r="W28" t="b">
        <v>1</v>
      </c>
      <c r="X28">
        <v>0.7</v>
      </c>
      <c r="Y28">
        <v>7.6</v>
      </c>
      <c r="Z28">
        <v>5</v>
      </c>
      <c r="AA28">
        <v>9</v>
      </c>
      <c r="AB28">
        <v>96.57</v>
      </c>
      <c r="AD28">
        <v>8</v>
      </c>
      <c r="AE28" t="s">
        <v>46</v>
      </c>
    </row>
    <row r="29" spans="1:31" x14ac:dyDescent="0.3">
      <c r="A29" t="s">
        <v>125</v>
      </c>
      <c r="B29">
        <v>33</v>
      </c>
      <c r="C29" t="s">
        <v>1105</v>
      </c>
      <c r="D29" t="s">
        <v>28</v>
      </c>
      <c r="E29">
        <v>3.1</v>
      </c>
      <c r="G29" t="s">
        <v>76</v>
      </c>
      <c r="H29" t="s">
        <v>126</v>
      </c>
      <c r="I29" t="s">
        <v>50</v>
      </c>
      <c r="J29">
        <v>8.4</v>
      </c>
      <c r="L29" t="s">
        <v>41</v>
      </c>
      <c r="M29" t="s">
        <v>36</v>
      </c>
      <c r="N29" t="s">
        <v>62</v>
      </c>
      <c r="P29">
        <v>8</v>
      </c>
      <c r="Q29" t="s">
        <v>66</v>
      </c>
      <c r="R29" t="s">
        <v>42</v>
      </c>
      <c r="S29" t="b">
        <v>0</v>
      </c>
      <c r="T29" t="b">
        <v>0</v>
      </c>
      <c r="U29" t="b">
        <v>0</v>
      </c>
      <c r="V29" t="b">
        <v>0</v>
      </c>
      <c r="W29" t="b">
        <v>0</v>
      </c>
      <c r="X29">
        <v>1.3</v>
      </c>
      <c r="Y29">
        <v>8.3000000000000007</v>
      </c>
      <c r="Z29">
        <v>1</v>
      </c>
      <c r="AA29">
        <v>12.8</v>
      </c>
      <c r="AB29">
        <v>47.69</v>
      </c>
      <c r="AD29">
        <v>6</v>
      </c>
      <c r="AE29" t="s">
        <v>46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AB464-830C-4DE3-9670-95A59618137D}">
  <dimension ref="B2:F68"/>
  <sheetViews>
    <sheetView topLeftCell="A34" zoomScale="71" workbookViewId="0">
      <selection activeCell="F72" sqref="F72"/>
    </sheetView>
  </sheetViews>
  <sheetFormatPr defaultRowHeight="14.4" x14ac:dyDescent="0.3"/>
  <cols>
    <col min="2" max="2" width="48.6640625" bestFit="1" customWidth="1"/>
    <col min="3" max="3" width="24.44140625" bestFit="1" customWidth="1"/>
    <col min="4" max="4" width="7.88671875" bestFit="1" customWidth="1"/>
    <col min="5" max="5" width="8.6640625" bestFit="1" customWidth="1"/>
    <col min="6" max="7" width="16.109375" bestFit="1" customWidth="1"/>
    <col min="8" max="8" width="2" bestFit="1" customWidth="1"/>
    <col min="9" max="17" width="4" bestFit="1" customWidth="1"/>
    <col min="18" max="18" width="2" bestFit="1" customWidth="1"/>
    <col min="19" max="26" width="4" bestFit="1" customWidth="1"/>
    <col min="27" max="27" width="2" bestFit="1" customWidth="1"/>
    <col min="28" max="36" width="4" bestFit="1" customWidth="1"/>
    <col min="37" max="37" width="2" bestFit="1" customWidth="1"/>
    <col min="38" max="46" width="4" bestFit="1" customWidth="1"/>
    <col min="47" max="47" width="2" bestFit="1" customWidth="1"/>
    <col min="48" max="56" width="4" bestFit="1" customWidth="1"/>
    <col min="57" max="57" width="2" bestFit="1" customWidth="1"/>
    <col min="58" max="66" width="4" bestFit="1" customWidth="1"/>
    <col min="67" max="67" width="2" bestFit="1" customWidth="1"/>
    <col min="68" max="76" width="4" bestFit="1" customWidth="1"/>
    <col min="77" max="77" width="2" bestFit="1" customWidth="1"/>
    <col min="78" max="86" width="4" bestFit="1" customWidth="1"/>
    <col min="87" max="87" width="2" bestFit="1" customWidth="1"/>
    <col min="88" max="96" width="4" bestFit="1" customWidth="1"/>
    <col min="97" max="97" width="3" bestFit="1" customWidth="1"/>
    <col min="98" max="106" width="5" bestFit="1" customWidth="1"/>
    <col min="107" max="107" width="3" bestFit="1" customWidth="1"/>
    <col min="108" max="115" width="5" bestFit="1" customWidth="1"/>
    <col min="116" max="116" width="3" bestFit="1" customWidth="1"/>
    <col min="117" max="123" width="5" bestFit="1" customWidth="1"/>
    <col min="124" max="124" width="3" bestFit="1" customWidth="1"/>
    <col min="125" max="134" width="5" bestFit="1" customWidth="1"/>
    <col min="135" max="135" width="10.77734375" bestFit="1" customWidth="1"/>
  </cols>
  <sheetData>
    <row r="2" spans="2:6" x14ac:dyDescent="0.3">
      <c r="B2" s="6" t="s">
        <v>1102</v>
      </c>
      <c r="C2" s="6" t="s">
        <v>1103</v>
      </c>
    </row>
    <row r="3" spans="2:6" x14ac:dyDescent="0.3">
      <c r="B3" s="6" t="s">
        <v>1100</v>
      </c>
      <c r="C3" t="s">
        <v>53</v>
      </c>
      <c r="D3" t="s">
        <v>28</v>
      </c>
      <c r="E3" t="s">
        <v>152</v>
      </c>
      <c r="F3" t="s">
        <v>1101</v>
      </c>
    </row>
    <row r="4" spans="2:6" x14ac:dyDescent="0.3">
      <c r="B4" s="7" t="s">
        <v>58</v>
      </c>
      <c r="C4" s="2">
        <v>42</v>
      </c>
      <c r="D4" s="2">
        <v>108</v>
      </c>
      <c r="E4" s="2">
        <v>4</v>
      </c>
      <c r="F4" s="2">
        <v>154</v>
      </c>
    </row>
    <row r="5" spans="2:6" x14ac:dyDescent="0.3">
      <c r="B5" s="7" t="s">
        <v>46</v>
      </c>
      <c r="C5" s="2">
        <v>176</v>
      </c>
      <c r="D5" s="2">
        <v>327</v>
      </c>
      <c r="E5" s="2">
        <v>11</v>
      </c>
      <c r="F5" s="2">
        <v>514</v>
      </c>
    </row>
    <row r="6" spans="2:6" x14ac:dyDescent="0.3">
      <c r="B6" s="7" t="s">
        <v>64</v>
      </c>
      <c r="C6" s="2">
        <v>68</v>
      </c>
      <c r="D6" s="2">
        <v>117</v>
      </c>
      <c r="E6" s="2">
        <v>5</v>
      </c>
      <c r="F6" s="2">
        <v>190</v>
      </c>
    </row>
    <row r="7" spans="2:6" x14ac:dyDescent="0.3">
      <c r="B7" s="7" t="s">
        <v>37</v>
      </c>
      <c r="C7" s="2">
        <v>45</v>
      </c>
      <c r="D7" s="2">
        <v>95</v>
      </c>
      <c r="E7" s="2">
        <v>2</v>
      </c>
      <c r="F7" s="2">
        <v>142</v>
      </c>
    </row>
    <row r="8" spans="2:6" x14ac:dyDescent="0.3">
      <c r="B8" s="7" t="s">
        <v>1101</v>
      </c>
      <c r="C8" s="2">
        <v>331</v>
      </c>
      <c r="D8" s="2">
        <v>647</v>
      </c>
      <c r="E8" s="2">
        <v>22</v>
      </c>
      <c r="F8" s="2">
        <v>1000</v>
      </c>
    </row>
    <row r="23" spans="2:3" x14ac:dyDescent="0.3">
      <c r="B23" s="6" t="s">
        <v>1100</v>
      </c>
      <c r="C23" t="s">
        <v>1109</v>
      </c>
    </row>
    <row r="24" spans="2:3" x14ac:dyDescent="0.3">
      <c r="B24" s="7" t="s">
        <v>1105</v>
      </c>
      <c r="C24" s="1">
        <v>4.8000000000000016</v>
      </c>
    </row>
    <row r="25" spans="2:3" x14ac:dyDescent="0.3">
      <c r="B25" s="7" t="s">
        <v>1106</v>
      </c>
      <c r="C25" s="1">
        <v>6.1334763948497883</v>
      </c>
    </row>
    <row r="26" spans="2:3" x14ac:dyDescent="0.3">
      <c r="B26" s="7" t="s">
        <v>1107</v>
      </c>
      <c r="C26" s="1">
        <v>6.2370078740157515</v>
      </c>
    </row>
    <row r="27" spans="2:3" x14ac:dyDescent="0.3">
      <c r="B27" s="7" t="s">
        <v>1101</v>
      </c>
      <c r="C27" s="1">
        <v>6.1513999999999989</v>
      </c>
    </row>
    <row r="28" spans="2:3" x14ac:dyDescent="0.3">
      <c r="B28" s="6" t="s">
        <v>1100</v>
      </c>
      <c r="C28" t="s">
        <v>1110</v>
      </c>
    </row>
    <row r="29" spans="2:3" x14ac:dyDescent="0.3">
      <c r="B29" s="7" t="s">
        <v>60</v>
      </c>
      <c r="C29" s="3">
        <v>98.160283687943235</v>
      </c>
    </row>
    <row r="30" spans="2:3" x14ac:dyDescent="0.3">
      <c r="B30" s="7" t="s">
        <v>48</v>
      </c>
      <c r="C30" s="3">
        <v>93.732537313432829</v>
      </c>
    </row>
    <row r="31" spans="2:3" x14ac:dyDescent="0.3">
      <c r="B31" s="7" t="s">
        <v>76</v>
      </c>
      <c r="C31" s="3">
        <v>114.46706293706291</v>
      </c>
    </row>
    <row r="32" spans="2:3" x14ac:dyDescent="0.3">
      <c r="B32" s="7" t="s">
        <v>39</v>
      </c>
      <c r="C32" s="3">
        <v>109.11083333333336</v>
      </c>
    </row>
    <row r="33" spans="2:3" x14ac:dyDescent="0.3">
      <c r="B33" s="7" t="s">
        <v>29</v>
      </c>
      <c r="C33" s="3">
        <v>97.720287769784221</v>
      </c>
    </row>
    <row r="34" spans="2:3" x14ac:dyDescent="0.3">
      <c r="B34" s="7" t="s">
        <v>54</v>
      </c>
      <c r="C34" s="3">
        <v>106.9008219178082</v>
      </c>
    </row>
    <row r="35" spans="2:3" x14ac:dyDescent="0.3">
      <c r="B35" s="7" t="s">
        <v>82</v>
      </c>
      <c r="C35" s="3">
        <v>115.16489361702132</v>
      </c>
    </row>
    <row r="36" spans="2:3" x14ac:dyDescent="0.3">
      <c r="B36" s="7" t="s">
        <v>1101</v>
      </c>
      <c r="C36" s="3">
        <v>105.21973000000004</v>
      </c>
    </row>
    <row r="60" spans="2:3" x14ac:dyDescent="0.3">
      <c r="B60" s="6" t="s">
        <v>1100</v>
      </c>
      <c r="C60" t="s">
        <v>1102</v>
      </c>
    </row>
    <row r="61" spans="2:3" x14ac:dyDescent="0.3">
      <c r="B61" s="7" t="s">
        <v>60</v>
      </c>
      <c r="C61" s="2">
        <v>141</v>
      </c>
    </row>
    <row r="62" spans="2:3" x14ac:dyDescent="0.3">
      <c r="B62" s="7" t="s">
        <v>48</v>
      </c>
      <c r="C62" s="2">
        <v>134</v>
      </c>
    </row>
    <row r="63" spans="2:3" x14ac:dyDescent="0.3">
      <c r="B63" s="7" t="s">
        <v>76</v>
      </c>
      <c r="C63" s="2">
        <v>143</v>
      </c>
    </row>
    <row r="64" spans="2:3" x14ac:dyDescent="0.3">
      <c r="B64" s="7" t="s">
        <v>39</v>
      </c>
      <c r="C64" s="2">
        <v>156</v>
      </c>
    </row>
    <row r="65" spans="2:3" x14ac:dyDescent="0.3">
      <c r="B65" s="7" t="s">
        <v>29</v>
      </c>
      <c r="C65" s="2">
        <v>139</v>
      </c>
    </row>
    <row r="66" spans="2:3" x14ac:dyDescent="0.3">
      <c r="B66" s="7" t="s">
        <v>54</v>
      </c>
      <c r="C66" s="2">
        <v>146</v>
      </c>
    </row>
    <row r="67" spans="2:3" x14ac:dyDescent="0.3">
      <c r="B67" s="7" t="s">
        <v>82</v>
      </c>
      <c r="C67" s="2">
        <v>141</v>
      </c>
    </row>
    <row r="68" spans="2:3" x14ac:dyDescent="0.3">
      <c r="B68" s="7" t="s">
        <v>1101</v>
      </c>
      <c r="C68" s="2">
        <v>1000</v>
      </c>
    </row>
  </sheetData>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24FA2-1168-454F-B26D-16342D0FF7E0}">
  <dimension ref="A1:W18"/>
  <sheetViews>
    <sheetView showGridLines="0" tabSelected="1" zoomScale="80" zoomScaleNormal="100" workbookViewId="0">
      <selection activeCell="Z18" sqref="Z18"/>
    </sheetView>
  </sheetViews>
  <sheetFormatPr defaultRowHeight="14.4" x14ac:dyDescent="0.3"/>
  <sheetData>
    <row r="1" spans="1:23" ht="14.4" customHeight="1" x14ac:dyDescent="0.3">
      <c r="A1" s="9" t="s">
        <v>1111</v>
      </c>
      <c r="B1" s="9"/>
      <c r="C1" s="9"/>
      <c r="D1" s="9"/>
      <c r="E1" s="9"/>
      <c r="F1" s="9"/>
      <c r="G1" s="9"/>
      <c r="H1" s="9"/>
      <c r="I1" s="9"/>
      <c r="J1" s="9"/>
      <c r="K1" s="9"/>
      <c r="L1" s="9"/>
      <c r="M1" s="9"/>
      <c r="N1" s="9"/>
      <c r="O1" s="9"/>
      <c r="P1" s="9"/>
      <c r="Q1" s="9"/>
      <c r="R1" s="9"/>
      <c r="S1" s="9"/>
      <c r="T1" s="9"/>
      <c r="U1" s="9"/>
      <c r="V1" s="9"/>
      <c r="W1" s="9"/>
    </row>
    <row r="2" spans="1:23" x14ac:dyDescent="0.3">
      <c r="A2" s="9"/>
      <c r="B2" s="9"/>
      <c r="C2" s="9"/>
      <c r="D2" s="9"/>
      <c r="E2" s="9"/>
      <c r="F2" s="9"/>
      <c r="G2" s="9"/>
      <c r="H2" s="9"/>
      <c r="I2" s="9"/>
      <c r="J2" s="9"/>
      <c r="K2" s="9"/>
      <c r="L2" s="9"/>
      <c r="M2" s="9"/>
      <c r="N2" s="9"/>
      <c r="O2" s="9"/>
      <c r="P2" s="9"/>
      <c r="Q2" s="9"/>
      <c r="R2" s="9"/>
      <c r="S2" s="9"/>
      <c r="T2" s="9"/>
      <c r="U2" s="9"/>
      <c r="V2" s="9"/>
      <c r="W2" s="9"/>
    </row>
    <row r="3" spans="1:23" x14ac:dyDescent="0.3">
      <c r="A3" s="9"/>
      <c r="B3" s="9"/>
      <c r="C3" s="9"/>
      <c r="D3" s="9"/>
      <c r="E3" s="9"/>
      <c r="F3" s="9"/>
      <c r="G3" s="9"/>
      <c r="H3" s="9"/>
      <c r="I3" s="9"/>
      <c r="J3" s="9"/>
      <c r="K3" s="9"/>
      <c r="L3" s="9"/>
      <c r="M3" s="9"/>
      <c r="N3" s="9"/>
      <c r="O3" s="9"/>
      <c r="P3" s="9"/>
      <c r="Q3" s="9"/>
      <c r="R3" s="9"/>
      <c r="S3" s="9"/>
      <c r="T3" s="9"/>
      <c r="U3" s="9"/>
      <c r="V3" s="9"/>
      <c r="W3" s="9"/>
    </row>
    <row r="4" spans="1:23" x14ac:dyDescent="0.3">
      <c r="A4" s="9"/>
      <c r="B4" s="9"/>
      <c r="C4" s="9"/>
      <c r="D4" s="9"/>
      <c r="E4" s="9"/>
      <c r="F4" s="9"/>
      <c r="G4" s="9"/>
      <c r="H4" s="9"/>
      <c r="I4" s="9"/>
      <c r="J4" s="9"/>
      <c r="K4" s="9"/>
      <c r="L4" s="9"/>
      <c r="M4" s="9"/>
      <c r="N4" s="9"/>
      <c r="O4" s="9"/>
      <c r="P4" s="9"/>
      <c r="Q4" s="9"/>
      <c r="R4" s="9"/>
      <c r="S4" s="9"/>
      <c r="T4" s="9"/>
      <c r="U4" s="9"/>
      <c r="V4" s="9"/>
      <c r="W4" s="9"/>
    </row>
    <row r="15" spans="1:23" ht="21" x14ac:dyDescent="0.4">
      <c r="A15" s="10" t="s">
        <v>1115</v>
      </c>
    </row>
    <row r="16" spans="1:23" ht="18" x14ac:dyDescent="0.35">
      <c r="B16" s="11" t="s">
        <v>1113</v>
      </c>
    </row>
    <row r="17" spans="2:2" ht="18" x14ac:dyDescent="0.35">
      <c r="B17" s="11" t="s">
        <v>1112</v>
      </c>
    </row>
    <row r="18" spans="2:2" ht="18" x14ac:dyDescent="0.35">
      <c r="B18" s="11" t="s">
        <v>1114</v>
      </c>
    </row>
  </sheetData>
  <mergeCells count="1">
    <mergeCell ref="A1:W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Gaming and Mental Health</vt:lpstr>
      <vt:lpstr>Gaming Dataset</vt:lpstr>
      <vt:lpstr>Detail1</vt:lpstr>
      <vt:lpstr>Piviot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JETHKUMAR MORE</dc:creator>
  <cp:lastModifiedBy>JETHKUMAR MORE</cp:lastModifiedBy>
  <cp:lastPrinted>2026-02-25T18:16:41Z</cp:lastPrinted>
  <dcterms:created xsi:type="dcterms:W3CDTF">2026-02-25T18:02:02Z</dcterms:created>
  <dcterms:modified xsi:type="dcterms:W3CDTF">2026-02-25T19:26:54Z</dcterms:modified>
</cp:coreProperties>
</file>